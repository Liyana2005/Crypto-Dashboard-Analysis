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shan\Downloads\python_pract\"/>
    </mc:Choice>
  </mc:AlternateContent>
  <xr:revisionPtr revIDLastSave="0" documentId="13_ncr:1_{F95D7BE5-D9D4-42D7-A0FB-BE7E1336D654}"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ed_Data" sheetId="2" r:id="rId2"/>
    <sheet name="Pivot_Charts" sheetId="3" r:id="rId3"/>
    <sheet name="Dashboard" sheetId="4" r:id="rId4"/>
  </sheets>
  <definedNames>
    <definedName name="ExternalData_1" localSheetId="1" hidden="1">'Cleaned_Data'!$A$1:$H$295</definedName>
    <definedName name="Slicer_Price_Rang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46" i="3" l="1"/>
  <c r="U44" i="3"/>
  <c r="Y12" i="3"/>
  <c r="Y8" i="3"/>
  <c r="Y9" i="3"/>
  <c r="Y10" i="3"/>
  <c r="Y11" i="3"/>
  <c r="Y7" i="3"/>
  <c r="X8" i="3"/>
  <c r="X9" i="3"/>
  <c r="X10" i="3"/>
  <c r="X11" i="3"/>
  <c r="X12" i="3"/>
  <c r="X7"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Z5" i="3"/>
  <c r="Y1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57B8E4-6F83-4E7C-9B2C-88761EBC9896}"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<sst xmlns="http://schemas.openxmlformats.org/spreadsheetml/2006/main" count="19698" uniqueCount="18300">
  <si>
    <t>Coin Name</t>
  </si>
  <si>
    <t>Symbol</t>
  </si>
  <si>
    <t>Price (USD)</t>
  </si>
  <si>
    <t>1h Change (%)</t>
  </si>
  <si>
    <t>Market Cap</t>
  </si>
  <si>
    <t>Volume (24h) USD</t>
  </si>
  <si>
    <t>Circulating Supply</t>
  </si>
  <si>
    <t>CoinMarketCap 20 Index DTF</t>
  </si>
  <si>
    <t>CMC20</t>
  </si>
  <si>
    <t>$167.40</t>
  </si>
  <si>
    <t>0.04%</t>
  </si>
  <si>
    <t>$8,124,123</t>
  </si>
  <si>
    <t>$3,999,982</t>
  </si>
  <si>
    <t>48.52K</t>
  </si>
  <si>
    <t>Bitcoin</t>
  </si>
  <si>
    <t>BTC</t>
  </si>
  <si>
    <t>$81,018.50</t>
  </si>
  <si>
    <t>$1,619,311,935,409</t>
  </si>
  <si>
    <t>$51,554,007,081</t>
  </si>
  <si>
    <t>19.98M</t>
  </si>
  <si>
    <t>Ethereum</t>
  </si>
  <si>
    <t>ETH</t>
  </si>
  <si>
    <t>$2,522.32</t>
  </si>
  <si>
    <t>0.47%</t>
  </si>
  <si>
    <t>$304,930,172,193</t>
  </si>
  <si>
    <t>$35,537,964,244</t>
  </si>
  <si>
    <t>120.69M</t>
  </si>
  <si>
    <t>Tether</t>
  </si>
  <si>
    <t>USDT</t>
  </si>
  <si>
    <t>$0.9983</t>
  </si>
  <si>
    <t>0.01%</t>
  </si>
  <si>
    <t>$185,193,421,704</t>
  </si>
  <si>
    <t>$114,504,551,262</t>
  </si>
  <si>
    <t>185.37B</t>
  </si>
  <si>
    <t>BNB</t>
  </si>
  <si>
    <t>$800.34</t>
  </si>
  <si>
    <t>0.93%</t>
  </si>
  <si>
    <t>$109,110,349,765</t>
  </si>
  <si>
    <t>$2,666,835,933</t>
  </si>
  <si>
    <t>136.36M</t>
  </si>
  <si>
    <t>XRP</t>
  </si>
  <si>
    <t>$1.63</t>
  </si>
  <si>
    <t>0.76%</t>
  </si>
  <si>
    <t>$99,257,714,735</t>
  </si>
  <si>
    <t>$4,324,668,476</t>
  </si>
  <si>
    <t>60.85B</t>
  </si>
  <si>
    <t>USDC</t>
  </si>
  <si>
    <t>$1.00</t>
  </si>
  <si>
    <t>0.00%</t>
  </si>
  <si>
    <t>$70,068,984,474</t>
  </si>
  <si>
    <t>$15,127,145,069</t>
  </si>
  <si>
    <t>70.05B</t>
  </si>
  <si>
    <t>Solana</t>
  </si>
  <si>
    <t>SOL</t>
  </si>
  <si>
    <t>$108.28</t>
  </si>
  <si>
    <t>0.88%</t>
  </si>
  <si>
    <t>$61,322,031,824</t>
  </si>
  <si>
    <t>$6,513,195,834</t>
  </si>
  <si>
    <t>566.3M</t>
  </si>
  <si>
    <t>TRON</t>
  </si>
  <si>
    <t>TRX</t>
  </si>
  <si>
    <t>$0.2872</t>
  </si>
  <si>
    <t>0.07%</t>
  </si>
  <si>
    <t>$27,209,546,349</t>
  </si>
  <si>
    <t>$737,295,860</t>
  </si>
  <si>
    <t>94.71B</t>
  </si>
  <si>
    <t>Dogecoin</t>
  </si>
  <si>
    <t>DOGE</t>
  </si>
  <si>
    <t>$0.1069</t>
  </si>
  <si>
    <t>0.27%</t>
  </si>
  <si>
    <t>$18,030,844,694</t>
  </si>
  <si>
    <t>$1,620,750,635</t>
  </si>
  <si>
    <t>168.54B</t>
  </si>
  <si>
    <t>Cardano</t>
  </si>
  <si>
    <t>ADA</t>
  </si>
  <si>
    <t>$0.2970</t>
  </si>
  <si>
    <t>0.30%</t>
  </si>
  <si>
    <t>$10,707,656,662</t>
  </si>
  <si>
    <t>$1,003,038,133</t>
  </si>
  <si>
    <t>36.04B</t>
  </si>
  <si>
    <t>Bitcoin Cash</t>
  </si>
  <si>
    <t>BCH</t>
  </si>
  <si>
    <t>$517.47</t>
  </si>
  <si>
    <t>0.51%</t>
  </si>
  <si>
    <t>$10,343,419,742</t>
  </si>
  <si>
    <t>$378,443,816</t>
  </si>
  <si>
    <t>Monero</t>
  </si>
  <si>
    <t>XMR</t>
  </si>
  <si>
    <t>$478.46</t>
  </si>
  <si>
    <t>1.00%</t>
  </si>
  <si>
    <t>$8,826,170,412</t>
  </si>
  <si>
    <t>$230,984,832</t>
  </si>
  <si>
    <t>18.44M</t>
  </si>
  <si>
    <t>Hyperliquid</t>
  </si>
  <si>
    <t>HYPE</t>
  </si>
  <si>
    <t>$28.48</t>
  </si>
  <si>
    <t>2.15%</t>
  </si>
  <si>
    <t>$8,603,897,117</t>
  </si>
  <si>
    <t>$645,866,941</t>
  </si>
  <si>
    <t>302.07M</t>
  </si>
  <si>
    <t>UNUS SED LEO</t>
  </si>
  <si>
    <t>LEO</t>
  </si>
  <si>
    <t>$9.02</t>
  </si>
  <si>
    <t>1.07%</t>
  </si>
  <si>
    <t>$8,317,384,510</t>
  </si>
  <si>
    <t>$1,042,178</t>
  </si>
  <si>
    <t>921.69M</t>
  </si>
  <si>
    <t>Aerodrome Finance</t>
  </si>
  <si>
    <t>AERO</t>
  </si>
  <si>
    <t>$0.3900</t>
  </si>
  <si>
    <t>0.20%</t>
  </si>
  <si>
    <t>$357,626,461</t>
  </si>
  <si>
    <t>$25,105,143</t>
  </si>
  <si>
    <t>916.93M</t>
  </si>
  <si>
    <t>JUST</t>
  </si>
  <si>
    <t>JST</t>
  </si>
  <si>
    <t>$0.04029</t>
  </si>
  <si>
    <t>0.53%</t>
  </si>
  <si>
    <t>$355,213,012</t>
  </si>
  <si>
    <t>$31,943,267</t>
  </si>
  <si>
    <t>8.81B</t>
  </si>
  <si>
    <t>Maple Finance</t>
  </si>
  <si>
    <t>SYRUP</t>
  </si>
  <si>
    <t>$0.3054</t>
  </si>
  <si>
    <t>0.28%</t>
  </si>
  <si>
    <t>$353,461,784</t>
  </si>
  <si>
    <t>$16,374,353</t>
  </si>
  <si>
    <t>1.15B</t>
  </si>
  <si>
    <t>ether.fi</t>
  </si>
  <si>
    <t>ETHFI</t>
  </si>
  <si>
    <t>$0.4983</t>
  </si>
  <si>
    <t>$348,544,163</t>
  </si>
  <si>
    <t>$55,872,003</t>
  </si>
  <si>
    <t>699.36M</t>
  </si>
  <si>
    <t>Kaia</t>
  </si>
  <si>
    <t>KAIA</t>
  </si>
  <si>
    <t>$0.05427</t>
  </si>
  <si>
    <t>0.05%</t>
  </si>
  <si>
    <t>$338,276,502</t>
  </si>
  <si>
    <t>$25,877,567</t>
  </si>
  <si>
    <t>6.23B</t>
  </si>
  <si>
    <t>FLOKI</t>
  </si>
  <si>
    <t>$0.00003534</t>
  </si>
  <si>
    <t>0.99%</t>
  </si>
  <si>
    <t>$337,158,930</t>
  </si>
  <si>
    <t>$58,456,797</t>
  </si>
  <si>
    <t>9.53T</t>
  </si>
  <si>
    <t>AINFT</t>
  </si>
  <si>
    <t>NFT</t>
  </si>
  <si>
    <t>$0.063364</t>
  </si>
  <si>
    <t>0.23%</t>
  </si>
  <si>
    <t>$336,412,048</t>
  </si>
  <si>
    <t>$14,471,518</t>
  </si>
  <si>
    <t>999.99T</t>
  </si>
  <si>
    <t>Sun [New]</t>
  </si>
  <si>
    <t>SUN</t>
  </si>
  <si>
    <t>$0.01736</t>
  </si>
  <si>
    <t>0.35%</t>
  </si>
  <si>
    <t>$333,414,314</t>
  </si>
  <si>
    <t>$23,017,652</t>
  </si>
  <si>
    <t>19.2B</t>
  </si>
  <si>
    <t>Humanity Protocol</t>
  </si>
  <si>
    <t>H</t>
  </si>
  <si>
    <t>$0.1357</t>
  </si>
  <si>
    <t>0.22%</t>
  </si>
  <si>
    <t>$327,345,719</t>
  </si>
  <si>
    <t>$144,856,633</t>
  </si>
  <si>
    <t>2.41B</t>
  </si>
  <si>
    <t>The Graph</t>
  </si>
  <si>
    <t>GRT</t>
  </si>
  <si>
    <t>$0.03047</t>
  </si>
  <si>
    <t>0.33%</t>
  </si>
  <si>
    <t>$326,057,965</t>
  </si>
  <si>
    <t>$22,330,573</t>
  </si>
  <si>
    <t>10.69B</t>
  </si>
  <si>
    <t>Celestia</t>
  </si>
  <si>
    <t>TIA</t>
  </si>
  <si>
    <t>$0.3726</t>
  </si>
  <si>
    <t>0.46%</t>
  </si>
  <si>
    <t>$325,625,580</t>
  </si>
  <si>
    <t>$57,153,367</t>
  </si>
  <si>
    <t>873.91M</t>
  </si>
  <si>
    <t>Trust Wallet Token</t>
  </si>
  <si>
    <t>TWT</t>
  </si>
  <si>
    <t>$0.7495</t>
  </si>
  <si>
    <t>2.69%</t>
  </si>
  <si>
    <t>$322,217,831</t>
  </si>
  <si>
    <t>$12,850,788</t>
  </si>
  <si>
    <t>429.86M</t>
  </si>
  <si>
    <t>Axie Infinity</t>
  </si>
  <si>
    <t>AXS</t>
  </si>
  <si>
    <t>$1.90</t>
  </si>
  <si>
    <t>0.38%</t>
  </si>
  <si>
    <t>$321,706,465</t>
  </si>
  <si>
    <t>$173,812,825</t>
  </si>
  <si>
    <t>168.83M</t>
  </si>
  <si>
    <t>Gnosis</t>
  </si>
  <si>
    <t>GNO</t>
  </si>
  <si>
    <t>$121.78</t>
  </si>
  <si>
    <t>0.17%</t>
  </si>
  <si>
    <t>$321,412,644</t>
  </si>
  <si>
    <t>$6,233,164</t>
  </si>
  <si>
    <t>2.63M</t>
  </si>
  <si>
    <t>Bitcoin SV</t>
  </si>
  <si>
    <t>BSV</t>
  </si>
  <si>
    <t>$16.08</t>
  </si>
  <si>
    <t>0.29%</t>
  </si>
  <si>
    <t>$321,399,923</t>
  </si>
  <si>
    <t>$17,493,978</t>
  </si>
  <si>
    <t>Rain</t>
  </si>
  <si>
    <t>RAIN</t>
  </si>
  <si>
    <t>$0.009515</t>
  </si>
  <si>
    <t>8.25%</t>
  </si>
  <si>
    <t>$3,233,457,315</t>
  </si>
  <si>
    <t>$42,995,795</t>
  </si>
  <si>
    <t>339.82B</t>
  </si>
  <si>
    <t>Falcon USD</t>
  </si>
  <si>
    <t>USDf</t>
  </si>
  <si>
    <t>$0.9926</t>
  </si>
  <si>
    <t>$2,049,243,108</t>
  </si>
  <si>
    <t>$8,388,124</t>
  </si>
  <si>
    <t>2.06B</t>
  </si>
  <si>
    <t>Jupiter Perps LP</t>
  </si>
  <si>
    <t>JLP</t>
  </si>
  <si>
    <t>$4.20</t>
  </si>
  <si>
    <t>$1,610,130,527</t>
  </si>
  <si>
    <t>$36,815,479</t>
  </si>
  <si>
    <t>382.56M</t>
  </si>
  <si>
    <t>Ondo US Dollar Yield</t>
  </si>
  <si>
    <t>USDY</t>
  </si>
  <si>
    <t>$1.11</t>
  </si>
  <si>
    <t>$703,423,040</t>
  </si>
  <si>
    <t>$1,202,486</t>
  </si>
  <si>
    <t>629.12M</t>
  </si>
  <si>
    <t>Usual USD</t>
  </si>
  <si>
    <t>USD0</t>
  </si>
  <si>
    <t>$0.9982</t>
  </si>
  <si>
    <t>$590,182,114</t>
  </si>
  <si>
    <t>$8,479,617</t>
  </si>
  <si>
    <t>591.22M</t>
  </si>
  <si>
    <t>Beldex</t>
  </si>
  <si>
    <t>BDX</t>
  </si>
  <si>
    <t>$0.07757</t>
  </si>
  <si>
    <t>0.11%</t>
  </si>
  <si>
    <t>$589,997,944</t>
  </si>
  <si>
    <t>$12,955,869</t>
  </si>
  <si>
    <t>7.6B</t>
  </si>
  <si>
    <t>GHO</t>
  </si>
  <si>
    <t>$0.9989</t>
  </si>
  <si>
    <t>0.03%</t>
  </si>
  <si>
    <t>$507,811,109</t>
  </si>
  <si>
    <t>$1,718,549</t>
  </si>
  <si>
    <t>508.36M</t>
  </si>
  <si>
    <t>USDai</t>
  </si>
  <si>
    <t>USDAI</t>
  </si>
  <si>
    <t>$0.9998</t>
  </si>
  <si>
    <t>0.02%</t>
  </si>
  <si>
    <t>$501,292,387</t>
  </si>
  <si>
    <t>$1,889,155</t>
  </si>
  <si>
    <t>501.35M</t>
  </si>
  <si>
    <t>Fasttoken</t>
  </si>
  <si>
    <t>FTN</t>
  </si>
  <si>
    <t>$1.08</t>
  </si>
  <si>
    <t>0.12%</t>
  </si>
  <si>
    <t>$474,148,308</t>
  </si>
  <si>
    <t>$12,397,216</t>
  </si>
  <si>
    <t>436.26M</t>
  </si>
  <si>
    <t>c8ntinuum</t>
  </si>
  <si>
    <t>CTM</t>
  </si>
  <si>
    <t>$0.1057</t>
  </si>
  <si>
    <t>0.87%</t>
  </si>
  <si>
    <t>$460,810,289</t>
  </si>
  <si>
    <t>$1,330,345</t>
  </si>
  <si>
    <t>4.35B</t>
  </si>
  <si>
    <t>Legacy Frax Dollar</t>
  </si>
  <si>
    <t>FRAX</t>
  </si>
  <si>
    <t>$0.9930</t>
  </si>
  <si>
    <t>$274,227,580</t>
  </si>
  <si>
    <t>$19,112,452</t>
  </si>
  <si>
    <t>276.15M</t>
  </si>
  <si>
    <t>Undeads Games</t>
  </si>
  <si>
    <t>UDS</t>
  </si>
  <si>
    <t>$2.27</t>
  </si>
  <si>
    <t>0.15%</t>
  </si>
  <si>
    <t>$225,619,808</t>
  </si>
  <si>
    <t>$484,611</t>
  </si>
  <si>
    <t>99.24M</t>
  </si>
  <si>
    <t>Ape and Pepe</t>
  </si>
  <si>
    <t>APEPE</t>
  </si>
  <si>
    <t>$0.051067</t>
  </si>
  <si>
    <t>0.10%</t>
  </si>
  <si>
    <t>$224,178,936</t>
  </si>
  <si>
    <t>$31,806,985</t>
  </si>
  <si>
    <t>210T</t>
  </si>
  <si>
    <t>Zeebu</t>
  </si>
  <si>
    <t>ZBU</t>
  </si>
  <si>
    <t>$0.5196</t>
  </si>
  <si>
    <t>0.67%</t>
  </si>
  <si>
    <t>$214,947,624</t>
  </si>
  <si>
    <t>$76,355</t>
  </si>
  <si>
    <t>413.62M</t>
  </si>
  <si>
    <t>WeFi</t>
  </si>
  <si>
    <t>WFI</t>
  </si>
  <si>
    <t>$2.55</t>
  </si>
  <si>
    <t>0.36%</t>
  </si>
  <si>
    <t>$201,136,547</t>
  </si>
  <si>
    <t>$3,432,850</t>
  </si>
  <si>
    <t>78.6M</t>
  </si>
  <si>
    <t>XPR Network</t>
  </si>
  <si>
    <t>XPR</t>
  </si>
  <si>
    <t>$0.002541</t>
  </si>
  <si>
    <t>$72,224,200</t>
  </si>
  <si>
    <t>$2,687,833</t>
  </si>
  <si>
    <t>28.41B</t>
  </si>
  <si>
    <t>USDH</t>
  </si>
  <si>
    <t>$0.9984</t>
  </si>
  <si>
    <t>0.24%</t>
  </si>
  <si>
    <t>$72,083,690</t>
  </si>
  <si>
    <t>$23,327,644</t>
  </si>
  <si>
    <t>72.19M</t>
  </si>
  <si>
    <t>Qubic</t>
  </si>
  <si>
    <t>QUBIC</t>
  </si>
  <si>
    <t>$0.065289</t>
  </si>
  <si>
    <t>0.65%</t>
  </si>
  <si>
    <t>$70,850,527</t>
  </si>
  <si>
    <t>$1,795,870</t>
  </si>
  <si>
    <t>133.94T</t>
  </si>
  <si>
    <t>SushiSwap</t>
  </si>
  <si>
    <t>SUSHI</t>
  </si>
  <si>
    <t>$0.2460</t>
  </si>
  <si>
    <t>$70,579,202</t>
  </si>
  <si>
    <t>$16,262,919</t>
  </si>
  <si>
    <t>286.83M</t>
  </si>
  <si>
    <t>Numeraire</t>
  </si>
  <si>
    <t>NMR</t>
  </si>
  <si>
    <t>$9.38</t>
  </si>
  <si>
    <t>1.91%</t>
  </si>
  <si>
    <t>$70,221,607</t>
  </si>
  <si>
    <t>$17,095,547</t>
  </si>
  <si>
    <t>7.48M</t>
  </si>
  <si>
    <t>Tesla tokenized stock (xStock)</t>
  </si>
  <si>
    <t>TSLAX</t>
  </si>
  <si>
    <t>$426.79</t>
  </si>
  <si>
    <t>0.06%</t>
  </si>
  <si>
    <t>$70,206,142</t>
  </si>
  <si>
    <t>$30,381,708</t>
  </si>
  <si>
    <t>164.49K</t>
  </si>
  <si>
    <t>GMX</t>
  </si>
  <si>
    <t>$6.74</t>
  </si>
  <si>
    <t>0.75%</t>
  </si>
  <si>
    <t>$70,062,843</t>
  </si>
  <si>
    <t>$7,781,122</t>
  </si>
  <si>
    <t>10.38M</t>
  </si>
  <si>
    <t>aelf</t>
  </si>
  <si>
    <t>ELF</t>
  </si>
  <si>
    <t>$0.08526</t>
  </si>
  <si>
    <t>0.79%</t>
  </si>
  <si>
    <t>$69,799,746</t>
  </si>
  <si>
    <t>$2,005,121</t>
  </si>
  <si>
    <t>818.62M</t>
  </si>
  <si>
    <t>VVS Finance</t>
  </si>
  <si>
    <t>VVS</t>
  </si>
  <si>
    <t>$0.051589</t>
  </si>
  <si>
    <t>0.42%</t>
  </si>
  <si>
    <t>$69,227,990</t>
  </si>
  <si>
    <t>$379,508</t>
  </si>
  <si>
    <t>43.55T</t>
  </si>
  <si>
    <t>RedStone</t>
  </si>
  <si>
    <t>RED</t>
  </si>
  <si>
    <t>$0.2260</t>
  </si>
  <si>
    <t>0.71%</t>
  </si>
  <si>
    <t>$69,207,940</t>
  </si>
  <si>
    <t>$12,355,040</t>
  </si>
  <si>
    <t>306.1M</t>
  </si>
  <si>
    <t>Succinct</t>
  </si>
  <si>
    <t>PROVE</t>
  </si>
  <si>
    <t>$0.3522</t>
  </si>
  <si>
    <t>0.80%</t>
  </si>
  <si>
    <t>$68,690,236</t>
  </si>
  <si>
    <t>$35,202,021</t>
  </si>
  <si>
    <t>195M</t>
  </si>
  <si>
    <t>Dohrnii</t>
  </si>
  <si>
    <t>DHN</t>
  </si>
  <si>
    <t>$4.01</t>
  </si>
  <si>
    <t>0.34%</t>
  </si>
  <si>
    <t>$68,590,136</t>
  </si>
  <si>
    <t>$161,633</t>
  </si>
  <si>
    <t>17.07M</t>
  </si>
  <si>
    <t>Kava</t>
  </si>
  <si>
    <t>KAVA</t>
  </si>
  <si>
    <t>$0.06322</t>
  </si>
  <si>
    <t>0.19%</t>
  </si>
  <si>
    <t>$68,467,389</t>
  </si>
  <si>
    <t>$4,687,808</t>
  </si>
  <si>
    <t>1.08B</t>
  </si>
  <si>
    <t>MindWaveDAO</t>
  </si>
  <si>
    <t>NILA</t>
  </si>
  <si>
    <t>$0.08104</t>
  </si>
  <si>
    <t>0.57%</t>
  </si>
  <si>
    <t>$68,300,453</t>
  </si>
  <si>
    <t>$320,904</t>
  </si>
  <si>
    <t>842.76M</t>
  </si>
  <si>
    <t>Pirate Chain</t>
  </si>
  <si>
    <t>ARRR</t>
  </si>
  <si>
    <t>$0.3480</t>
  </si>
  <si>
    <t>0.92%</t>
  </si>
  <si>
    <t>$68,294,996</t>
  </si>
  <si>
    <t>$198,025</t>
  </si>
  <si>
    <t>196.21M</t>
  </si>
  <si>
    <t>ICON</t>
  </si>
  <si>
    <t>ICX</t>
  </si>
  <si>
    <t>$0.04525</t>
  </si>
  <si>
    <t>$49,246,411</t>
  </si>
  <si>
    <t>$3,186,372</t>
  </si>
  <si>
    <t>Spark</t>
  </si>
  <si>
    <t>SPK</t>
  </si>
  <si>
    <t>$0.02105</t>
  </si>
  <si>
    <t>$49,149,473</t>
  </si>
  <si>
    <t>$43,783,971</t>
  </si>
  <si>
    <t>2.33B</t>
  </si>
  <si>
    <t>StorX Network</t>
  </si>
  <si>
    <t>SRX</t>
  </si>
  <si>
    <t>$0.06721</t>
  </si>
  <si>
    <t>0.32%</t>
  </si>
  <si>
    <t>$48,760,107</t>
  </si>
  <si>
    <t>$2,895,727</t>
  </si>
  <si>
    <t>725.44M</t>
  </si>
  <si>
    <t>Pundi X (New)</t>
  </si>
  <si>
    <t>PUNDIX</t>
  </si>
  <si>
    <t>$0.1872</t>
  </si>
  <si>
    <t>$48,384,025</t>
  </si>
  <si>
    <t>$4,103,126</t>
  </si>
  <si>
    <t>258.38M</t>
  </si>
  <si>
    <t>Babylon</t>
  </si>
  <si>
    <t>BABY</t>
  </si>
  <si>
    <t>$0.01701</t>
  </si>
  <si>
    <t>$48,225,874</t>
  </si>
  <si>
    <t>$8,540,848</t>
  </si>
  <si>
    <t>2.83B</t>
  </si>
  <si>
    <t>Enjin Coin</t>
  </si>
  <si>
    <t>ENJ</t>
  </si>
  <si>
    <t>$0.02495</t>
  </si>
  <si>
    <t>$48,159,008</t>
  </si>
  <si>
    <t>$8,585,896</t>
  </si>
  <si>
    <t>1.92B</t>
  </si>
  <si>
    <t>Gemini Dollar</t>
  </si>
  <si>
    <t>GUSD</t>
  </si>
  <si>
    <t>$48,149,023</t>
  </si>
  <si>
    <t>$3,564,774</t>
  </si>
  <si>
    <t>48.14M</t>
  </si>
  <si>
    <t>BORA</t>
  </si>
  <si>
    <t>$0.04361</t>
  </si>
  <si>
    <t>0.82%</t>
  </si>
  <si>
    <t>$47,961,172</t>
  </si>
  <si>
    <t>$32,094,937</t>
  </si>
  <si>
    <t>1.09B</t>
  </si>
  <si>
    <t>Terra</t>
  </si>
  <si>
    <t>LUNA</t>
  </si>
  <si>
    <t>$0.06747</t>
  </si>
  <si>
    <t>0.62%</t>
  </si>
  <si>
    <t>$47,906,844</t>
  </si>
  <si>
    <t>$19,106,090</t>
  </si>
  <si>
    <t>709.98M</t>
  </si>
  <si>
    <t>KGeN</t>
  </si>
  <si>
    <t>KGEN</t>
  </si>
  <si>
    <t>$0.2267</t>
  </si>
  <si>
    <t>$47,864,197</t>
  </si>
  <si>
    <t>$3,082,388</t>
  </si>
  <si>
    <t>211.08M</t>
  </si>
  <si>
    <t>MobileCoin</t>
  </si>
  <si>
    <t>MOB</t>
  </si>
  <si>
    <t>$0.2395</t>
  </si>
  <si>
    <t>$47,531,204</t>
  </si>
  <si>
    <t>$19,972</t>
  </si>
  <si>
    <t>198.39M</t>
  </si>
  <si>
    <t>Pax Dollar</t>
  </si>
  <si>
    <t>USDP</t>
  </si>
  <si>
    <t>$47,495,368</t>
  </si>
  <si>
    <t>$1,279,060</t>
  </si>
  <si>
    <t>47.56M</t>
  </si>
  <si>
    <t>Tornado Cash</t>
  </si>
  <si>
    <t>TORN</t>
  </si>
  <si>
    <t>$47,476,175</t>
  </si>
  <si>
    <t>$281,774</t>
  </si>
  <si>
    <t>5.26M</t>
  </si>
  <si>
    <t>Ontology</t>
  </si>
  <si>
    <t>ONT</t>
  </si>
  <si>
    <t>$0.05068</t>
  </si>
  <si>
    <t>1.10%</t>
  </si>
  <si>
    <t>$47,349,783</t>
  </si>
  <si>
    <t>$5,668,553</t>
  </si>
  <si>
    <t>934.26M</t>
  </si>
  <si>
    <t>RateX</t>
  </si>
  <si>
    <t>RTX</t>
  </si>
  <si>
    <t>$2.80</t>
  </si>
  <si>
    <t>$46,750,473</t>
  </si>
  <si>
    <t>$16,416,153</t>
  </si>
  <si>
    <t>16.66M</t>
  </si>
  <si>
    <t>Orbler</t>
  </si>
  <si>
    <t>ORBR</t>
  </si>
  <si>
    <t>$0.03566</t>
  </si>
  <si>
    <t>$36,217,034</t>
  </si>
  <si>
    <t>$12,424</t>
  </si>
  <si>
    <t>1.01B</t>
  </si>
  <si>
    <t>Dogelon Mars</t>
  </si>
  <si>
    <t>ELON</t>
  </si>
  <si>
    <t>$0.073619</t>
  </si>
  <si>
    <t>$36,139,221</t>
  </si>
  <si>
    <t>$2,950,375</t>
  </si>
  <si>
    <t>998.58T</t>
  </si>
  <si>
    <t>Celo Dollar</t>
  </si>
  <si>
    <t>CUSD</t>
  </si>
  <si>
    <t>$35,595,316</t>
  </si>
  <si>
    <t>$886,094</t>
  </si>
  <si>
    <t>35.55M</t>
  </si>
  <si>
    <t>Momentum</t>
  </si>
  <si>
    <t>MMT</t>
  </si>
  <si>
    <t>$0.1736</t>
  </si>
  <si>
    <t>1.53%</t>
  </si>
  <si>
    <t>$35,451,336</t>
  </si>
  <si>
    <t>$10,695,306</t>
  </si>
  <si>
    <t>204.09M</t>
  </si>
  <si>
    <t>Lumera Health</t>
  </si>
  <si>
    <t>LUR</t>
  </si>
  <si>
    <t>$3.10</t>
  </si>
  <si>
    <t>$35,388,323</t>
  </si>
  <si>
    <t>$9</t>
  </si>
  <si>
    <t>11.4M</t>
  </si>
  <si>
    <t>Shentu</t>
  </si>
  <si>
    <t>CTK</t>
  </si>
  <si>
    <t>$0.2258</t>
  </si>
  <si>
    <t>$35,070,748</t>
  </si>
  <si>
    <t>$3,450,233</t>
  </si>
  <si>
    <t>155.3M</t>
  </si>
  <si>
    <t>Constellation</t>
  </si>
  <si>
    <t>DAG</t>
  </si>
  <si>
    <t>$0.01218</t>
  </si>
  <si>
    <t>$35,013,502</t>
  </si>
  <si>
    <t>$1,132,023</t>
  </si>
  <si>
    <t>2.87B</t>
  </si>
  <si>
    <t>UNIPOLY</t>
  </si>
  <si>
    <t>UNP</t>
  </si>
  <si>
    <t>$0.1590</t>
  </si>
  <si>
    <t>$34,862,745</t>
  </si>
  <si>
    <t>$308,806</t>
  </si>
  <si>
    <t>219.23M</t>
  </si>
  <si>
    <t>Bitlayer</t>
  </si>
  <si>
    <t>BTR</t>
  </si>
  <si>
    <t>$0.1332</t>
  </si>
  <si>
    <t>5.03%</t>
  </si>
  <si>
    <t>$34,860,793</t>
  </si>
  <si>
    <t>$12,541,064</t>
  </si>
  <si>
    <t>261.6M</t>
  </si>
  <si>
    <t>Propy</t>
  </si>
  <si>
    <t>PRO</t>
  </si>
  <si>
    <t>$0.3445</t>
  </si>
  <si>
    <t>0.77%</t>
  </si>
  <si>
    <t>$34,456,917</t>
  </si>
  <si>
    <t>$6,924,837</t>
  </si>
  <si>
    <t>100M</t>
  </si>
  <si>
    <t>Cyber</t>
  </si>
  <si>
    <t>CYBER</t>
  </si>
  <si>
    <t>$0.5843</t>
  </si>
  <si>
    <t>0.96%</t>
  </si>
  <si>
    <t>$34,391,010</t>
  </si>
  <si>
    <t>$8,752,161</t>
  </si>
  <si>
    <t>58.85M</t>
  </si>
  <si>
    <t>Lisk</t>
  </si>
  <si>
    <t>LSK</t>
  </si>
  <si>
    <t>$0.1512</t>
  </si>
  <si>
    <t>$34,266,646</t>
  </si>
  <si>
    <t>$10,726,366</t>
  </si>
  <si>
    <t>226.49M</t>
  </si>
  <si>
    <t>MEET48</t>
  </si>
  <si>
    <t>IDOL</t>
  </si>
  <si>
    <t>$0.03272</t>
  </si>
  <si>
    <t>0.41%</t>
  </si>
  <si>
    <t>$34,240,657</t>
  </si>
  <si>
    <t>$10,611,717</t>
  </si>
  <si>
    <t>1.04B</t>
  </si>
  <si>
    <t>Solayer</t>
  </si>
  <si>
    <t>LAYER</t>
  </si>
  <si>
    <t>$0.1092</t>
  </si>
  <si>
    <t>0.91%</t>
  </si>
  <si>
    <t>$34,159,032</t>
  </si>
  <si>
    <t>$14,634,039</t>
  </si>
  <si>
    <t>312.75M</t>
  </si>
  <si>
    <t>Liquity USD</t>
  </si>
  <si>
    <t>LUSD</t>
  </si>
  <si>
    <t>$0.9985</t>
  </si>
  <si>
    <t>$34,022,741</t>
  </si>
  <si>
    <t>$12,264</t>
  </si>
  <si>
    <t>34.07M</t>
  </si>
  <si>
    <t>Smooth Love Potion</t>
  </si>
  <si>
    <t>SLP</t>
  </si>
  <si>
    <t>$0.0007271</t>
  </si>
  <si>
    <t>1.52%</t>
  </si>
  <si>
    <t>$26,497,748</t>
  </si>
  <si>
    <t>$4,195,238</t>
  </si>
  <si>
    <t>36.44B</t>
  </si>
  <si>
    <t>Chromia</t>
  </si>
  <si>
    <t>CHR</t>
  </si>
  <si>
    <t>$0.03101</t>
  </si>
  <si>
    <t>1.62%</t>
  </si>
  <si>
    <t>$26,446,153</t>
  </si>
  <si>
    <t>$4,390,985</t>
  </si>
  <si>
    <t>852.73M</t>
  </si>
  <si>
    <t>Goatseus Maximus</t>
  </si>
  <si>
    <t>GOAT</t>
  </si>
  <si>
    <t>$0.02629</t>
  </si>
  <si>
    <t>$26,293,151</t>
  </si>
  <si>
    <t>$5,500,422</t>
  </si>
  <si>
    <t>999.98M</t>
  </si>
  <si>
    <t>HarryPotterObamaSonic10Inu (ERC-20)</t>
  </si>
  <si>
    <t>BITCOIN</t>
  </si>
  <si>
    <t>$0.02607</t>
  </si>
  <si>
    <t>$26,067,193</t>
  </si>
  <si>
    <t>$3,947,903</t>
  </si>
  <si>
    <t>999.79M</t>
  </si>
  <si>
    <t>Phala Network</t>
  </si>
  <si>
    <t>PHA</t>
  </si>
  <si>
    <t>$0.03152</t>
  </si>
  <si>
    <t>0.78%</t>
  </si>
  <si>
    <t>$26,047,100</t>
  </si>
  <si>
    <t>$9,153,212</t>
  </si>
  <si>
    <t>826.3M</t>
  </si>
  <si>
    <t>Global Commercial Business</t>
  </si>
  <si>
    <t>GCB</t>
  </si>
  <si>
    <t>$0.02148</t>
  </si>
  <si>
    <t>$25,819,756</t>
  </si>
  <si>
    <t>$175</t>
  </si>
  <si>
    <t>1.2B</t>
  </si>
  <si>
    <t>Hippo Protocol</t>
  </si>
  <si>
    <t>HP</t>
  </si>
  <si>
    <t>$0.02004</t>
  </si>
  <si>
    <t>$25,772,788</t>
  </si>
  <si>
    <t>$3,283,476</t>
  </si>
  <si>
    <t>1.28B</t>
  </si>
  <si>
    <t>Decimal</t>
  </si>
  <si>
    <t>DEL</t>
  </si>
  <si>
    <t>$0.002307</t>
  </si>
  <si>
    <t>2.04%</t>
  </si>
  <si>
    <t>$25,666,043</t>
  </si>
  <si>
    <t>$361,496</t>
  </si>
  <si>
    <t>11.12B</t>
  </si>
  <si>
    <t>Adshares</t>
  </si>
  <si>
    <t>ADS</t>
  </si>
  <si>
    <t>$0.6597</t>
  </si>
  <si>
    <t>3.53%</t>
  </si>
  <si>
    <t>$25,549,724</t>
  </si>
  <si>
    <t>$1,476,148</t>
  </si>
  <si>
    <t>38.72M</t>
  </si>
  <si>
    <t>Gleec Coin</t>
  </si>
  <si>
    <t>GLEEC</t>
  </si>
  <si>
    <t>$0.1404</t>
  </si>
  <si>
    <t>6.84%</t>
  </si>
  <si>
    <t>$25,521,804</t>
  </si>
  <si>
    <t>$134,165</t>
  </si>
  <si>
    <t>181.75M</t>
  </si>
  <si>
    <t>Sapien</t>
  </si>
  <si>
    <t>SAPIEN</t>
  </si>
  <si>
    <t>$0.1013</t>
  </si>
  <si>
    <t>1.51%</t>
  </si>
  <si>
    <t>$25,347,833</t>
  </si>
  <si>
    <t>$7,104,762</t>
  </si>
  <si>
    <t>250M</t>
  </si>
  <si>
    <t>Aurora</t>
  </si>
  <si>
    <t>AURORA</t>
  </si>
  <si>
    <t>$0.03748</t>
  </si>
  <si>
    <t>0.31%</t>
  </si>
  <si>
    <t>$25,336,130</t>
  </si>
  <si>
    <t>$337,909</t>
  </si>
  <si>
    <t>675.93M</t>
  </si>
  <si>
    <t>Renzo</t>
  </si>
  <si>
    <t>REZ</t>
  </si>
  <si>
    <t>$0.003878</t>
  </si>
  <si>
    <t>$25,239,683</t>
  </si>
  <si>
    <t>$8,856,824</t>
  </si>
  <si>
    <t>6.5B</t>
  </si>
  <si>
    <t>Solar</t>
  </si>
  <si>
    <t>SXP</t>
  </si>
  <si>
    <t>$0.03760</t>
  </si>
  <si>
    <t>0.09%</t>
  </si>
  <si>
    <t>$25,222,483</t>
  </si>
  <si>
    <t>$19,207,861</t>
  </si>
  <si>
    <t>670.63M</t>
  </si>
  <si>
    <t>Torch of Liberty</t>
  </si>
  <si>
    <t>LIBERTY</t>
  </si>
  <si>
    <t>$0.02515</t>
  </si>
  <si>
    <t>$25,150,748</t>
  </si>
  <si>
    <t>$27,485,182</t>
  </si>
  <si>
    <t>1B</t>
  </si>
  <si>
    <t>Folks Finance</t>
  </si>
  <si>
    <t>FOLKS</t>
  </si>
  <si>
    <t>$1.59</t>
  </si>
  <si>
    <t>3.28%</t>
  </si>
  <si>
    <t>$19,434,237</t>
  </si>
  <si>
    <t>$6,633,885</t>
  </si>
  <si>
    <t>12.19M</t>
  </si>
  <si>
    <t>Wibegram</t>
  </si>
  <si>
    <t>WIBE</t>
  </si>
  <si>
    <t>$0.9566</t>
  </si>
  <si>
    <t>$19,502,617</t>
  </si>
  <si>
    <t>$880,468</t>
  </si>
  <si>
    <t>20.38M</t>
  </si>
  <si>
    <t>SUPERFORTUNE</t>
  </si>
  <si>
    <t>GUA</t>
  </si>
  <si>
    <t>$0.1559</t>
  </si>
  <si>
    <t>0.81%</t>
  </si>
  <si>
    <t>$19,495,017</t>
  </si>
  <si>
    <t>$5,716,401</t>
  </si>
  <si>
    <t>125M</t>
  </si>
  <si>
    <t>XYM</t>
  </si>
  <si>
    <t>$0.003059</t>
  </si>
  <si>
    <t>$19,421,683</t>
  </si>
  <si>
    <t>$740,186</t>
  </si>
  <si>
    <t>6.34B</t>
  </si>
  <si>
    <t>MetaMUI</t>
  </si>
  <si>
    <t>MMUI</t>
  </si>
  <si>
    <t>$0.04025</t>
  </si>
  <si>
    <t>$19,171,542</t>
  </si>
  <si>
    <t>$518,788</t>
  </si>
  <si>
    <t>476.24M</t>
  </si>
  <si>
    <t>StakeStone</t>
  </si>
  <si>
    <t>STO</t>
  </si>
  <si>
    <t>$0.08505</t>
  </si>
  <si>
    <t>0.44%</t>
  </si>
  <si>
    <t>$19,166,206</t>
  </si>
  <si>
    <t>$16,273,717</t>
  </si>
  <si>
    <t>225.33M</t>
  </si>
  <si>
    <t>Sharp</t>
  </si>
  <si>
    <t>SHARP</t>
  </si>
  <si>
    <t>$0.007125</t>
  </si>
  <si>
    <t>0.48%</t>
  </si>
  <si>
    <t>$19,147,053</t>
  </si>
  <si>
    <t>$407,051</t>
  </si>
  <si>
    <t>2.68B</t>
  </si>
  <si>
    <t>TROLL (SOL)</t>
  </si>
  <si>
    <t>TROLL</t>
  </si>
  <si>
    <t>$0.01899</t>
  </si>
  <si>
    <t>3.77%</t>
  </si>
  <si>
    <t>$18,974,393</t>
  </si>
  <si>
    <t>$2,638,212</t>
  </si>
  <si>
    <t>998.88M</t>
  </si>
  <si>
    <t>Orchid</t>
  </si>
  <si>
    <t>OXT</t>
  </si>
  <si>
    <t>$0.01897</t>
  </si>
  <si>
    <t>$18,924,952</t>
  </si>
  <si>
    <t>$1,893,689</t>
  </si>
  <si>
    <t>997.21M</t>
  </si>
  <si>
    <t>StrikeX</t>
  </si>
  <si>
    <t>STRX</t>
  </si>
  <si>
    <t>$0.02172</t>
  </si>
  <si>
    <t>0.61%</t>
  </si>
  <si>
    <t>$18,958,115</t>
  </si>
  <si>
    <t>$13,833</t>
  </si>
  <si>
    <t>872.68M</t>
  </si>
  <si>
    <t>FLock.io</t>
  </si>
  <si>
    <t>FLOCK</t>
  </si>
  <si>
    <t>$0.06623</t>
  </si>
  <si>
    <t>0.63%</t>
  </si>
  <si>
    <t>$18,909,722</t>
  </si>
  <si>
    <t>$6,238,427</t>
  </si>
  <si>
    <t>285.49M</t>
  </si>
  <si>
    <t>Solend</t>
  </si>
  <si>
    <t>SLND</t>
  </si>
  <si>
    <t>$0.1886</t>
  </si>
  <si>
    <t>$18,864,638</t>
  </si>
  <si>
    <t>$1,260</t>
  </si>
  <si>
    <t>Public Masterpiece Token</t>
  </si>
  <si>
    <t>PMT</t>
  </si>
  <si>
    <t>$0.1115</t>
  </si>
  <si>
    <t>$18,790,723</t>
  </si>
  <si>
    <t>$417,879</t>
  </si>
  <si>
    <t>168.47M</t>
  </si>
  <si>
    <t>BOB (Build on Bitcoin)</t>
  </si>
  <si>
    <t>BOB</t>
  </si>
  <si>
    <t>$0.008449</t>
  </si>
  <si>
    <t>2.00%</t>
  </si>
  <si>
    <t>$18,758,453</t>
  </si>
  <si>
    <t>$6,075,802</t>
  </si>
  <si>
    <t>2.22B</t>
  </si>
  <si>
    <t>Fusionist</t>
  </si>
  <si>
    <t>ACE</t>
  </si>
  <si>
    <t>$0.2146</t>
  </si>
  <si>
    <t>0.37%</t>
  </si>
  <si>
    <t>$18,688,424</t>
  </si>
  <si>
    <t>$9,923,814</t>
  </si>
  <si>
    <t>87.04M</t>
  </si>
  <si>
    <t>WAR</t>
  </si>
  <si>
    <t>$0.01508</t>
  </si>
  <si>
    <t>0.40%</t>
  </si>
  <si>
    <t>$15,087,867</t>
  </si>
  <si>
    <t>$8,157,280</t>
  </si>
  <si>
    <t>Araracoin</t>
  </si>
  <si>
    <t>ARARA</t>
  </si>
  <si>
    <t>$0.0004161</t>
  </si>
  <si>
    <t>0.08%</t>
  </si>
  <si>
    <t>$15,086,387</t>
  </si>
  <si>
    <t>$13,090</t>
  </si>
  <si>
    <t>36.25B</t>
  </si>
  <si>
    <t>Vameon</t>
  </si>
  <si>
    <t>VON</t>
  </si>
  <si>
    <t>$0.00002969</t>
  </si>
  <si>
    <t>$14,845,661</t>
  </si>
  <si>
    <t>$292,534</t>
  </si>
  <si>
    <t>500B</t>
  </si>
  <si>
    <t>inSure DeFi</t>
  </si>
  <si>
    <t>SURE</t>
  </si>
  <si>
    <t>$0.0005510</t>
  </si>
  <si>
    <t>3.93%</t>
  </si>
  <si>
    <t>$14,761,996</t>
  </si>
  <si>
    <t>$236</t>
  </si>
  <si>
    <t>26.79B</t>
  </si>
  <si>
    <t>USDM</t>
  </si>
  <si>
    <t>$14,752,450</t>
  </si>
  <si>
    <t>$1,349,239</t>
  </si>
  <si>
    <t>14.67M</t>
  </si>
  <si>
    <t>Puffer</t>
  </si>
  <si>
    <t>PUFFER</t>
  </si>
  <si>
    <t>$0.03952</t>
  </si>
  <si>
    <t>$14,622,256</t>
  </si>
  <si>
    <t>$2,702,918</t>
  </si>
  <si>
    <t>369.95M</t>
  </si>
  <si>
    <t>Micron Technology Tokenized Stock (Ondo)</t>
  </si>
  <si>
    <t>MUon</t>
  </si>
  <si>
    <t>$421.40</t>
  </si>
  <si>
    <t>$14,622,036</t>
  </si>
  <si>
    <t>$4,709,810</t>
  </si>
  <si>
    <t>34.69K</t>
  </si>
  <si>
    <t>Vanar Chain</t>
  </si>
  <si>
    <t>VANRY</t>
  </si>
  <si>
    <t>$0.006465</t>
  </si>
  <si>
    <t>1.29%</t>
  </si>
  <si>
    <t>$14,588,992</t>
  </si>
  <si>
    <t>$10,537,420</t>
  </si>
  <si>
    <t>2.25B</t>
  </si>
  <si>
    <t>Moss Coin</t>
  </si>
  <si>
    <t>MOC</t>
  </si>
  <si>
    <t>$0.03308</t>
  </si>
  <si>
    <t>$14,574,626</t>
  </si>
  <si>
    <t>$10,745,584</t>
  </si>
  <si>
    <t>440.48M</t>
  </si>
  <si>
    <t>Towns</t>
  </si>
  <si>
    <t>TOWNS</t>
  </si>
  <si>
    <t>$0.005361</t>
  </si>
  <si>
    <t>2.12%</t>
  </si>
  <si>
    <t>$14,557,174</t>
  </si>
  <si>
    <t>$11,176,463</t>
  </si>
  <si>
    <t>2.71B</t>
  </si>
  <si>
    <t>Epic Chain</t>
  </si>
  <si>
    <t>EPIC</t>
  </si>
  <si>
    <t>$0.4324</t>
  </si>
  <si>
    <t>0.52%</t>
  </si>
  <si>
    <t>$14,530,482</t>
  </si>
  <si>
    <t>$4,296,543</t>
  </si>
  <si>
    <t>33.6M</t>
  </si>
  <si>
    <t>Talus</t>
  </si>
  <si>
    <t>US</t>
  </si>
  <si>
    <t>$0.006587</t>
  </si>
  <si>
    <t>1.04%</t>
  </si>
  <si>
    <t>$14,492,346</t>
  </si>
  <si>
    <t>$14,395,269</t>
  </si>
  <si>
    <t>2.2B</t>
  </si>
  <si>
    <t>iShares Core US Aggregate Bond Tokenized ETF (Ondo)</t>
  </si>
  <si>
    <t>AGGon</t>
  </si>
  <si>
    <t>$101.81</t>
  </si>
  <si>
    <t>$14,407,449</t>
  </si>
  <si>
    <t>$1,140,907</t>
  </si>
  <si>
    <t>141.51K</t>
  </si>
  <si>
    <t>Solv Protocol</t>
  </si>
  <si>
    <t>SOLV</t>
  </si>
  <si>
    <t>$0.009703</t>
  </si>
  <si>
    <t>$14,386,535</t>
  </si>
  <si>
    <t>$6,532,807</t>
  </si>
  <si>
    <t>1.48B</t>
  </si>
  <si>
    <t>CONX</t>
  </si>
  <si>
    <t>XPLA</t>
  </si>
  <si>
    <t>$0.01598</t>
  </si>
  <si>
    <t>0.54%</t>
  </si>
  <si>
    <t>$14,294,110</t>
  </si>
  <si>
    <t>$78,509</t>
  </si>
  <si>
    <t>894.1M</t>
  </si>
  <si>
    <t>Chainbounty</t>
  </si>
  <si>
    <t>BOUNTY</t>
  </si>
  <si>
    <t>$0.02313</t>
  </si>
  <si>
    <t>1.20%</t>
  </si>
  <si>
    <t>$11,771,749</t>
  </si>
  <si>
    <t>$4,837,322</t>
  </si>
  <si>
    <t>508.88M</t>
  </si>
  <si>
    <t>Luna by Virtuals</t>
  </si>
  <si>
    <t>$0.01173</t>
  </si>
  <si>
    <t>$11,738,691</t>
  </si>
  <si>
    <t>$227,106</t>
  </si>
  <si>
    <t>Scroll</t>
  </si>
  <si>
    <t>SCR</t>
  </si>
  <si>
    <t>$0.06169</t>
  </si>
  <si>
    <t>$11,722,839</t>
  </si>
  <si>
    <t>$6,094,776</t>
  </si>
  <si>
    <t>190M</t>
  </si>
  <si>
    <t>AS Roma Fan Token</t>
  </si>
  <si>
    <t>ASR</t>
  </si>
  <si>
    <t>$1.44</t>
  </si>
  <si>
    <t>$11,721,495</t>
  </si>
  <si>
    <t>$4,782,143</t>
  </si>
  <si>
    <t>8.13M</t>
  </si>
  <si>
    <t>OpenServ</t>
  </si>
  <si>
    <t>SERV</t>
  </si>
  <si>
    <t>$0.01551</t>
  </si>
  <si>
    <t>1.94%</t>
  </si>
  <si>
    <t>$11,632,684</t>
  </si>
  <si>
    <t>$966,021</t>
  </si>
  <si>
    <t>750M</t>
  </si>
  <si>
    <t>Camp Network</t>
  </si>
  <si>
    <t>CAMP</t>
  </si>
  <si>
    <t>$0.005522</t>
  </si>
  <si>
    <t>2.46%</t>
  </si>
  <si>
    <t>$11,629,158</t>
  </si>
  <si>
    <t>$3,907,439</t>
  </si>
  <si>
    <t>2.1B</t>
  </si>
  <si>
    <t>Ika</t>
  </si>
  <si>
    <t>IKA</t>
  </si>
  <si>
    <t>$0.003876</t>
  </si>
  <si>
    <t>2.09%</t>
  </si>
  <si>
    <t>$11,628,176</t>
  </si>
  <si>
    <t>$11,365,892</t>
  </si>
  <si>
    <t>3B</t>
  </si>
  <si>
    <t>Phoenix</t>
  </si>
  <si>
    <t>PHB</t>
  </si>
  <si>
    <t>$0.1860</t>
  </si>
  <si>
    <t>1.38%</t>
  </si>
  <si>
    <t>$11,617,190</t>
  </si>
  <si>
    <t>$3,689,496</t>
  </si>
  <si>
    <t>62.45M</t>
  </si>
  <si>
    <t>Minswap</t>
  </si>
  <si>
    <t>MIN</t>
  </si>
  <si>
    <t>$0.006583</t>
  </si>
  <si>
    <t>$11,587,050</t>
  </si>
  <si>
    <t>$158,701</t>
  </si>
  <si>
    <t>1.76B</t>
  </si>
  <si>
    <t>Abelian</t>
  </si>
  <si>
    <t>ABEL</t>
  </si>
  <si>
    <t>$0.1032</t>
  </si>
  <si>
    <t>4.25%</t>
  </si>
  <si>
    <t>$11,558,741</t>
  </si>
  <si>
    <t>$97,019</t>
  </si>
  <si>
    <t>111.98M</t>
  </si>
  <si>
    <t>Autonomi</t>
  </si>
  <si>
    <t>ANT</t>
  </si>
  <si>
    <t>$0.08447</t>
  </si>
  <si>
    <t>0.43%</t>
  </si>
  <si>
    <t>$11,543,691</t>
  </si>
  <si>
    <t>$626,143</t>
  </si>
  <si>
    <t>136.64M</t>
  </si>
  <si>
    <t>Lumia</t>
  </si>
  <si>
    <t>LUMIA</t>
  </si>
  <si>
    <t>$0.08119</t>
  </si>
  <si>
    <t>1.03%</t>
  </si>
  <si>
    <t>$11,509,614</t>
  </si>
  <si>
    <t>$2,890,457</t>
  </si>
  <si>
    <t>141.74M</t>
  </si>
  <si>
    <t>McDull</t>
  </si>
  <si>
    <t>MCDULL</t>
  </si>
  <si>
    <t>$0.051517</t>
  </si>
  <si>
    <t>$11,467,536</t>
  </si>
  <si>
    <t>$27,229</t>
  </si>
  <si>
    <t>7.55T</t>
  </si>
  <si>
    <t>Fuel Network</t>
  </si>
  <si>
    <t>FUEL</t>
  </si>
  <si>
    <t>$0.001611</t>
  </si>
  <si>
    <t>0.45%</t>
  </si>
  <si>
    <t>$11,452,944</t>
  </si>
  <si>
    <t>$1,536,011</t>
  </si>
  <si>
    <t>7.1B</t>
  </si>
  <si>
    <t>Ark of Panda</t>
  </si>
  <si>
    <t>AOP</t>
  </si>
  <si>
    <t>$11,452,103</t>
  </si>
  <si>
    <t>$1,216,681</t>
  </si>
  <si>
    <t>349.99M</t>
  </si>
  <si>
    <t>Codatta</t>
  </si>
  <si>
    <t>XNY</t>
  </si>
  <si>
    <t>$0.003632</t>
  </si>
  <si>
    <t>0.13%</t>
  </si>
  <si>
    <t>$9,081,675</t>
  </si>
  <si>
    <t>$19,953,251</t>
  </si>
  <si>
    <t>2.5B</t>
  </si>
  <si>
    <t>Bluefin</t>
  </si>
  <si>
    <t>BLUE</t>
  </si>
  <si>
    <t>$0.02298</t>
  </si>
  <si>
    <t>$9,071,376</t>
  </si>
  <si>
    <t>$4,203,612</t>
  </si>
  <si>
    <t>394.65M</t>
  </si>
  <si>
    <t>dHedge DAO</t>
  </si>
  <si>
    <t>DHT</t>
  </si>
  <si>
    <t>$0.1668</t>
  </si>
  <si>
    <t>$9,070,231</t>
  </si>
  <si>
    <t>$2,971</t>
  </si>
  <si>
    <t>54.37M</t>
  </si>
  <si>
    <t>Devve</t>
  </si>
  <si>
    <t>DEVVE</t>
  </si>
  <si>
    <t>$0.09400</t>
  </si>
  <si>
    <t>2.57%</t>
  </si>
  <si>
    <t>$9,065,884</t>
  </si>
  <si>
    <t>$362,335</t>
  </si>
  <si>
    <t>96.44M</t>
  </si>
  <si>
    <t>PepeCoin</t>
  </si>
  <si>
    <t>PEPECOIN</t>
  </si>
  <si>
    <t>$0.08424</t>
  </si>
  <si>
    <t>$9,018,895</t>
  </si>
  <si>
    <t>$261,994</t>
  </si>
  <si>
    <t>107.05M</t>
  </si>
  <si>
    <t>OORT</t>
  </si>
  <si>
    <t>$0.01293</t>
  </si>
  <si>
    <t>$8,979,774</t>
  </si>
  <si>
    <t>$366,937</t>
  </si>
  <si>
    <t>694.26M</t>
  </si>
  <si>
    <t>RSS3</t>
  </si>
  <si>
    <t>$0.009898</t>
  </si>
  <si>
    <t>2.41%</t>
  </si>
  <si>
    <t>$8,910,580</t>
  </si>
  <si>
    <t>$2,177,604</t>
  </si>
  <si>
    <t>900.19M</t>
  </si>
  <si>
    <t>Bertram The Pomeranian</t>
  </si>
  <si>
    <t>BERT</t>
  </si>
  <si>
    <t>$0.009191</t>
  </si>
  <si>
    <t>1.21%</t>
  </si>
  <si>
    <t>$8,885,426</t>
  </si>
  <si>
    <t>$1,766,137</t>
  </si>
  <si>
    <t>966.74M</t>
  </si>
  <si>
    <t>Union</t>
  </si>
  <si>
    <t>U</t>
  </si>
  <si>
    <t>$0.004621</t>
  </si>
  <si>
    <t>2.34%</t>
  </si>
  <si>
    <t>$8,868,806</t>
  </si>
  <si>
    <t>$2,236,478</t>
  </si>
  <si>
    <t>1.91B</t>
  </si>
  <si>
    <t>Joe coin</t>
  </si>
  <si>
    <t>JOE</t>
  </si>
  <si>
    <t>$0.008867</t>
  </si>
  <si>
    <t>0.55%</t>
  </si>
  <si>
    <t>$8,867,706</t>
  </si>
  <si>
    <t>$233,418</t>
  </si>
  <si>
    <t>Orbiter Finance</t>
  </si>
  <si>
    <t>OBT</t>
  </si>
  <si>
    <t>$0.001704</t>
  </si>
  <si>
    <t>$8,864,473</t>
  </si>
  <si>
    <t>$3,628,496</t>
  </si>
  <si>
    <t>5.2B</t>
  </si>
  <si>
    <t>iShares Core MSCI Emerging Markets Tokenized ETF (Ondo)</t>
  </si>
  <si>
    <t>IEMGon</t>
  </si>
  <si>
    <t>$74.04</t>
  </si>
  <si>
    <t>$8,845,860</t>
  </si>
  <si>
    <t>$683</t>
  </si>
  <si>
    <t>119.46K</t>
  </si>
  <si>
    <t>iShares Russell 1000 Growth Tokenized ETF (Ondo)</t>
  </si>
  <si>
    <t>IWFon</t>
  </si>
  <si>
    <t>$466.09</t>
  </si>
  <si>
    <t>$8,843,042</t>
  </si>
  <si>
    <t>$583</t>
  </si>
  <si>
    <t>18.97K</t>
  </si>
  <si>
    <t>Stonks</t>
  </si>
  <si>
    <t>STNK</t>
  </si>
  <si>
    <t>$15.18</t>
  </si>
  <si>
    <t>0.26%</t>
  </si>
  <si>
    <t>$8,834,717</t>
  </si>
  <si>
    <t>$94,688</t>
  </si>
  <si>
    <t>581.88K</t>
  </si>
  <si>
    <t>DuckChain</t>
  </si>
  <si>
    <t>DUCK</t>
  </si>
  <si>
    <t>$0.001234</t>
  </si>
  <si>
    <t>1.42%</t>
  </si>
  <si>
    <t>$8,830,451</t>
  </si>
  <si>
    <t>$911,878</t>
  </si>
  <si>
    <t>7.15B</t>
  </si>
  <si>
    <t>Major</t>
  </si>
  <si>
    <t>MAJOR</t>
  </si>
  <si>
    <t>$0.09093</t>
  </si>
  <si>
    <t>$7,579,128</t>
  </si>
  <si>
    <t>$979,243</t>
  </si>
  <si>
    <t>83.34M</t>
  </si>
  <si>
    <t>Diamond</t>
  </si>
  <si>
    <t>DMD</t>
  </si>
  <si>
    <t>$2.00</t>
  </si>
  <si>
    <t>$7,569,340</t>
  </si>
  <si>
    <t>$28,651</t>
  </si>
  <si>
    <t>3.77M</t>
  </si>
  <si>
    <t>NEM</t>
  </si>
  <si>
    <t>XEM</t>
  </si>
  <si>
    <t>$0.0008404</t>
  </si>
  <si>
    <t>1.31%</t>
  </si>
  <si>
    <t>$7,564,471</t>
  </si>
  <si>
    <t>$2,255,054</t>
  </si>
  <si>
    <t>8.99B</t>
  </si>
  <si>
    <t>ArchLoot</t>
  </si>
  <si>
    <t>AL</t>
  </si>
  <si>
    <t>$0.008710</t>
  </si>
  <si>
    <t>$7,557,592</t>
  </si>
  <si>
    <t>$844,410</t>
  </si>
  <si>
    <t>867.6M</t>
  </si>
  <si>
    <t>Marina Protocol</t>
  </si>
  <si>
    <t>BAY</t>
  </si>
  <si>
    <t>$0.03770</t>
  </si>
  <si>
    <t>$7,541,212</t>
  </si>
  <si>
    <t>$422,983</t>
  </si>
  <si>
    <t>200M</t>
  </si>
  <si>
    <t>Quickswap [New]</t>
  </si>
  <si>
    <t>QUICK</t>
  </si>
  <si>
    <t>$0.009529</t>
  </si>
  <si>
    <t>1.02%</t>
  </si>
  <si>
    <t>$7,504,653</t>
  </si>
  <si>
    <t>$571,512</t>
  </si>
  <si>
    <t>787.52M</t>
  </si>
  <si>
    <t>sudeng</t>
  </si>
  <si>
    <t>HIPPO</t>
  </si>
  <si>
    <t>$0.0007489</t>
  </si>
  <si>
    <t>3.46%</t>
  </si>
  <si>
    <t>$7,489,577</t>
  </si>
  <si>
    <t>$4,568,688</t>
  </si>
  <si>
    <t>10B</t>
  </si>
  <si>
    <t>Manchester City Fan Token</t>
  </si>
  <si>
    <t>CITY</t>
  </si>
  <si>
    <t>$0.5924</t>
  </si>
  <si>
    <t>$7,444,614</t>
  </si>
  <si>
    <t>$7,233,438</t>
  </si>
  <si>
    <t>12.56M</t>
  </si>
  <si>
    <t>StablR USD</t>
  </si>
  <si>
    <t>USDR</t>
  </si>
  <si>
    <t>$0.9993</t>
  </si>
  <si>
    <t>$7,432,008</t>
  </si>
  <si>
    <t>$36,344,157</t>
  </si>
  <si>
    <t>7.43M</t>
  </si>
  <si>
    <t>Houdini Swap</t>
  </si>
  <si>
    <t>LOCK</t>
  </si>
  <si>
    <t>$0.08181</t>
  </si>
  <si>
    <t>$7,427,666</t>
  </si>
  <si>
    <t>$9,167</t>
  </si>
  <si>
    <t>90.79M</t>
  </si>
  <si>
    <t>Swarm</t>
  </si>
  <si>
    <t>BZZ</t>
  </si>
  <si>
    <t>$0.1411</t>
  </si>
  <si>
    <t>0.58%</t>
  </si>
  <si>
    <t>$7,425,666</t>
  </si>
  <si>
    <t>$379,457</t>
  </si>
  <si>
    <t>52.6M</t>
  </si>
  <si>
    <t>XBorg</t>
  </si>
  <si>
    <t>XBG</t>
  </si>
  <si>
    <t>$0.03099</t>
  </si>
  <si>
    <t>$7,397,037</t>
  </si>
  <si>
    <t>$114,546</t>
  </si>
  <si>
    <t>238.67M</t>
  </si>
  <si>
    <t>Keyboard Cat</t>
  </si>
  <si>
    <t>KEYCAT</t>
  </si>
  <si>
    <t>$0.0007387</t>
  </si>
  <si>
    <t>$7,387,847</t>
  </si>
  <si>
    <t>$695,742</t>
  </si>
  <si>
    <t>SaitaChain Coin</t>
  </si>
  <si>
    <t>STC</t>
  </si>
  <si>
    <t>$0.0001650</t>
  </si>
  <si>
    <t>$7,377,852</t>
  </si>
  <si>
    <t>N/A</t>
  </si>
  <si>
    <t>44.7B</t>
  </si>
  <si>
    <t>Avalon Labs (AVL)</t>
  </si>
  <si>
    <t>AVL</t>
  </si>
  <si>
    <t>$0.04540</t>
  </si>
  <si>
    <t>2.72%</t>
  </si>
  <si>
    <t>$7,340,882</t>
  </si>
  <si>
    <t>$7,007,076</t>
  </si>
  <si>
    <t>161.68M</t>
  </si>
  <si>
    <t>CLV</t>
  </si>
  <si>
    <t>$0.004617</t>
  </si>
  <si>
    <t>$5,652,688</t>
  </si>
  <si>
    <t>$850,474</t>
  </si>
  <si>
    <t>1.22B</t>
  </si>
  <si>
    <t>dYdX (ethDYDX)</t>
  </si>
  <si>
    <t>ETHDYDX</t>
  </si>
  <si>
    <t>$0.1352</t>
  </si>
  <si>
    <t>$5,635,263</t>
  </si>
  <si>
    <t>$8,860,292</t>
  </si>
  <si>
    <t>41.65M</t>
  </si>
  <si>
    <t>DeBox</t>
  </si>
  <si>
    <t>BOX</t>
  </si>
  <si>
    <t>$0.01185</t>
  </si>
  <si>
    <t>$5,630,041</t>
  </si>
  <si>
    <t>$16,140</t>
  </si>
  <si>
    <t>474.74M</t>
  </si>
  <si>
    <t>Gamestop tokenized stock (xStock)</t>
  </si>
  <si>
    <t>GMEX</t>
  </si>
  <si>
    <t>$23.91</t>
  </si>
  <si>
    <t>$5,586,077</t>
  </si>
  <si>
    <t>$289</t>
  </si>
  <si>
    <t>233.59K</t>
  </si>
  <si>
    <t>Meta tokenized stock (xStock)</t>
  </si>
  <si>
    <t>METAX</t>
  </si>
  <si>
    <t>$711.14</t>
  </si>
  <si>
    <t>$5,546,835</t>
  </si>
  <si>
    <t>$13,248,698</t>
  </si>
  <si>
    <t>7.79K</t>
  </si>
  <si>
    <t>Bitboard</t>
  </si>
  <si>
    <t>BB</t>
  </si>
  <si>
    <t>$0.001257</t>
  </si>
  <si>
    <t>$5,545,415</t>
  </si>
  <si>
    <t>$391,213</t>
  </si>
  <si>
    <t>4.4B</t>
  </si>
  <si>
    <t>MileVerse</t>
  </si>
  <si>
    <t>MVC</t>
  </si>
  <si>
    <t>$0.002003</t>
  </si>
  <si>
    <t>0.83%</t>
  </si>
  <si>
    <t>$5,530,471</t>
  </si>
  <si>
    <t>$29,199</t>
  </si>
  <si>
    <t>2.76B</t>
  </si>
  <si>
    <t>Kendu</t>
  </si>
  <si>
    <t>KENDU</t>
  </si>
  <si>
    <t>$0.055804</t>
  </si>
  <si>
    <t>1.13%</t>
  </si>
  <si>
    <t>$5,504,946</t>
  </si>
  <si>
    <t>$256,661</t>
  </si>
  <si>
    <t>948.42B</t>
  </si>
  <si>
    <t>ParagonsDAO</t>
  </si>
  <si>
    <t>PDT</t>
  </si>
  <si>
    <t>$0.05089</t>
  </si>
  <si>
    <t>$5,443,081</t>
  </si>
  <si>
    <t>$29,999</t>
  </si>
  <si>
    <t>106.94M</t>
  </si>
  <si>
    <t>Altura</t>
  </si>
  <si>
    <t>ALU</t>
  </si>
  <si>
    <t>$0.005486</t>
  </si>
  <si>
    <t>0.69%</t>
  </si>
  <si>
    <t>$5,431,176</t>
  </si>
  <si>
    <t>$2,355,724</t>
  </si>
  <si>
    <t>990M</t>
  </si>
  <si>
    <t>Mythos</t>
  </si>
  <si>
    <t>MYTH</t>
  </si>
  <si>
    <t>$0.006287</t>
  </si>
  <si>
    <t>1.41%</t>
  </si>
  <si>
    <t>$5,423,460</t>
  </si>
  <si>
    <t>$25,703</t>
  </si>
  <si>
    <t>862.52M</t>
  </si>
  <si>
    <t>PRIZM</t>
  </si>
  <si>
    <t>PZM</t>
  </si>
  <si>
    <t>$0.001237</t>
  </si>
  <si>
    <t>9.13%</t>
  </si>
  <si>
    <t>$5,410,167</t>
  </si>
  <si>
    <t>$29</t>
  </si>
  <si>
    <t>4.37B</t>
  </si>
  <si>
    <t>Izumi Finance</t>
  </si>
  <si>
    <t>IZI</t>
  </si>
  <si>
    <t>$0.006870</t>
  </si>
  <si>
    <t>$5,410,118</t>
  </si>
  <si>
    <t>$98,886</t>
  </si>
  <si>
    <t>787.4M</t>
  </si>
  <si>
    <t>Aria Protocol</t>
  </si>
  <si>
    <t>ARIAIP</t>
  </si>
  <si>
    <t>$0.01624</t>
  </si>
  <si>
    <t>$5,409,721</t>
  </si>
  <si>
    <t>$2,107,931</t>
  </si>
  <si>
    <t>333M</t>
  </si>
  <si>
    <t>Cryptex Finance</t>
  </si>
  <si>
    <t>CTX</t>
  </si>
  <si>
    <t>$0.6589</t>
  </si>
  <si>
    <t>$5,405,952</t>
  </si>
  <si>
    <t>$899,365</t>
  </si>
  <si>
    <t>8.2M</t>
  </si>
  <si>
    <t>TMX</t>
  </si>
  <si>
    <t>$8.72</t>
  </si>
  <si>
    <t>$4,517,509</t>
  </si>
  <si>
    <t>$119,148</t>
  </si>
  <si>
    <t>517.85K</t>
  </si>
  <si>
    <t>Dynex</t>
  </si>
  <si>
    <t>DNX</t>
  </si>
  <si>
    <t>$0.04240</t>
  </si>
  <si>
    <t>1.28%</t>
  </si>
  <si>
    <t>$4,507,337</t>
  </si>
  <si>
    <t>$246,160</t>
  </si>
  <si>
    <t>106.29M</t>
  </si>
  <si>
    <t>Not Pixel</t>
  </si>
  <si>
    <t>PX</t>
  </si>
  <si>
    <t>$0.02294</t>
  </si>
  <si>
    <t>0.18%</t>
  </si>
  <si>
    <t>$4,485,067</t>
  </si>
  <si>
    <t>$19,264</t>
  </si>
  <si>
    <t>195.42M</t>
  </si>
  <si>
    <t>Streamr</t>
  </si>
  <si>
    <t>DATA</t>
  </si>
  <si>
    <t>$0.003563</t>
  </si>
  <si>
    <t>$4,456,203</t>
  </si>
  <si>
    <t>$2,756,625</t>
  </si>
  <si>
    <t>1.25B</t>
  </si>
  <si>
    <t>Smog</t>
  </si>
  <si>
    <t>SMOG</t>
  </si>
  <si>
    <t>$0.005718</t>
  </si>
  <si>
    <t>$4,454,374</t>
  </si>
  <si>
    <t>778.99M</t>
  </si>
  <si>
    <t>Immunefi</t>
  </si>
  <si>
    <t>IMU</t>
  </si>
  <si>
    <t>$0.005282</t>
  </si>
  <si>
    <t>4.40%</t>
  </si>
  <si>
    <t>$4,428,499</t>
  </si>
  <si>
    <t>$42,077,232</t>
  </si>
  <si>
    <t>838.39M</t>
  </si>
  <si>
    <t>MULTIVERSE MONKEY</t>
  </si>
  <si>
    <t>MMON</t>
  </si>
  <si>
    <t>$0.004427</t>
  </si>
  <si>
    <t>$4,427,974</t>
  </si>
  <si>
    <t>$49,035</t>
  </si>
  <si>
    <t>Fair and Free</t>
  </si>
  <si>
    <t>FAIR3</t>
  </si>
  <si>
    <t>$0.004714</t>
  </si>
  <si>
    <t>0.21%</t>
  </si>
  <si>
    <t>$4,412,157</t>
  </si>
  <si>
    <t>$93,718</t>
  </si>
  <si>
    <t>935.81M</t>
  </si>
  <si>
    <t>Amazon tokenized stock (xStock)</t>
  </si>
  <si>
    <t>AMZNX</t>
  </si>
  <si>
    <t>$238.39</t>
  </si>
  <si>
    <t>$4,400,832</t>
  </si>
  <si>
    <t>$12,983,143</t>
  </si>
  <si>
    <t>18.46K</t>
  </si>
  <si>
    <t>Minima</t>
  </si>
  <si>
    <t>MINIMA</t>
  </si>
  <si>
    <t>$0.007948</t>
  </si>
  <si>
    <t>1.75%</t>
  </si>
  <si>
    <t>$4,398,592</t>
  </si>
  <si>
    <t>$112,364</t>
  </si>
  <si>
    <t>553.36M</t>
  </si>
  <si>
    <t>SwissCheese</t>
  </si>
  <si>
    <t>SWCH</t>
  </si>
  <si>
    <t>$0.1004</t>
  </si>
  <si>
    <t>$4,393,014</t>
  </si>
  <si>
    <t>$2,392,168</t>
  </si>
  <si>
    <t>43.74M</t>
  </si>
  <si>
    <t>Crown by Third Time Games</t>
  </si>
  <si>
    <t>CROWN</t>
  </si>
  <si>
    <t>$0.01993</t>
  </si>
  <si>
    <t>$4,362,661</t>
  </si>
  <si>
    <t>$5,991</t>
  </si>
  <si>
    <t>218.88M</t>
  </si>
  <si>
    <t>VitaDAO</t>
  </si>
  <si>
    <t>VITA</t>
  </si>
  <si>
    <t>$0.3097</t>
  </si>
  <si>
    <t>7.07%</t>
  </si>
  <si>
    <t>$4,362,214</t>
  </si>
  <si>
    <t>$452,423</t>
  </si>
  <si>
    <t>14.08M</t>
  </si>
  <si>
    <t>USDJ</t>
  </si>
  <si>
    <t>$0.4658</t>
  </si>
  <si>
    <t>$4,353,721</t>
  </si>
  <si>
    <t>9.34M</t>
  </si>
  <si>
    <t>Tharwa</t>
  </si>
  <si>
    <t>TRWA</t>
  </si>
  <si>
    <t>$0.0006211</t>
  </si>
  <si>
    <t>$4,349,368</t>
  </si>
  <si>
    <t>$552,044</t>
  </si>
  <si>
    <t>7B</t>
  </si>
  <si>
    <t>STUFF.io</t>
  </si>
  <si>
    <t>STUFF</t>
  </si>
  <si>
    <t>$0.001075</t>
  </si>
  <si>
    <t>1.22%</t>
  </si>
  <si>
    <t>$3,577,810</t>
  </si>
  <si>
    <t>$10,397</t>
  </si>
  <si>
    <t>3.32B</t>
  </si>
  <si>
    <t>Zeus Network</t>
  </si>
  <si>
    <t>ZEUS</t>
  </si>
  <si>
    <t>$0.008863</t>
  </si>
  <si>
    <t>1.47%</t>
  </si>
  <si>
    <t>$3,569,993</t>
  </si>
  <si>
    <t>$1,172,009</t>
  </si>
  <si>
    <t>402.77M</t>
  </si>
  <si>
    <t>Yala</t>
  </si>
  <si>
    <t>YALA</t>
  </si>
  <si>
    <t>$0.01292</t>
  </si>
  <si>
    <t>$3,555,113</t>
  </si>
  <si>
    <t>$1,517,491</t>
  </si>
  <si>
    <t>275M</t>
  </si>
  <si>
    <t>Mochimo</t>
  </si>
  <si>
    <t>MCM</t>
  </si>
  <si>
    <t>$0.1264</t>
  </si>
  <si>
    <t>$3,541,772</t>
  </si>
  <si>
    <t>$4,546</t>
  </si>
  <si>
    <t>28M</t>
  </si>
  <si>
    <t>UNCX Network</t>
  </si>
  <si>
    <t>UNCX</t>
  </si>
  <si>
    <t>$75.87</t>
  </si>
  <si>
    <t>6.49%</t>
  </si>
  <si>
    <t>$3,538,764</t>
  </si>
  <si>
    <t>$31,867</t>
  </si>
  <si>
    <t>46.64K</t>
  </si>
  <si>
    <t>trac (Ordinals)</t>
  </si>
  <si>
    <t>TRAC</t>
  </si>
  <si>
    <t>$0.1682</t>
  </si>
  <si>
    <t>$3,533,740</t>
  </si>
  <si>
    <t>$290,321</t>
  </si>
  <si>
    <t>21M</t>
  </si>
  <si>
    <t>noice</t>
  </si>
  <si>
    <t>NOICE</t>
  </si>
  <si>
    <t>$0.00006384</t>
  </si>
  <si>
    <t>0.94%</t>
  </si>
  <si>
    <t>$3,530,698</t>
  </si>
  <si>
    <t>$787,177</t>
  </si>
  <si>
    <t>55.3B</t>
  </si>
  <si>
    <t>Beam</t>
  </si>
  <si>
    <t>BEAM</t>
  </si>
  <si>
    <t>$0.02337</t>
  </si>
  <si>
    <t>6.53%</t>
  </si>
  <si>
    <t>$3,524,608</t>
  </si>
  <si>
    <t>$88,484</t>
  </si>
  <si>
    <t>150.75M</t>
  </si>
  <si>
    <t>Meta Platforms Tokenized Stock (Ondo)</t>
  </si>
  <si>
    <t>METAon</t>
  </si>
  <si>
    <t>$713.96</t>
  </si>
  <si>
    <t>$3,524,195</t>
  </si>
  <si>
    <t>$2,006,099</t>
  </si>
  <si>
    <t>4.93K</t>
  </si>
  <si>
    <t>B-Lucky</t>
  </si>
  <si>
    <t>LUCKY</t>
  </si>
  <si>
    <t>$0.003522</t>
  </si>
  <si>
    <t>1.96%</t>
  </si>
  <si>
    <t>$3,522,600</t>
  </si>
  <si>
    <t>$144,974</t>
  </si>
  <si>
    <t>Mastercard Tokenized Stock (Ondo)</t>
  </si>
  <si>
    <t>MAon</t>
  </si>
  <si>
    <t>$537.87</t>
  </si>
  <si>
    <t>$3,510,862</t>
  </si>
  <si>
    <t>$4,316,869</t>
  </si>
  <si>
    <t>6.52K</t>
  </si>
  <si>
    <t>LumiWave</t>
  </si>
  <si>
    <t>LWA</t>
  </si>
  <si>
    <t>$0.004546</t>
  </si>
  <si>
    <t>$3,501,198</t>
  </si>
  <si>
    <t>$359,599</t>
  </si>
  <si>
    <t>770.07M</t>
  </si>
  <si>
    <t>SHPING</t>
  </si>
  <si>
    <t>$0.001529</t>
  </si>
  <si>
    <t>$3,498,195</t>
  </si>
  <si>
    <t>$164,839</t>
  </si>
  <si>
    <t>2.28B</t>
  </si>
  <si>
    <t>Hathor</t>
  </si>
  <si>
    <t>HTR</t>
  </si>
  <si>
    <t>$0.006818</t>
  </si>
  <si>
    <t>3.25%</t>
  </si>
  <si>
    <t>$3,496,330</t>
  </si>
  <si>
    <t>$140,380</t>
  </si>
  <si>
    <t>512.73M</t>
  </si>
  <si>
    <t>Sovryn</t>
  </si>
  <si>
    <t>SOV</t>
  </si>
  <si>
    <t>$0.07039</t>
  </si>
  <si>
    <t>$3,464,345</t>
  </si>
  <si>
    <t>$100,409</t>
  </si>
  <si>
    <t>49.21M</t>
  </si>
  <si>
    <t>LeisureMeta</t>
  </si>
  <si>
    <t>LM</t>
  </si>
  <si>
    <t>$0.0008769</t>
  </si>
  <si>
    <t>$2,953,641</t>
  </si>
  <si>
    <t>$77,616</t>
  </si>
  <si>
    <t>3.36B</t>
  </si>
  <si>
    <t>Footballcoin (XFC)</t>
  </si>
  <si>
    <t>XFC</t>
  </si>
  <si>
    <t>$0.007464</t>
  </si>
  <si>
    <t>$2,950,560</t>
  </si>
  <si>
    <t>$41,630</t>
  </si>
  <si>
    <t>395.26M</t>
  </si>
  <si>
    <t>NetMind Token</t>
  </si>
  <si>
    <t>NMT</t>
  </si>
  <si>
    <t>$0.08752</t>
  </si>
  <si>
    <t>$2,927,713</t>
  </si>
  <si>
    <t>$310,334</t>
  </si>
  <si>
    <t>33.45M</t>
  </si>
  <si>
    <t>AOL (America Online)</t>
  </si>
  <si>
    <t>AOL</t>
  </si>
  <si>
    <t>$0.002909</t>
  </si>
  <si>
    <t>$2,906,921</t>
  </si>
  <si>
    <t>$1,412,852</t>
  </si>
  <si>
    <t>999.12M</t>
  </si>
  <si>
    <t>WHALE</t>
  </si>
  <si>
    <t>$0.2893</t>
  </si>
  <si>
    <t>$2,893,951</t>
  </si>
  <si>
    <t>10M</t>
  </si>
  <si>
    <t>Jesus Coin</t>
  </si>
  <si>
    <t>JESUS</t>
  </si>
  <si>
    <t>$0.071896</t>
  </si>
  <si>
    <t>$2,872,237</t>
  </si>
  <si>
    <t>$18,020</t>
  </si>
  <si>
    <t>151.42T</t>
  </si>
  <si>
    <t>Zypto</t>
  </si>
  <si>
    <t>ZYPTO</t>
  </si>
  <si>
    <t>$0.003199</t>
  </si>
  <si>
    <t>0.70%</t>
  </si>
  <si>
    <t>$2,867,773</t>
  </si>
  <si>
    <t>$78,025</t>
  </si>
  <si>
    <t>896.45M</t>
  </si>
  <si>
    <t>Nexera</t>
  </si>
  <si>
    <t>NXRA</t>
  </si>
  <si>
    <t>$0.002735</t>
  </si>
  <si>
    <t>$2,861,085</t>
  </si>
  <si>
    <t>$29,417</t>
  </si>
  <si>
    <t>REI Network</t>
  </si>
  <si>
    <t>REI</t>
  </si>
  <si>
    <t>$0.003011</t>
  </si>
  <si>
    <t>$2,860,904</t>
  </si>
  <si>
    <t>$267,778</t>
  </si>
  <si>
    <t>950M</t>
  </si>
  <si>
    <t>Verasity</t>
  </si>
  <si>
    <t>VRA</t>
  </si>
  <si>
    <t>$0.00003059</t>
  </si>
  <si>
    <t>5.09%</t>
  </si>
  <si>
    <t>$2,847,862</t>
  </si>
  <si>
    <t>$2,737,705</t>
  </si>
  <si>
    <t>93.08B</t>
  </si>
  <si>
    <t>zKML</t>
  </si>
  <si>
    <t>ZKML</t>
  </si>
  <si>
    <t>$0.02925</t>
  </si>
  <si>
    <t>1.12%</t>
  </si>
  <si>
    <t>$2,823,353</t>
  </si>
  <si>
    <t>$18,584</t>
  </si>
  <si>
    <t>96.5M</t>
  </si>
  <si>
    <t>Kishu Inu</t>
  </si>
  <si>
    <t>KISHU</t>
  </si>
  <si>
    <t>$0.0103030</t>
  </si>
  <si>
    <t>1.48%</t>
  </si>
  <si>
    <t>$2,822,893</t>
  </si>
  <si>
    <t>$154,604</t>
  </si>
  <si>
    <t>93.13P</t>
  </si>
  <si>
    <t>McDonald's Tokenized Stock (Ondo)</t>
  </si>
  <si>
    <t>MCDon</t>
  </si>
  <si>
    <t>$317.22</t>
  </si>
  <si>
    <t>$2,816,698</t>
  </si>
  <si>
    <t>$715,201</t>
  </si>
  <si>
    <t>8.87K</t>
  </si>
  <si>
    <t>DerivaDAO</t>
  </si>
  <si>
    <t>DDX</t>
  </si>
  <si>
    <t>$0.1077</t>
  </si>
  <si>
    <t>$2,811,990</t>
  </si>
  <si>
    <t>$686</t>
  </si>
  <si>
    <t>26.09M</t>
  </si>
  <si>
    <t>Tether EURt</t>
  </si>
  <si>
    <t>EURt</t>
  </si>
  <si>
    <t>$0.07721</t>
  </si>
  <si>
    <t>2.94%</t>
  </si>
  <si>
    <t>$2,809,828</t>
  </si>
  <si>
    <t>$3,520</t>
  </si>
  <si>
    <t>36.38M</t>
  </si>
  <si>
    <t>Handshake</t>
  </si>
  <si>
    <t>HNS</t>
  </si>
  <si>
    <t>$0.003429</t>
  </si>
  <si>
    <t>$2,324,210</t>
  </si>
  <si>
    <t>$7,501</t>
  </si>
  <si>
    <t>677.73M</t>
  </si>
  <si>
    <t>Shrapnel</t>
  </si>
  <si>
    <t>SHRAP</t>
  </si>
  <si>
    <t>$0.0008032</t>
  </si>
  <si>
    <t>$2,313,767</t>
  </si>
  <si>
    <t>$13,509</t>
  </si>
  <si>
    <t>2.88B</t>
  </si>
  <si>
    <t>Vai</t>
  </si>
  <si>
    <t>VAI</t>
  </si>
  <si>
    <t>$0.9970</t>
  </si>
  <si>
    <t>$2,309,702</t>
  </si>
  <si>
    <t>$59,236</t>
  </si>
  <si>
    <t>2.31M</t>
  </si>
  <si>
    <t>Toyota Tokenized Stock (Ondo)</t>
  </si>
  <si>
    <t>TMon</t>
  </si>
  <si>
    <t>$222.62</t>
  </si>
  <si>
    <t>$2,304,904</t>
  </si>
  <si>
    <t>$676</t>
  </si>
  <si>
    <t>10.35K</t>
  </si>
  <si>
    <t>Cere Network</t>
  </si>
  <si>
    <t>CERE</t>
  </si>
  <si>
    <t>$0.0003318</t>
  </si>
  <si>
    <t>$2,303,123</t>
  </si>
  <si>
    <t>$109,326</t>
  </si>
  <si>
    <t>6.93B</t>
  </si>
  <si>
    <t>Cellframe</t>
  </si>
  <si>
    <t>CELL</t>
  </si>
  <si>
    <t>$0.08031</t>
  </si>
  <si>
    <t>0.95%</t>
  </si>
  <si>
    <t>$2,296,879</t>
  </si>
  <si>
    <t>$399,227</t>
  </si>
  <si>
    <t>28.59M</t>
  </si>
  <si>
    <t>Ethervista</t>
  </si>
  <si>
    <t>VISTA</t>
  </si>
  <si>
    <t>$2.43</t>
  </si>
  <si>
    <t>$2,294,383</t>
  </si>
  <si>
    <t>$299,270</t>
  </si>
  <si>
    <t>940.32K</t>
  </si>
  <si>
    <t>Vertical AI</t>
  </si>
  <si>
    <t>VERTAI</t>
  </si>
  <si>
    <t>$0.02293</t>
  </si>
  <si>
    <t>1.27%</t>
  </si>
  <si>
    <t>$2,293,709</t>
  </si>
  <si>
    <t>$111,982</t>
  </si>
  <si>
    <t>ArbDoge AI</t>
  </si>
  <si>
    <t>AIDOGE</t>
  </si>
  <si>
    <t>$0.0101314</t>
  </si>
  <si>
    <t>$2,292,740</t>
  </si>
  <si>
    <t>$2,109,152</t>
  </si>
  <si>
    <t>174.45P</t>
  </si>
  <si>
    <t>CaptainBNB</t>
  </si>
  <si>
    <t>$0.002620</t>
  </si>
  <si>
    <t>11.96%</t>
  </si>
  <si>
    <t>$2,292,124</t>
  </si>
  <si>
    <t>$307,522</t>
  </si>
  <si>
    <t>874.75M</t>
  </si>
  <si>
    <t>OciCat</t>
  </si>
  <si>
    <t>OCICAT</t>
  </si>
  <si>
    <t>$0.087195</t>
  </si>
  <si>
    <t>$2,290,142</t>
  </si>
  <si>
    <t>$12,557</t>
  </si>
  <si>
    <t>318.29T</t>
  </si>
  <si>
    <t>bitsCrunch</t>
  </si>
  <si>
    <t>BCUT</t>
  </si>
  <si>
    <t>$0.003798</t>
  </si>
  <si>
    <t>12.02%</t>
  </si>
  <si>
    <t>$2,293,523</t>
  </si>
  <si>
    <t>$236,092</t>
  </si>
  <si>
    <t>603.77M</t>
  </si>
  <si>
    <t>Reef</t>
  </si>
  <si>
    <t>REEF</t>
  </si>
  <si>
    <t>$0.0001087</t>
  </si>
  <si>
    <t>$2,286,484</t>
  </si>
  <si>
    <t>$646,020</t>
  </si>
  <si>
    <t>21.01B</t>
  </si>
  <si>
    <t>TOWER</t>
  </si>
  <si>
    <t>$0.0003760</t>
  </si>
  <si>
    <t>$2,285,938</t>
  </si>
  <si>
    <t>$816,265</t>
  </si>
  <si>
    <t>6.07B</t>
  </si>
  <si>
    <t>Magpie</t>
  </si>
  <si>
    <t>MGP</t>
  </si>
  <si>
    <t>$0.004012</t>
  </si>
  <si>
    <t>1.43%</t>
  </si>
  <si>
    <t>$2,278,887</t>
  </si>
  <si>
    <t>$10,481</t>
  </si>
  <si>
    <t>567.97M</t>
  </si>
  <si>
    <t>Napoli Fan Token</t>
  </si>
  <si>
    <t>NAP</t>
  </si>
  <si>
    <t>$0.3618</t>
  </si>
  <si>
    <t>2.52%</t>
  </si>
  <si>
    <t>$1,916,021</t>
  </si>
  <si>
    <t>$575,286</t>
  </si>
  <si>
    <t>5.29M</t>
  </si>
  <si>
    <t>错版马</t>
  </si>
  <si>
    <t>哭哭马</t>
  </si>
  <si>
    <t>$0.001906</t>
  </si>
  <si>
    <t>3.21%</t>
  </si>
  <si>
    <t>$1,906,503</t>
  </si>
  <si>
    <t>$2,807,129</t>
  </si>
  <si>
    <t>Dexsport</t>
  </si>
  <si>
    <t>DESU</t>
  </si>
  <si>
    <t>$0.009743</t>
  </si>
  <si>
    <t>0.14%</t>
  </si>
  <si>
    <t>$1,906,100</t>
  </si>
  <si>
    <t>$3,639</t>
  </si>
  <si>
    <t>195.63M</t>
  </si>
  <si>
    <t>Vader</t>
  </si>
  <si>
    <t>VADER</t>
  </si>
  <si>
    <t>$0.001909</t>
  </si>
  <si>
    <t>$1,903,590</t>
  </si>
  <si>
    <t>$231,003</t>
  </si>
  <si>
    <t>996.73M</t>
  </si>
  <si>
    <t>Luxxcoin</t>
  </si>
  <si>
    <t>LUX</t>
  </si>
  <si>
    <t>$0.0008295</t>
  </si>
  <si>
    <t>0.64%</t>
  </si>
  <si>
    <t>$1,898,990</t>
  </si>
  <si>
    <t>$2,154,532</t>
  </si>
  <si>
    <t>PLAYA3ULL GAMES</t>
  </si>
  <si>
    <t>3ULL</t>
  </si>
  <si>
    <t>$0.0001310</t>
  </si>
  <si>
    <t>$1,898,444</t>
  </si>
  <si>
    <t>$291,579</t>
  </si>
  <si>
    <t>14.48B</t>
  </si>
  <si>
    <t>LOBO•THE•WOLF•PUP (Bitcoin)</t>
  </si>
  <si>
    <t>LOBO</t>
  </si>
  <si>
    <t>$0.0001084</t>
  </si>
  <si>
    <t>$1,898,443</t>
  </si>
  <si>
    <t>$248,162</t>
  </si>
  <si>
    <t>17.5B</t>
  </si>
  <si>
    <t>RETARDIO</t>
  </si>
  <si>
    <t>$0.001937</t>
  </si>
  <si>
    <t>2.05%</t>
  </si>
  <si>
    <t>$1,890,247</t>
  </si>
  <si>
    <t>$812,622</t>
  </si>
  <si>
    <t>975.67M</t>
  </si>
  <si>
    <t>Trias Token (New)</t>
  </si>
  <si>
    <t>TRIAS</t>
  </si>
  <si>
    <t>$0.3775</t>
  </si>
  <si>
    <t>$1,887,590</t>
  </si>
  <si>
    <t>$72,591</t>
  </si>
  <si>
    <t>5M</t>
  </si>
  <si>
    <t>Echo Protocol</t>
  </si>
  <si>
    <t>ECHO</t>
  </si>
  <si>
    <t>$0.006102</t>
  </si>
  <si>
    <t>$1,886,530</t>
  </si>
  <si>
    <t>$441,421</t>
  </si>
  <si>
    <t>309.15M</t>
  </si>
  <si>
    <t>Hydra</t>
  </si>
  <si>
    <t>HYDRA</t>
  </si>
  <si>
    <t>$0.06359</t>
  </si>
  <si>
    <t>$1,885,561</t>
  </si>
  <si>
    <t>$94,886</t>
  </si>
  <si>
    <t>29.64M</t>
  </si>
  <si>
    <t>Amber tokenized stock (xStock)</t>
  </si>
  <si>
    <t>AMBRX</t>
  </si>
  <si>
    <t>$2.51</t>
  </si>
  <si>
    <t>$1,877,793</t>
  </si>
  <si>
    <t>$36</t>
  </si>
  <si>
    <t>745.99K</t>
  </si>
  <si>
    <t>RocketX exchange</t>
  </si>
  <si>
    <t>RVF</t>
  </si>
  <si>
    <t>$0.01997</t>
  </si>
  <si>
    <t>$1,871,049</t>
  </si>
  <si>
    <t>$1,208</t>
  </si>
  <si>
    <t>93.69M</t>
  </si>
  <si>
    <t>Swash</t>
  </si>
  <si>
    <t>SWASH</t>
  </si>
  <si>
    <t>$0.001877</t>
  </si>
  <si>
    <t>$1,867,627</t>
  </si>
  <si>
    <t>$47,480</t>
  </si>
  <si>
    <t>994.96M</t>
  </si>
  <si>
    <t>Inspect</t>
  </si>
  <si>
    <t>INSP</t>
  </si>
  <si>
    <t>$0.002334</t>
  </si>
  <si>
    <t>$1,863,475</t>
  </si>
  <si>
    <t>$323,410</t>
  </si>
  <si>
    <t>798.36M</t>
  </si>
  <si>
    <t>Solanium</t>
  </si>
  <si>
    <t>SLIM</t>
  </si>
  <si>
    <t>$0.01532</t>
  </si>
  <si>
    <t>$1,532,820</t>
  </si>
  <si>
    <t>$106,300</t>
  </si>
  <si>
    <t>Berkshire Hathaway tokenized stock (xStock)</t>
  </si>
  <si>
    <t>BRK.BX</t>
  </si>
  <si>
    <t>$478.82</t>
  </si>
  <si>
    <t>$1,532,243</t>
  </si>
  <si>
    <t>$48</t>
  </si>
  <si>
    <t>3.19K</t>
  </si>
  <si>
    <t>Efinity Token</t>
  </si>
  <si>
    <t>EFI</t>
  </si>
  <si>
    <t>$0.01741</t>
  </si>
  <si>
    <t>28.40%</t>
  </si>
  <si>
    <t>$1,513,741</t>
  </si>
  <si>
    <t>$92</t>
  </si>
  <si>
    <t>86.91M</t>
  </si>
  <si>
    <t>Crypton</t>
  </si>
  <si>
    <t>CRP</t>
  </si>
  <si>
    <t>$0.1440</t>
  </si>
  <si>
    <t>$1,512,510</t>
  </si>
  <si>
    <t>$277,199</t>
  </si>
  <si>
    <t>10.49M</t>
  </si>
  <si>
    <t>Vexanium</t>
  </si>
  <si>
    <t>VEX</t>
  </si>
  <si>
    <t>$0.002058</t>
  </si>
  <si>
    <t>$1,510,003</t>
  </si>
  <si>
    <t>$59,560</t>
  </si>
  <si>
    <t>733.64M</t>
  </si>
  <si>
    <t>Linde plc Tokenized Stock (Ondo)</t>
  </si>
  <si>
    <t>LINon</t>
  </si>
  <si>
    <t>$458.90</t>
  </si>
  <si>
    <t>$1,509,662</t>
  </si>
  <si>
    <t>$1,899,106</t>
  </si>
  <si>
    <t>3.28K</t>
  </si>
  <si>
    <t>BASE</t>
  </si>
  <si>
    <t>$0.051621</t>
  </si>
  <si>
    <t>$1,507,529</t>
  </si>
  <si>
    <t>929.45B</t>
  </si>
  <si>
    <t>catwifmask</t>
  </si>
  <si>
    <t>MASK</t>
  </si>
  <si>
    <t>$0.001504</t>
  </si>
  <si>
    <t>3.61%</t>
  </si>
  <si>
    <t>$1,504,520</t>
  </si>
  <si>
    <t>$361,388</t>
  </si>
  <si>
    <t>999.77M</t>
  </si>
  <si>
    <t>Abbott Tokenized Stock (Ondo)</t>
  </si>
  <si>
    <t>ABTon</t>
  </si>
  <si>
    <t>$109.70</t>
  </si>
  <si>
    <t>$1,499,039</t>
  </si>
  <si>
    <t>$2,089,185</t>
  </si>
  <si>
    <t>13.66K</t>
  </si>
  <si>
    <t>SubQuery Network</t>
  </si>
  <si>
    <t>SQT</t>
  </si>
  <si>
    <t>$0.0004194</t>
  </si>
  <si>
    <t>$1,495,395</t>
  </si>
  <si>
    <t>$95,798</t>
  </si>
  <si>
    <t>3.56B</t>
  </si>
  <si>
    <t>HELLO Labs</t>
  </si>
  <si>
    <t>HELLO</t>
  </si>
  <si>
    <t>$0.002041</t>
  </si>
  <si>
    <t>$1,493,648</t>
  </si>
  <si>
    <t>$116,394</t>
  </si>
  <si>
    <t>731.58M</t>
  </si>
  <si>
    <t>HyperCycle</t>
  </si>
  <si>
    <t>HYPC</t>
  </si>
  <si>
    <t>$0.009602</t>
  </si>
  <si>
    <t>$1,489,635</t>
  </si>
  <si>
    <t>155.12M</t>
  </si>
  <si>
    <t>Kima Network</t>
  </si>
  <si>
    <t>KIMA</t>
  </si>
  <si>
    <t>$0.02253</t>
  </si>
  <si>
    <t>$1,486,724</t>
  </si>
  <si>
    <t>$289,348</t>
  </si>
  <si>
    <t>65.97M</t>
  </si>
  <si>
    <t>Cypherium</t>
  </si>
  <si>
    <t>CPH</t>
  </si>
  <si>
    <t>$0.003859</t>
  </si>
  <si>
    <t>$1,478,116</t>
  </si>
  <si>
    <t>$56,269</t>
  </si>
  <si>
    <t>382.95M</t>
  </si>
  <si>
    <t>Accenture Tokenized Stock (Ondo)</t>
  </si>
  <si>
    <t>ACNon</t>
  </si>
  <si>
    <t>$266.62</t>
  </si>
  <si>
    <t>$1,473,598</t>
  </si>
  <si>
    <t>$7,192,953</t>
  </si>
  <si>
    <t>5.52K</t>
  </si>
  <si>
    <t>Stool Prisondente</t>
  </si>
  <si>
    <t>JAILSTOOL</t>
  </si>
  <si>
    <t>$0.001215</t>
  </si>
  <si>
    <t>$1,214,638</t>
  </si>
  <si>
    <t>$236,902</t>
  </si>
  <si>
    <t>999.68M</t>
  </si>
  <si>
    <t>UniBot</t>
  </si>
  <si>
    <t>UNIBOT</t>
  </si>
  <si>
    <t>$1.21</t>
  </si>
  <si>
    <t>2.98%</t>
  </si>
  <si>
    <t>$1,212,089</t>
  </si>
  <si>
    <t>$182,315</t>
  </si>
  <si>
    <t>1M</t>
  </si>
  <si>
    <t>Silencio</t>
  </si>
  <si>
    <t>SLC</t>
  </si>
  <si>
    <t>$0.00006927</t>
  </si>
  <si>
    <t>$1,207,343</t>
  </si>
  <si>
    <t>$143,372</t>
  </si>
  <si>
    <t>17.42B</t>
  </si>
  <si>
    <t>Fleek</t>
  </si>
  <si>
    <t>FLK</t>
  </si>
  <si>
    <t>$0.06019</t>
  </si>
  <si>
    <t>2.39%</t>
  </si>
  <si>
    <t>$1,203,839</t>
  </si>
  <si>
    <t>$1,055,504</t>
  </si>
  <si>
    <t>20M</t>
  </si>
  <si>
    <t>修仙</t>
  </si>
  <si>
    <t>$0.001203</t>
  </si>
  <si>
    <t>$1,203,331</t>
  </si>
  <si>
    <t>$809,492</t>
  </si>
  <si>
    <t>StarSlax</t>
  </si>
  <si>
    <t>SSLX</t>
  </si>
  <si>
    <t>$0.0004809</t>
  </si>
  <si>
    <t>$1,203,193</t>
  </si>
  <si>
    <t>$63,501</t>
  </si>
  <si>
    <t>Dejitaru Tsuka</t>
  </si>
  <si>
    <t>TSUKA</t>
  </si>
  <si>
    <t>$0.001200</t>
  </si>
  <si>
    <t>$1,200,691</t>
  </si>
  <si>
    <t>$56,307</t>
  </si>
  <si>
    <t>Oracle Tokenized Stock (Ondo)</t>
  </si>
  <si>
    <t>ORCLon</t>
  </si>
  <si>
    <t>$164.46</t>
  </si>
  <si>
    <t>$1,199,377</t>
  </si>
  <si>
    <t>$1,674,639</t>
  </si>
  <si>
    <t>7.29K</t>
  </si>
  <si>
    <t>John Tsubasa Rivals</t>
  </si>
  <si>
    <t>JOHN</t>
  </si>
  <si>
    <t>$0.006690</t>
  </si>
  <si>
    <t>1.46%</t>
  </si>
  <si>
    <t>$1,197,525</t>
  </si>
  <si>
    <t>$44,783</t>
  </si>
  <si>
    <t>179M</t>
  </si>
  <si>
    <t>WINR Protocol</t>
  </si>
  <si>
    <t>WINR</t>
  </si>
  <si>
    <t>$0.001678</t>
  </si>
  <si>
    <t>0.86%</t>
  </si>
  <si>
    <t>$1,196,596</t>
  </si>
  <si>
    <t>$3,716</t>
  </si>
  <si>
    <t>712.76M</t>
  </si>
  <si>
    <t>Chipotle Tokenized Stock (Ondo)</t>
  </si>
  <si>
    <t>CMGon</t>
  </si>
  <si>
    <t>$38.83</t>
  </si>
  <si>
    <t>$1,193,229</t>
  </si>
  <si>
    <t>$252,564</t>
  </si>
  <si>
    <t>30.72K</t>
  </si>
  <si>
    <t>DeepBrain Chain</t>
  </si>
  <si>
    <t>DBC</t>
  </si>
  <si>
    <t>$0.0002186</t>
  </si>
  <si>
    <t>$1,187,200</t>
  </si>
  <si>
    <t>$18,924</t>
  </si>
  <si>
    <t>5.42B</t>
  </si>
  <si>
    <t>Zero1 Labs</t>
  </si>
  <si>
    <t>DEAI</t>
  </si>
  <si>
    <t>$0.01299</t>
  </si>
  <si>
    <t>$1,185,819</t>
  </si>
  <si>
    <t>$1,864,957</t>
  </si>
  <si>
    <t>91.22M</t>
  </si>
  <si>
    <t>AgriDex</t>
  </si>
  <si>
    <t>AGRI</t>
  </si>
  <si>
    <t>$0.004172</t>
  </si>
  <si>
    <t>$1,184,980</t>
  </si>
  <si>
    <t>$20,173</t>
  </si>
  <si>
    <t>284M</t>
  </si>
  <si>
    <t>Blocksquare Token</t>
  </si>
  <si>
    <t>BST</t>
  </si>
  <si>
    <t>$0.01919</t>
  </si>
  <si>
    <t>$1,180,240</t>
  </si>
  <si>
    <t>$84,833</t>
  </si>
  <si>
    <t>61.47M</t>
  </si>
  <si>
    <t>Circulating_Supply($)</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</si>
  <si>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</si>
  <si>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</si>
  <si>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</si>
  <si>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</si>
  <si>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</si>
  <si>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</si>
  <si>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</si>
  <si>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</si>
  <si>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</si>
  <si>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</si>
  <si>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</si>
  <si>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</si>
  <si>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</si>
  <si>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</si>
  <si>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</si>
  <si>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</si>
  <si>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</si>
  <si>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</si>
  <si>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</si>
  <si>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</si>
  <si>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</si>
  <si>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</si>
  <si>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</si>
  <si>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</si>
  <si>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</si>
  <si>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</si>
  <si>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</si>
  <si>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</si>
  <si>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</si>
  <si>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</si>
  <si>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</si>
  <si>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</si>
  <si>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</si>
  <si>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</si>
  <si>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</si>
  <si>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</si>
  <si>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</si>
  <si>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</si>
  <si>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</si>
  <si>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</si>
  <si>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</si>
  <si>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</si>
  <si>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</si>
  <si>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</si>
  <si>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</si>
  <si>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</si>
  <si>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</si>
  <si>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</si>
  <si>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</si>
  <si>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</si>
  <si>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</si>
  <si>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</si>
  <si>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</si>
  <si>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</si>
  <si>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</si>
  <si>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</si>
  <si>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</si>
  <si>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</si>
  <si>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</si>
  <si>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</si>
  <si>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</si>
  <si>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</si>
  <si>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</si>
  <si>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</si>
  <si>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</si>
  <si>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</si>
  <si>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</si>
  <si>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</si>
  <si>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</si>
  <si>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</si>
  <si>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</si>
  <si>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</si>
  <si>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</si>
  <si>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</si>
  <si>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</si>
  <si>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</si>
  <si>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</si>
  <si>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</si>
  <si>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</si>
  <si>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</si>
  <si>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</si>
  <si>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</si>
  <si>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</si>
  <si>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</si>
  <si>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</si>
  <si>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</si>
  <si>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</si>
  <si>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</si>
  <si>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</si>
  <si>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</si>
  <si>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</si>
  <si>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</si>
  <si>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</si>
  <si>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</si>
  <si>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</si>
  <si>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</si>
  <si>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</si>
  <si>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</si>
  <si>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</si>
  <si>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</si>
  <si>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</si>
  <si>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</si>
  <si>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</si>
  <si>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</si>
  <si>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</si>
  <si>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</si>
  <si>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</si>
  <si>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</si>
  <si>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</si>
  <si>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</si>
  <si>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</si>
  <si>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</si>
  <si>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</si>
  <si>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</si>
  <si>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</si>
  <si>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</si>
  <si>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</si>
  <si>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</si>
  <si>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</si>
  <si>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</si>
  <si>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</si>
  <si>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</si>
  <si>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</si>
  <si>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</si>
  <si>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</si>
  <si>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</si>
  <si>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</si>
  <si>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</si>
  <si>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</si>
  <si>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</si>
  <si>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</si>
  <si>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</si>
  <si>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</si>
  <si>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</si>
  <si>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</si>
  <si>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</si>
  <si>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</si>
  <si>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</si>
  <si>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</si>
  <si>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</si>
  <si>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</si>
  <si>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</si>
  <si>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</si>
  <si>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</si>
  <si>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</si>
  <si>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</si>
  <si>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</si>
  <si>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</si>
  <si>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</si>
  <si>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</si>
  <si>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</si>
  <si>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</si>
  <si>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</si>
  <si>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</si>
  <si>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</si>
  <si>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</si>
  <si>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</si>
  <si>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</si>
  <si>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</si>
  <si>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</si>
  <si>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</si>
  <si>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</si>
  <si>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</si>
  <si>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</si>
  <si>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</si>
  <si>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</si>
  <si>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</si>
  <si>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</si>
  <si>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</si>
  <si>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</si>
  <si>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</si>
  <si>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</si>
  <si>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</si>
  <si>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</si>
  <si>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</si>
  <si>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</si>
  <si>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</si>
  <si>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</si>
  <si>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</si>
  <si>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</si>
  <si>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</si>
  <si>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</si>
  <si>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</si>
  <si>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</si>
  <si>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</si>
  <si>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</si>
  <si>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</si>
  <si>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</si>
  <si>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</si>
  <si>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</si>
  <si>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</si>
  <si>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</si>
  <si>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</si>
  <si>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</si>
  <si>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</si>
  <si>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</si>
  <si>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</si>
  <si>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</si>
  <si>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</si>
  <si>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</si>
  <si>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</si>
  <si>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</si>
  <si>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</si>
  <si>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</si>
  <si>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</si>
  <si>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</si>
  <si>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</si>
  <si>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</si>
  <si>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</si>
  <si>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</si>
  <si>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</si>
  <si>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</si>
  <si>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</si>
  <si>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</si>
  <si>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</si>
  <si>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</si>
  <si>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</si>
  <si>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</si>
  <si>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</si>
  <si>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</si>
  <si>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</si>
  <si>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</si>
  <si>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</si>
  <si>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</si>
  <si>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</si>
  <si>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</si>
  <si>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</si>
  <si>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</si>
  <si>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</si>
  <si>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</si>
  <si>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</si>
  <si>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</si>
  <si>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</si>
  <si>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</si>
  <si>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</si>
  <si>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</si>
  <si>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</si>
  <si>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</si>
  <si>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</si>
  <si>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</si>
  <si>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</si>
  <si>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</si>
  <si>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</si>
  <si>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</si>
  <si>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</si>
  <si>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</si>
  <si>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</si>
  <si>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</si>
  <si>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</si>
  <si>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</si>
  <si>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</si>
  <si>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</si>
  <si>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</si>
  <si>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</si>
  <si>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</si>
  <si>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</si>
  <si>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</si>
  <si>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</si>
  <si>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</si>
  <si>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</si>
  <si>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</si>
  <si>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</si>
  <si>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</si>
  <si>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</si>
  <si>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</si>
  <si>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</si>
  <si>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</si>
  <si>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</si>
  <si>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</si>
  <si>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</si>
  <si>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</si>
  <si>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</si>
  <si>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</si>
  <si>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</si>
  <si>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</si>
  <si>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</si>
  <si>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</si>
  <si>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</si>
  <si>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</si>
  <si>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</si>
  <si>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</si>
  <si>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</si>
  <si>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</si>
  <si>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</si>
  <si>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</si>
  <si>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</si>
  <si>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</si>
  <si>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</si>
  <si>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</si>
  <si>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</si>
  <si>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</si>
  <si>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</si>
  <si>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</si>
  <si>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</si>
  <si>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</si>
  <si>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</si>
  <si>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</si>
  <si>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</si>
  <si>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</si>
  <si>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</si>
  <si>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</si>
  <si>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</si>
  <si>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</si>
  <si>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</si>
  <si>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</si>
  <si>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</si>
  <si>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</si>
  <si>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</si>
  <si>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</si>
  <si>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</si>
  <si>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</si>
  <si>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</si>
  <si>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</si>
  <si>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</si>
  <si>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</si>
  <si>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</si>
  <si>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</si>
  <si>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</si>
  <si>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</si>
  <si>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</si>
  <si>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</si>
  <si>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</si>
  <si>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</si>
  <si>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</si>
  <si>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</si>
  <si>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</si>
  <si>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</si>
  <si>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</si>
  <si>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</si>
  <si>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</si>
  <si>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</si>
  <si>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</si>
  <si>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</si>
  <si>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</si>
  <si>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</si>
  <si>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</si>
  <si>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</si>
  <si>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</si>
  <si>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</si>
  <si>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</si>
  <si>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</si>
  <si>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</si>
  <si>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</si>
  <si>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</si>
  <si>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</si>
  <si>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</si>
  <si>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</si>
  <si>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</si>
  <si>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</si>
  <si>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</si>
  <si>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</si>
  <si>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</si>
  <si>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</si>
  <si>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</si>
  <si>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</si>
  <si>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</si>
  <si>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</si>
  <si>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</si>
  <si>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</si>
  <si>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</si>
  <si>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</si>
  <si>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</si>
  <si>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</si>
  <si>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</si>
  <si>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</si>
  <si>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</si>
  <si>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</si>
  <si>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</si>
  <si>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</si>
  <si>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</si>
  <si>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</si>
  <si>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</si>
  <si>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</si>
  <si>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</si>
  <si>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</si>
  <si>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</si>
  <si>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</si>
  <si>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</si>
  <si>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</si>
  <si>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</si>
  <si>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</si>
  <si>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</si>
  <si>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</si>
  <si>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</si>
  <si>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</si>
  <si>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</si>
  <si>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</si>
  <si>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</si>
  <si>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</si>
  <si>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</si>
  <si>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</si>
  <si>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</si>
  <si>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</si>
  <si>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</si>
  <si>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</si>
  <si>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</si>
  <si>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</si>
  <si>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</si>
  <si>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</si>
  <si>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</si>
  <si>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</si>
  <si>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</si>
  <si>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</si>
  <si>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</si>
  <si>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</si>
  <si>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</si>
  <si>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</si>
  <si>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</si>
  <si>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</si>
  <si>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</si>
  <si>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</si>
  <si>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</si>
  <si>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</si>
  <si>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</si>
  <si>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</si>
  <si>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</si>
  <si>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</si>
  <si>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</si>
  <si>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</si>
  <si>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</si>
  <si>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</si>
  <si>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</si>
  <si>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</si>
  <si>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</si>
  <si>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</si>
  <si>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</si>
  <si>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</si>
  <si>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</si>
  <si>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</si>
  <si>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</si>
  <si>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</si>
  <si>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</si>
  <si>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</si>
  <si>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</si>
  <si>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</si>
  <si>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</si>
  <si>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</si>
  <si>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</si>
  <si>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</si>
  <si>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</si>
  <si>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</si>
  <si>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</si>
  <si>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</si>
  <si>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</si>
  <si>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</si>
  <si>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</si>
  <si>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</si>
  <si>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</si>
  <si>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</si>
  <si>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</si>
  <si>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</si>
  <si>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</si>
  <si>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</si>
  <si>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</si>
  <si>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</si>
  <si>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</si>
  <si>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</si>
  <si>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</si>
  <si>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</si>
  <si>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</si>
  <si>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</si>
  <si>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</si>
  <si>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</si>
  <si>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</si>
  <si>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</si>
  <si>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</si>
  <si>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</si>
  <si>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</si>
  <si>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</si>
  <si>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</si>
  <si>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</si>
  <si>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</si>
  <si>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</si>
  <si>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</si>
  <si>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</si>
  <si>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</si>
  <si>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</si>
  <si>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</si>
  <si>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</si>
  <si>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</si>
  <si>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</si>
  <si>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</si>
  <si>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</si>
  <si>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</si>
  <si>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</si>
  <si>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</si>
  <si>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</si>
  <si>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</si>
  <si>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</si>
  <si>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</si>
  <si>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</si>
  <si>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</si>
  <si>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</si>
  <si>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</si>
  <si>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</si>
  <si>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</si>
  <si>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</si>
  <si>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</si>
  <si>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</si>
  <si>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</si>
  <si>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</si>
  <si>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</si>
  <si>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</si>
  <si>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</si>
  <si>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</si>
  <si>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</si>
  <si>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</si>
  <si>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</si>
  <si>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</si>
  <si>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</si>
  <si>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</si>
  <si>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</si>
  <si>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</si>
  <si>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</si>
  <si>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</si>
  <si>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</si>
  <si>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</si>
  <si>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</si>
  <si>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</si>
  <si>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</si>
  <si>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</si>
  <si>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</si>
  <si>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</si>
  <si>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</si>
  <si>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</si>
  <si>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</si>
  <si>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</si>
  <si>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</si>
  <si>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</si>
  <si>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</si>
  <si>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</si>
  <si>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</si>
  <si>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</si>
  <si>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</si>
  <si>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</si>
  <si>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</si>
  <si>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</si>
  <si>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</si>
  <si>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</si>
  <si>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</si>
  <si>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</si>
  <si>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</si>
  <si>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</si>
  <si>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</si>
  <si>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</si>
  <si>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</si>
  <si>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</si>
  <si>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</si>
  <si>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</si>
  <si>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</si>
  <si>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</si>
  <si>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</si>
  <si>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</si>
  <si>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</si>
  <si>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</si>
  <si>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</si>
  <si>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</si>
  <si>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</si>
  <si>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</si>
  <si>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</si>
  <si>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</si>
  <si>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</si>
  <si>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</si>
  <si>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</si>
  <si>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</si>
  <si>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</si>
  <si>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</si>
  <si>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</si>
  <si>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</si>
  <si>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</si>
  <si>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</si>
  <si>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</si>
  <si>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</si>
  <si>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</si>
  <si>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</si>
  <si>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</si>
  <si>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</si>
  <si>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</si>
  <si>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</si>
  <si>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</si>
  <si>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</si>
  <si>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</si>
  <si>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</si>
  <si>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</si>
  <si>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</si>
  <si>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</si>
  <si>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</si>
  <si>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</si>
  <si>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</si>
  <si>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</si>
  <si>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</si>
  <si>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</si>
  <si>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</si>
  <si>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</si>
  <si>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</si>
  <si>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</si>
  <si>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</si>
  <si>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</si>
  <si>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</si>
  <si>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</si>
  <si>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</si>
  <si>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</si>
  <si>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</si>
  <si>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</si>
  <si>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</si>
  <si>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</si>
  <si>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</si>
  <si>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</si>
  <si>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</si>
  <si>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</si>
  <si>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</si>
  <si>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</si>
  <si>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</si>
  <si>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</si>
  <si>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</si>
  <si>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</si>
  <si>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</si>
  <si>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</si>
  <si>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</si>
  <si>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</si>
  <si>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</si>
  <si>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</si>
  <si>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</si>
  <si>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</si>
  <si>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</si>
  <si>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</si>
  <si>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</si>
  <si>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</si>
  <si>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</si>
  <si>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</si>
  <si>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</si>
  <si>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</si>
  <si>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</si>
  <si>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</si>
  <si>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</si>
  <si>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</si>
  <si>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</si>
  <si>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</si>
  <si>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</si>
  <si>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</si>
  <si>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</si>
  <si>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</si>
  <si>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</si>
  <si>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</si>
  <si>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</si>
  <si>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</si>
  <si>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</si>
  <si>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</si>
  <si>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</si>
  <si>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</si>
  <si>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</si>
  <si>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</si>
  <si>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</si>
  <si>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</si>
  <si>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</si>
  <si>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</si>
  <si>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</si>
  <si>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</si>
  <si>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</si>
  <si>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</si>
  <si>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</si>
  <si>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</si>
  <si>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</si>
  <si>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</si>
  <si>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</si>
  <si>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</si>
  <si>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</si>
  <si>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</si>
  <si>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</si>
  <si>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</si>
  <si>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</si>
  <si>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</si>
  <si>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</si>
  <si>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</si>
  <si>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</si>
  <si>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</si>
  <si>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</si>
  <si>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</si>
  <si>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</si>
  <si>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</si>
  <si>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</si>
  <si>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</si>
  <si>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</si>
  <si>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</si>
  <si>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</si>
  <si>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</si>
  <si>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</si>
  <si>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</si>
  <si>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</si>
  <si>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</si>
  <si>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</si>
  <si>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</si>
  <si>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</si>
  <si>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</si>
  <si>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</si>
  <si>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</si>
  <si>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</si>
  <si>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</si>
  <si>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</si>
  <si>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</si>
  <si>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</si>
  <si>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</si>
  <si>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</si>
  <si>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</si>
  <si>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</si>
  <si>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</si>
  <si>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</si>
  <si>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</si>
  <si>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</si>
  <si>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</si>
  <si>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</si>
  <si>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</si>
  <si>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</si>
  <si>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</si>
  <si>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</si>
  <si>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</si>
  <si>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</si>
  <si>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</si>
  <si>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</si>
  <si>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</si>
  <si>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</si>
  <si>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</si>
  <si>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</si>
  <si>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</si>
  <si>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</si>
  <si>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</si>
  <si>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</si>
  <si>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</si>
  <si>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</si>
  <si>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</si>
  <si>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</si>
  <si>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</si>
  <si>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</si>
  <si>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</si>
  <si>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</si>
  <si>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</si>
  <si>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</si>
  <si>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</si>
  <si>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</si>
  <si>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</si>
  <si>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</si>
  <si>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</si>
  <si>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</si>
  <si>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</si>
  <si>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</si>
  <si>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</si>
  <si>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</si>
  <si>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</si>
  <si>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</si>
  <si>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</si>
  <si>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</si>
  <si>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</si>
  <si>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</si>
  <si>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</si>
  <si>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</si>
  <si>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</si>
  <si>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</si>
  <si>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</si>
  <si>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</si>
  <si>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</si>
  <si>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</si>
  <si>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</si>
  <si>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</si>
  <si>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</si>
  <si>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</si>
  <si>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</si>
  <si>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</si>
  <si>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</si>
  <si>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</si>
  <si>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</si>
  <si>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</si>
  <si>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</si>
  <si>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</si>
  <si>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</si>
  <si>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</si>
  <si>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</si>
  <si>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</si>
  <si>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</si>
  <si>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</si>
  <si>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</si>
  <si>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</si>
  <si>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</si>
  <si>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</si>
  <si>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</si>
  <si>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</si>
  <si>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</si>
  <si>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</si>
  <si>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</si>
  <si>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</si>
  <si>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</si>
  <si>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</si>
  <si>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</si>
  <si>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</si>
  <si>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</si>
  <si>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</si>
  <si>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</si>
  <si>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</si>
  <si>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</si>
  <si>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</si>
  <si>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</si>
  <si>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</si>
  <si>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</si>
  <si>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</si>
  <si>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</si>
  <si>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</si>
  <si>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</si>
  <si>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</si>
  <si>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</si>
  <si>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</si>
  <si>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</si>
  <si>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</si>
  <si>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</si>
  <si>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</si>
  <si>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</si>
  <si>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</si>
  <si>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</si>
  <si>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</si>
  <si>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</si>
  <si>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</si>
  <si>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</si>
  <si>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</si>
  <si>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</si>
  <si>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</si>
  <si>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</si>
  <si>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</si>
  <si>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</si>
  <si>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</si>
  <si>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</si>
  <si>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</si>
  <si>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</si>
  <si>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</si>
  <si>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</si>
  <si>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</si>
  <si>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</si>
  <si>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</si>
  <si>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</si>
  <si>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</si>
  <si>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</si>
  <si>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</si>
  <si>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</si>
  <si>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</si>
  <si>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</si>
  <si>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</si>
  <si>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</si>
  <si>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</si>
  <si>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</si>
  <si>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</si>
  <si>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</si>
  <si>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</si>
  <si>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</si>
  <si>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</si>
  <si>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</si>
  <si>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</si>
  <si>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</si>
  <si>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</si>
  <si>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</si>
  <si>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</si>
  <si>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</si>
  <si>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</si>
  <si>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</si>
  <si>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</si>
  <si>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</si>
  <si>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</si>
  <si>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</si>
  <si>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</si>
  <si>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</si>
  <si>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</si>
  <si>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</si>
  <si>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</si>
  <si>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</si>
  <si>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</si>
  <si>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</si>
  <si>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</si>
  <si>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</si>
  <si>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</si>
  <si>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</si>
  <si>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</si>
  <si>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</si>
  <si>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</si>
  <si>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</si>
  <si>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</si>
  <si>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</si>
  <si>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</si>
  <si>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</si>
  <si>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</si>
  <si>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</si>
  <si>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</si>
  <si>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</si>
  <si>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</si>
  <si>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</si>
  <si>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</si>
  <si>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</si>
  <si>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</si>
  <si>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</si>
  <si>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</si>
  <si>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</si>
  <si>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</si>
  <si>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</si>
  <si>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</si>
  <si>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</si>
  <si>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</si>
  <si>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</si>
  <si>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</si>
  <si>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</si>
  <si>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</si>
  <si>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</si>
  <si>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</si>
  <si>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</si>
  <si>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</si>
  <si>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</si>
  <si>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</si>
  <si>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</si>
  <si>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</si>
  <si>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</si>
  <si>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</si>
  <si>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</si>
  <si>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</si>
  <si>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</si>
  <si>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</si>
  <si>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</si>
  <si>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</si>
  <si>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</si>
  <si>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</si>
  <si>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</si>
  <si>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</si>
  <si>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</si>
  <si>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</si>
  <si>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</si>
  <si>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</si>
  <si>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</si>
  <si>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</si>
  <si>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</si>
  <si>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</si>
  <si>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</si>
  <si>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</si>
  <si>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</si>
  <si>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</si>
  <si>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</si>
  <si>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</si>
  <si>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</si>
  <si>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</si>
  <si>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</si>
  <si>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</si>
  <si>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</si>
  <si>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</si>
  <si>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</si>
  <si>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</si>
  <si>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</si>
  <si>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</si>
  <si>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</si>
  <si>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</si>
  <si>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</si>
  <si>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</si>
  <si>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</si>
  <si>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</si>
  <si>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</si>
  <si>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</si>
  <si>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</si>
  <si>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</si>
  <si>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</si>
  <si>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</si>
  <si>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</si>
  <si>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</si>
  <si>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</si>
  <si>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</si>
  <si>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</si>
  <si>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</si>
  <si>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</si>
  <si>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</si>
  <si>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</si>
  <si>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</si>
  <si>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</si>
  <si>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</si>
  <si>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</si>
  <si>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</si>
  <si>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</si>
  <si>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</si>
  <si>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</si>
  <si>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</si>
  <si>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</si>
  <si>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</si>
  <si>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</si>
  <si>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</si>
  <si>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</si>
  <si>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</si>
  <si>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</si>
  <si>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</si>
  <si>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</si>
  <si>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</si>
  <si>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</si>
  <si>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</si>
  <si>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</si>
  <si>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</si>
  <si>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</si>
  <si>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</si>
  <si>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</si>
  <si>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</si>
  <si>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</si>
  <si>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</si>
  <si>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</si>
  <si>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</si>
  <si>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</si>
  <si>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</si>
  <si>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</si>
  <si>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</si>
  <si>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</si>
  <si>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</si>
  <si>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</si>
  <si>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</si>
  <si>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</si>
  <si>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</si>
  <si>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</si>
  <si>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</si>
  <si>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</si>
  <si>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</si>
  <si>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</si>
  <si>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</si>
  <si>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</si>
  <si>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</si>
  <si>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</si>
  <si>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</si>
  <si>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</si>
  <si>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</si>
  <si>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</si>
  <si>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</si>
  <si>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</si>
  <si>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</si>
  <si>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</si>
  <si>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</si>
  <si>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</si>
  <si>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</si>
  <si>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</si>
  <si>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</si>
  <si>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</si>
  <si>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</si>
  <si>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</si>
  <si>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</si>
  <si>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</si>
  <si>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</si>
  <si>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</si>
  <si>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</si>
  <si>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</si>
  <si>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</si>
  <si>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</si>
  <si>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</si>
  <si>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</si>
  <si>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</si>
  <si>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</si>
  <si>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</si>
  <si>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</si>
  <si>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</si>
  <si>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</si>
  <si>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</si>
  <si>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</si>
  <si>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</si>
  <si>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</si>
  <si>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</si>
  <si>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</si>
  <si>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</si>
  <si>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</si>
  <si>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</si>
  <si>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</si>
  <si>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</si>
  <si>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</si>
  <si>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</si>
  <si>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</si>
  <si>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</si>
  <si>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</si>
  <si>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</si>
  <si>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</si>
  <si>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</si>
  <si>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</si>
  <si>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</si>
  <si>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</si>
  <si>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</si>
  <si>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</si>
  <si>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</si>
  <si>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</si>
  <si>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</si>
  <si>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</si>
  <si>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</si>
  <si>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</si>
  <si>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</si>
  <si>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</si>
  <si>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</si>
  <si>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</si>
  <si>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</si>
  <si>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</si>
  <si>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</si>
  <si>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</si>
  <si>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</si>
  <si>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</si>
  <si>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</si>
  <si>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</si>
  <si>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</si>
  <si>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</si>
  <si>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</si>
  <si>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</si>
  <si>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</si>
  <si>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</si>
  <si>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</si>
  <si>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</si>
  <si>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</si>
  <si>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</si>
  <si>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</si>
  <si>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</si>
  <si>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</si>
  <si>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</si>
  <si>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</si>
  <si>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</si>
  <si>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</si>
  <si>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</si>
  <si>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</si>
  <si>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</si>
  <si>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</si>
  <si>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</si>
  <si>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</si>
  <si>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</si>
  <si>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</si>
  <si>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</si>
  <si>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</si>
  <si>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</si>
  <si>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</si>
  <si>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</si>
  <si>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</si>
  <si>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</si>
  <si>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</si>
  <si>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</si>
  <si>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</si>
  <si>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</si>
  <si>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</si>
  <si>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</si>
  <si>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</si>
  <si>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</si>
  <si>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</si>
  <si>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</si>
  <si>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</si>
  <si>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</si>
  <si>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</si>
  <si>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</si>
  <si>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</si>
  <si>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</si>
  <si>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</si>
  <si>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</si>
  <si>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</si>
  <si>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</si>
  <si>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</si>
  <si>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</si>
  <si>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</si>
  <si>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</si>
  <si>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</si>
  <si>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</si>
  <si>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</si>
  <si>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</si>
  <si>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</si>
  <si>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</si>
  <si>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</si>
  <si>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</si>
  <si>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</si>
  <si>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</si>
  <si>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</si>
  <si>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</si>
  <si>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</si>
  <si>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</si>
  <si>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</si>
  <si>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</si>
  <si>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</si>
  <si>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</si>
  <si>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</si>
  <si>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</si>
  <si>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</si>
  <si>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</si>
  <si>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</si>
  <si>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</si>
  <si>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</si>
  <si>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</si>
  <si>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</si>
  <si>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</si>
  <si>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</si>
  <si>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</si>
  <si>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</si>
  <si>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</si>
  <si>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</si>
  <si>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</si>
  <si>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</si>
  <si>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</si>
  <si>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</si>
  <si>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</si>
  <si>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</si>
  <si>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</si>
  <si>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</si>
  <si>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</si>
  <si>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</si>
  <si>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</si>
  <si>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</si>
  <si>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</si>
  <si>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</si>
  <si>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</si>
  <si>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</si>
  <si>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</si>
  <si>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</si>
  <si>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</si>
  <si>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</si>
  <si>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</si>
  <si>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</si>
  <si>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</si>
  <si>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</si>
  <si>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</si>
  <si>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</si>
  <si>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</si>
  <si>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</si>
  <si>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</si>
  <si>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</si>
  <si>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</si>
  <si>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</si>
  <si>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</si>
  <si>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</si>
  <si>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</si>
  <si>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</si>
  <si>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</si>
  <si>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</si>
  <si>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</si>
  <si>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</si>
  <si>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</si>
  <si>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</si>
  <si>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</si>
  <si>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</si>
  <si>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</si>
  <si>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</si>
  <si>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</si>
  <si>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</si>
  <si>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</si>
  <si>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</si>
  <si>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</si>
  <si>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</si>
  <si>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</si>
  <si>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</si>
  <si>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</si>
  <si>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</si>
  <si>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</si>
  <si>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</si>
  <si>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</si>
  <si>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</si>
  <si>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</si>
  <si>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</si>
  <si>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</si>
  <si>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</si>
  <si>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</si>
  <si>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</si>
  <si>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</si>
  <si>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</si>
  <si>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</si>
  <si>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</si>
  <si>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</si>
  <si>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</si>
  <si>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</si>
  <si>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</si>
  <si>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</si>
  <si>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</si>
  <si>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</si>
  <si>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</si>
  <si>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</si>
  <si>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</si>
  <si>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</si>
  <si>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</si>
  <si>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</si>
  <si>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</si>
  <si>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</si>
  <si>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</si>
  <si>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</si>
  <si>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</si>
  <si>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</si>
  <si>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</si>
  <si>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</si>
  <si>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</si>
  <si>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</si>
  <si>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</si>
  <si>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</si>
  <si>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</si>
  <si>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</si>
  <si>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</si>
  <si>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</si>
  <si>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</si>
  <si>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</si>
  <si>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</si>
  <si>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</si>
  <si>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</si>
  <si>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</si>
  <si>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</si>
  <si>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</si>
  <si>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</si>
  <si>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</si>
  <si>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</si>
  <si>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</si>
  <si>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</si>
  <si>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</si>
  <si>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</si>
  <si>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</si>
  <si>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</si>
  <si>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</si>
  <si>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</si>
  <si>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</si>
  <si>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</si>
  <si>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</si>
  <si>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</si>
  <si>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</si>
  <si>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</si>
  <si>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</si>
  <si>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</si>
  <si>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</si>
  <si>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</si>
  <si>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</si>
  <si>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</si>
  <si>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</si>
  <si>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</si>
  <si>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</si>
  <si>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</si>
  <si>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</si>
  <si>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</si>
  <si>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</si>
  <si>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</si>
  <si>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</si>
  <si>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</si>
  <si>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</si>
  <si>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</si>
  <si>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</si>
  <si>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</si>
  <si>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</si>
  <si>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</si>
  <si>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</si>
  <si>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</si>
  <si>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</si>
  <si>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</si>
  <si>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</si>
  <si>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</si>
  <si>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</si>
  <si>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</si>
  <si>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</si>
  <si>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</si>
  <si>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</si>
  <si>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</si>
  <si>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</si>
  <si>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</si>
  <si>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</si>
  <si>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</si>
  <si>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</si>
  <si>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</si>
  <si>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</si>
  <si>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</si>
  <si>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</si>
  <si>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</si>
  <si>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</si>
  <si>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</si>
  <si>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</si>
  <si>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</si>
  <si>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</si>
  <si>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</si>
  <si>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</si>
  <si>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</si>
  <si>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</si>
  <si>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</si>
  <si>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</si>
  <si>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</si>
  <si>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</si>
  <si>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</si>
  <si>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</si>
  <si>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</si>
  <si>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</si>
  <si>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</si>
  <si>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</si>
  <si>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</si>
  <si>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</si>
  <si>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</si>
  <si>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</si>
  <si>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</si>
  <si>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</si>
  <si>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</si>
  <si>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</si>
  <si>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</si>
  <si>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</si>
  <si>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</si>
  <si>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</si>
  <si>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</si>
  <si>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</si>
  <si>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</si>
  <si>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</si>
  <si>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</si>
  <si>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</si>
  <si>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</si>
  <si>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</si>
  <si>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</si>
  <si>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</si>
  <si>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</si>
  <si>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</si>
  <si>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</si>
  <si>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</si>
  <si>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</si>
  <si>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</si>
  <si>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</si>
  <si>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</si>
  <si>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</si>
  <si>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</si>
  <si>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</si>
  <si>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</si>
  <si>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</si>
  <si>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</si>
  <si>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</si>
  <si>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</si>
  <si>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</si>
  <si>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</si>
  <si>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</si>
  <si>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</si>
  <si>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</si>
  <si>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</si>
  <si>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</si>
  <si>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</si>
  <si>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</si>
  <si>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</si>
  <si>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</si>
  <si>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</si>
  <si>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</si>
  <si>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</si>
  <si>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</si>
  <si>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</si>
  <si>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</si>
  <si>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</si>
  <si>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</si>
  <si>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</si>
  <si>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</si>
  <si>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</si>
  <si>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</si>
  <si>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</si>
  <si>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</si>
  <si>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</si>
  <si>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</si>
  <si>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</si>
  <si>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</si>
  <si>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</si>
  <si>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</si>
  <si>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</si>
  <si>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</si>
  <si>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</si>
  <si>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</si>
  <si>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</si>
  <si>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</si>
  <si>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</si>
  <si>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</si>
  <si>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</si>
  <si>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</si>
  <si>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</si>
  <si>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</si>
  <si>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</si>
  <si>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</si>
  <si>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</si>
  <si>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</si>
  <si>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</si>
  <si>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</si>
  <si>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</si>
  <si>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</si>
  <si>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</si>
  <si>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</si>
  <si>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</si>
  <si>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</si>
  <si>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</si>
  <si>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</si>
  <si>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</si>
  <si>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</si>
  <si>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</si>
  <si>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</si>
  <si>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</si>
  <si>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</si>
  <si>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</si>
  <si>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</si>
  <si>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</si>
  <si>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</si>
  <si>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</si>
  <si>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</si>
  <si>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</si>
  <si>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</si>
  <si>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</si>
  <si>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</si>
  <si>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</si>
  <si>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</si>
  <si>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</si>
  <si>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</si>
  <si>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</si>
  <si>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</si>
  <si>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</si>
  <si>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</si>
  <si>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</si>
  <si>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</si>
  <si>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</si>
  <si>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</si>
  <si>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</si>
  <si>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</si>
  <si>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</si>
  <si>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</si>
  <si>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</si>
  <si>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</si>
  <si>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</si>
  <si>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</si>
  <si>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</si>
  <si>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</si>
  <si>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</si>
  <si>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</si>
  <si>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</si>
  <si>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</si>
  <si>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</si>
  <si>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</si>
  <si>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</si>
  <si>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</si>
  <si>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</si>
  <si>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</si>
  <si>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</si>
  <si>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</si>
  <si>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</si>
  <si>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</si>
  <si>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</si>
  <si>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</si>
  <si>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</si>
  <si>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</si>
  <si>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</si>
  <si>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</si>
  <si>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</si>
  <si>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</si>
  <si>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</si>
  <si>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</si>
  <si>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</si>
  <si>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</si>
  <si>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</si>
  <si>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</si>
  <si>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</si>
  <si>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</si>
  <si>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</si>
  <si>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</si>
  <si>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</si>
  <si>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</si>
  <si>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</si>
  <si>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</si>
  <si>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</si>
  <si>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</si>
  <si>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</si>
  <si>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</si>
  <si>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</si>
  <si>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</si>
  <si>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</si>
  <si>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</si>
  <si>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</si>
  <si>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</si>
  <si>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</si>
  <si>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</si>
  <si>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</si>
  <si>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</si>
  <si>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</si>
  <si>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</si>
  <si>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</si>
  <si>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</si>
  <si>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</si>
  <si>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</si>
  <si>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</si>
  <si>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</si>
  <si>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</si>
  <si>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</si>
  <si>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</si>
  <si>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</si>
  <si>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</si>
  <si>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</si>
  <si>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</si>
  <si>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</si>
  <si>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</si>
  <si>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</si>
  <si>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</si>
  <si>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</si>
  <si>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</si>
  <si>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</si>
  <si>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</si>
  <si>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</si>
  <si>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</si>
  <si>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</si>
  <si>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</si>
  <si>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</si>
  <si>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</si>
  <si>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</si>
  <si>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</si>
  <si>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</si>
  <si>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</si>
  <si>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</si>
  <si>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</si>
  <si>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</si>
  <si>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</si>
  <si>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</si>
  <si>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</si>
  <si>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</si>
  <si>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</si>
  <si>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</si>
  <si>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</si>
  <si>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</si>
  <si>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</si>
  <si>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</si>
  <si>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</si>
  <si>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</si>
  <si>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</si>
  <si>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</si>
  <si>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</si>
  <si>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</si>
  <si>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</si>
  <si>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</si>
  <si>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</si>
  <si>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</si>
  <si>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</si>
  <si>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</si>
  <si>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</si>
  <si>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</si>
  <si>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</si>
  <si>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</si>
  <si>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</si>
  <si>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</si>
  <si>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</si>
  <si>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</si>
  <si>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</si>
  <si>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</si>
  <si>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</si>
  <si>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</si>
  <si>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</si>
  <si>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</si>
  <si>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</si>
  <si>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</si>
  <si>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</si>
  <si>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</si>
  <si>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</si>
  <si>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</si>
  <si>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</si>
  <si>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</si>
  <si>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</si>
  <si>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</si>
  <si>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</si>
  <si>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</si>
  <si>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</si>
  <si>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</si>
  <si>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</si>
  <si>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</si>
  <si>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</si>
  <si>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</si>
  <si>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</si>
  <si>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</si>
  <si>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</si>
  <si>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</si>
  <si>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</si>
  <si>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</si>
  <si>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</si>
  <si>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</si>
  <si>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</si>
  <si>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</si>
  <si>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</si>
  <si>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</si>
  <si>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</si>
  <si>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</si>
  <si>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</si>
  <si>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</si>
  <si>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</si>
  <si>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</si>
  <si>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</si>
  <si>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</si>
  <si>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</si>
  <si>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</si>
  <si>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</si>
  <si>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</si>
  <si>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</si>
  <si>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</si>
  <si>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</si>
  <si>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</si>
  <si>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</si>
  <si>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</si>
  <si>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</si>
  <si>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</si>
  <si>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</si>
  <si>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</si>
  <si>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</si>
  <si>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</si>
  <si>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</si>
  <si>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</si>
  <si>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</si>
  <si>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</si>
  <si>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</si>
  <si>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</si>
  <si>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</si>
  <si>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</si>
  <si>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</si>
  <si>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</si>
  <si>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</si>
  <si>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</si>
  <si>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</si>
  <si>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</si>
  <si>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</si>
  <si>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</si>
  <si>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</si>
  <si>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</si>
  <si>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</si>
  <si>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</si>
  <si>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</si>
  <si>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</si>
  <si>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</si>
  <si>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</si>
  <si>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</si>
  <si>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</si>
  <si>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</si>
  <si>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</si>
  <si>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</si>
  <si>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</si>
  <si>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</si>
  <si>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</si>
  <si>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</si>
  <si>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</si>
  <si>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</si>
  <si>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</si>
  <si>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</si>
  <si>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</si>
  <si>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</si>
  <si>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</si>
  <si>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</si>
  <si>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</si>
  <si>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</si>
  <si>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</si>
  <si>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</si>
  <si>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</si>
  <si>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</si>
  <si>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</si>
  <si>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</si>
  <si>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</si>
  <si>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</si>
  <si>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</si>
  <si>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</si>
  <si>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</si>
  <si>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</si>
  <si>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</si>
  <si>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</si>
  <si>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</si>
  <si>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</si>
  <si>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</si>
  <si>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</si>
  <si>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</si>
  <si>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</si>
  <si>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</si>
  <si>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</si>
  <si>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</si>
  <si>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</si>
  <si>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</si>
  <si>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</si>
  <si>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</si>
  <si>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</si>
  <si>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</si>
  <si>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</si>
  <si>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</si>
  <si>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</si>
  <si>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</si>
  <si>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</si>
  <si>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</si>
  <si>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</si>
  <si>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</si>
  <si>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</si>
  <si>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</si>
  <si>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</si>
  <si>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</si>
  <si>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</si>
  <si>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</si>
  <si>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</si>
  <si>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</si>
  <si>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</si>
  <si>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</si>
  <si>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</si>
  <si>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</si>
  <si>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</si>
  <si>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</si>
  <si>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</si>
  <si>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</si>
  <si>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</si>
  <si>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</si>
  <si>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</si>
  <si>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</si>
  <si>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</si>
  <si>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</si>
  <si>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</si>
  <si>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</si>
  <si>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</si>
  <si>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</si>
  <si>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</si>
  <si>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</si>
  <si>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</si>
  <si>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</si>
  <si>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</si>
  <si>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</si>
  <si>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</si>
  <si>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</si>
  <si>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</si>
  <si>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</si>
  <si>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</si>
  <si>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</si>
  <si>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</si>
  <si>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</si>
  <si>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</si>
  <si>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</si>
  <si>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</si>
  <si>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</si>
  <si>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</si>
  <si>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</si>
  <si>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</si>
  <si>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</si>
  <si>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</si>
  <si>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</si>
  <si>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</si>
  <si>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</si>
  <si>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</si>
  <si>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</si>
  <si>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</si>
  <si>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</si>
  <si>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</si>
  <si>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</si>
  <si>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</si>
  <si>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</si>
  <si>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</si>
  <si>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</si>
  <si>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</si>
  <si>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</si>
  <si>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</si>
  <si>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</si>
  <si>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</si>
  <si>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</si>
  <si>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</si>
  <si>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</si>
  <si>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</si>
  <si>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</si>
  <si>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</si>
  <si>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</si>
  <si>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</si>
  <si>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</si>
  <si>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</si>
  <si>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</si>
  <si>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</si>
  <si>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</si>
  <si>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</si>
  <si>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</si>
  <si>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</si>
  <si>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</si>
  <si>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</si>
  <si>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</si>
  <si>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</si>
  <si>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</si>
  <si>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</si>
  <si>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</si>
  <si>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</si>
  <si>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</si>
  <si>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</si>
  <si>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</si>
  <si>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</si>
  <si>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</si>
  <si>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</si>
  <si>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</si>
  <si>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</si>
  <si>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</si>
  <si>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</si>
  <si>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</si>
  <si>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</si>
  <si>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</si>
  <si>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</si>
  <si>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</si>
  <si>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</si>
  <si>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</si>
  <si>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</si>
  <si>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</si>
  <si>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</si>
  <si>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</si>
  <si>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</si>
  <si>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</si>
  <si>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</si>
  <si>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</si>
  <si>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</si>
  <si>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</si>
  <si>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</si>
  <si>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</si>
  <si>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</si>
  <si>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</si>
  <si>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</si>
  <si>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</si>
  <si>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</si>
  <si>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</si>
  <si>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</si>
  <si>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</si>
  <si>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</si>
  <si>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</si>
  <si>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</si>
  <si>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</si>
  <si>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</si>
  <si>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</si>
  <si>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</si>
  <si>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</si>
  <si>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</si>
  <si>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</si>
  <si>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</si>
  <si>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</si>
  <si>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</si>
  <si>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</si>
  <si>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</si>
  <si>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</si>
  <si>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</si>
  <si>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</si>
  <si>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</si>
  <si>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</si>
  <si>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</si>
  <si>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</si>
  <si>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</si>
  <si>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</si>
  <si>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</si>
  <si>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</si>
  <si>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</si>
  <si>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</si>
  <si>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</si>
  <si>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</si>
  <si>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</si>
  <si>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</si>
  <si>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</si>
  <si>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</si>
  <si>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</si>
  <si>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</si>
  <si>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</si>
  <si>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</si>
  <si>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</si>
  <si>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</si>
  <si>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</si>
  <si>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</si>
  <si>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</si>
  <si>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</si>
  <si>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</si>
  <si>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</si>
  <si>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</si>
  <si>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</si>
  <si>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</si>
  <si>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</si>
  <si>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</si>
  <si>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</si>
  <si>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</si>
  <si>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</si>
  <si>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</si>
  <si>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</si>
  <si>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</si>
  <si>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</si>
  <si>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</si>
  <si>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</si>
  <si>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</si>
  <si>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</si>
  <si>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</si>
  <si>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</si>
  <si>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</si>
  <si>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</si>
  <si>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</si>
  <si>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</si>
  <si>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</si>
  <si>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</si>
  <si>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</si>
  <si>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</si>
  <si>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</si>
  <si>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</si>
  <si>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</si>
  <si>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</si>
  <si>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</si>
  <si>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</si>
  <si>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</si>
  <si>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</si>
  <si>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</si>
  <si>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</si>
  <si>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</si>
  <si>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</si>
  <si>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</si>
  <si>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</si>
  <si>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</si>
  <si>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</si>
  <si>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</si>
  <si>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</si>
  <si>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</si>
  <si>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</si>
  <si>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</si>
  <si>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</si>
  <si>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</si>
  <si>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</si>
  <si>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</si>
  <si>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</si>
  <si>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</si>
  <si>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</si>
  <si>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</si>
  <si>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</si>
  <si>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</si>
  <si>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</si>
  <si>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</si>
  <si>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</si>
  <si>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</si>
  <si>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</si>
  <si>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</si>
  <si>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</si>
  <si>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</si>
  <si>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</si>
  <si>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</si>
  <si>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</si>
  <si>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</si>
  <si>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</si>
  <si>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</si>
  <si>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</si>
  <si>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</si>
  <si>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</si>
  <si>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</si>
  <si>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</si>
  <si>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</si>
  <si>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</si>
  <si>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</si>
  <si>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</si>
  <si>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</si>
  <si>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</si>
  <si>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</si>
  <si>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</si>
  <si>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</si>
  <si>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</si>
  <si>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</si>
  <si>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</si>
  <si>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</si>
  <si>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</si>
  <si>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</si>
  <si>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</si>
  <si>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</si>
  <si>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</si>
  <si>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</si>
  <si>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</si>
  <si>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</si>
  <si>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</si>
  <si>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</si>
  <si>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</si>
  <si>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</si>
  <si>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</si>
  <si>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</si>
  <si>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</si>
  <si>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</si>
  <si>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</si>
  <si>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</si>
  <si>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</si>
  <si>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</si>
  <si>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</si>
  <si>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</si>
  <si>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</si>
  <si>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</si>
  <si>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</si>
  <si>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</si>
  <si>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</si>
  <si>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</si>
  <si>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</si>
  <si>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</si>
  <si>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</si>
  <si>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</si>
  <si>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</si>
  <si>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</si>
  <si>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</si>
  <si>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</si>
  <si>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</si>
  <si>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</si>
  <si>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</si>
  <si>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</si>
  <si>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</si>
  <si>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</si>
  <si>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</si>
  <si>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</si>
  <si>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</si>
  <si>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</si>
  <si>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</si>
  <si>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</si>
  <si>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</si>
  <si>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</si>
  <si>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</si>
  <si>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</si>
  <si>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</si>
  <si>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</si>
  <si>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</si>
  <si>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</si>
  <si>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</si>
  <si>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</si>
  <si>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</si>
  <si>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</si>
  <si>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</si>
  <si>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</si>
  <si>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</si>
  <si>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</si>
  <si>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</si>
  <si>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</si>
  <si>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</si>
  <si>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</si>
  <si>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</si>
  <si>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</si>
  <si>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</si>
  <si>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</si>
  <si>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</si>
  <si>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</si>
  <si>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</si>
  <si>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</si>
  <si>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</si>
  <si>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</si>
  <si>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</si>
  <si>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</si>
  <si>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</si>
  <si>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</si>
  <si>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</si>
  <si>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</si>
  <si>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</si>
  <si>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</si>
  <si>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</si>
  <si>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</si>
  <si>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</si>
  <si>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</si>
  <si>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</si>
  <si>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</si>
  <si>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</si>
  <si>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</si>
  <si>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</si>
  <si>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</si>
  <si>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</si>
  <si>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</si>
  <si>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</si>
  <si>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</si>
  <si>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</si>
  <si>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</si>
  <si>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</si>
  <si>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</si>
  <si>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</si>
  <si>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</si>
  <si>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</si>
  <si>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</si>
  <si>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</si>
  <si>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</si>
  <si>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</si>
  <si>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</si>
  <si>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</si>
  <si>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</si>
  <si>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</si>
  <si>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</si>
  <si>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</si>
  <si>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</si>
  <si>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</si>
  <si>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</si>
  <si>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</si>
  <si>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</si>
  <si>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</si>
  <si>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</si>
  <si>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</si>
  <si>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</si>
  <si>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</si>
  <si>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</si>
  <si>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</si>
  <si>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</si>
  <si>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</si>
  <si>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</si>
  <si>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</si>
  <si>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</si>
  <si>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</si>
  <si>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</si>
  <si>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</si>
  <si>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</si>
  <si>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</si>
  <si>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</si>
  <si>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</si>
  <si>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</si>
  <si>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</si>
  <si>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</si>
  <si>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</si>
  <si>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</si>
  <si>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</si>
  <si>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</si>
  <si>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</si>
  <si>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</si>
  <si>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</si>
  <si>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</si>
  <si>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</si>
  <si>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</si>
  <si>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</si>
  <si>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</si>
  <si>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</si>
  <si>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</si>
  <si>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</si>
  <si>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</si>
  <si>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</si>
  <si>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</si>
  <si>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</si>
  <si>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</si>
  <si>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</si>
  <si>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</si>
  <si>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</si>
  <si>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</si>
  <si>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</si>
  <si>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</si>
  <si>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</si>
  <si>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</si>
  <si>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</si>
  <si>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</si>
  <si>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</si>
  <si>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</si>
  <si>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</si>
  <si>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</si>
  <si>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</si>
  <si>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</si>
  <si>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</si>
  <si>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</si>
  <si>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</si>
  <si>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</si>
  <si>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</si>
  <si>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</si>
  <si>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</si>
  <si>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</si>
  <si>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</si>
  <si>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</si>
  <si>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</si>
  <si>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</si>
  <si>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</si>
  <si>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</si>
  <si>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</si>
  <si>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</si>
  <si>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</si>
  <si>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</si>
  <si>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</si>
  <si>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</si>
  <si>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</si>
  <si>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</si>
  <si>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</si>
  <si>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</si>
  <si>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</si>
  <si>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</si>
  <si>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</si>
  <si>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</si>
  <si>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</si>
  <si>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</si>
  <si>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</si>
  <si>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</si>
  <si>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</si>
  <si>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</si>
  <si>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</si>
  <si>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</si>
  <si>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</si>
  <si>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</si>
  <si>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</si>
  <si>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</si>
  <si>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</si>
  <si>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</si>
  <si>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</si>
  <si>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</si>
  <si>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</si>
  <si>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</si>
  <si>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</si>
  <si>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</si>
  <si>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</si>
  <si>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</si>
  <si>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</si>
  <si>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</si>
  <si>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</si>
  <si>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</si>
  <si>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</si>
  <si>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</si>
  <si>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</si>
  <si>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</si>
  <si>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</si>
  <si>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</si>
  <si>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</si>
  <si>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</si>
  <si>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</si>
  <si>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</si>
  <si>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</si>
  <si>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</si>
  <si>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</si>
  <si>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</si>
  <si>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</si>
  <si>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</si>
  <si>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</si>
  <si>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</si>
  <si>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</si>
  <si>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</si>
  <si>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</si>
  <si>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</si>
  <si>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</si>
  <si>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</si>
  <si>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</si>
  <si>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</si>
  <si>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</si>
  <si>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</si>
  <si>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</si>
  <si>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</si>
  <si>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</si>
  <si>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</si>
  <si>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</si>
  <si>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</si>
  <si>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</si>
  <si>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</si>
  <si>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</si>
  <si>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</si>
  <si>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</si>
  <si>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</si>
  <si>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</si>
  <si>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</si>
  <si>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</si>
  <si>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</si>
  <si>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</si>
  <si>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</si>
  <si>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</si>
  <si>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</si>
  <si>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</si>
  <si>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</si>
  <si>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</si>
  <si>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</si>
  <si>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</si>
  <si>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</si>
  <si>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</si>
  <si>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</si>
  <si>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</si>
  <si>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</si>
  <si>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</si>
  <si>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</si>
  <si>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</si>
  <si>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</si>
  <si>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</si>
  <si>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</si>
  <si>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</si>
  <si>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</si>
  <si>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</si>
  <si>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</si>
  <si>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</si>
  <si>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</si>
  <si>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</si>
  <si>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</si>
  <si>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</si>
  <si>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</si>
  <si>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</si>
  <si>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</si>
  <si>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</si>
  <si>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</si>
  <si>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</si>
  <si>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</si>
  <si>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</si>
  <si>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</si>
  <si>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</si>
  <si>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</si>
  <si>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</si>
  <si>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</si>
  <si>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</si>
  <si>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</si>
  <si>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</si>
  <si>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</si>
  <si>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</si>
  <si>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</si>
  <si>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</si>
  <si>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</si>
  <si>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</si>
  <si>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</si>
  <si>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</si>
  <si>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</si>
  <si>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</si>
  <si>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</si>
  <si>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</si>
  <si>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</si>
  <si>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</si>
  <si>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</si>
  <si>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</si>
  <si>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</si>
  <si>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</si>
  <si>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</si>
  <si>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</si>
  <si>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</si>
  <si>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</si>
  <si>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</si>
  <si>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</si>
  <si>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</si>
  <si>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</si>
  <si>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</si>
  <si>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</si>
  <si>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</si>
  <si>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</si>
  <si>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</si>
  <si>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</si>
  <si>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</si>
  <si>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</si>
  <si>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</si>
  <si>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</si>
  <si>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</si>
  <si>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</si>
  <si>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</si>
  <si>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</si>
  <si>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</si>
  <si>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</si>
  <si>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</si>
  <si>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</si>
  <si>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</si>
  <si>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</si>
  <si>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</si>
  <si>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</si>
  <si>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</si>
  <si>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</si>
  <si>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</si>
  <si>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</si>
  <si>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</si>
  <si>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</si>
  <si>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</si>
  <si>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</si>
  <si>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</si>
  <si>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</si>
  <si>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</si>
  <si>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</si>
  <si>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</si>
  <si>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</si>
  <si>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</si>
  <si>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</si>
  <si>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</si>
  <si>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</si>
  <si>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</si>
  <si>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</si>
  <si>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</si>
  <si>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</si>
  <si>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</si>
  <si>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</si>
  <si>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</si>
  <si>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</si>
  <si>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</si>
  <si>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</si>
  <si>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</si>
  <si>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</si>
  <si>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</si>
  <si>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</si>
  <si>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</si>
  <si>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</si>
  <si>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</si>
  <si>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</si>
  <si>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</si>
  <si>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</si>
  <si>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</si>
  <si>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</si>
  <si>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</si>
  <si>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</si>
  <si>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</si>
  <si>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</si>
  <si>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</si>
  <si>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</si>
  <si>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</si>
  <si>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</si>
  <si>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</si>
  <si>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</si>
  <si>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</si>
  <si>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</si>
  <si>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</si>
  <si>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</si>
  <si>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</si>
  <si>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</si>
  <si>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</si>
  <si>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</si>
  <si>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</si>
  <si>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</si>
  <si>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</si>
  <si>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</si>
  <si>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</si>
  <si>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</si>
  <si>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</si>
  <si>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</si>
  <si>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</si>
  <si>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</si>
  <si>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</si>
  <si>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</si>
  <si>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</si>
  <si>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</si>
  <si>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</si>
  <si>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</si>
  <si>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</si>
  <si>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</si>
  <si>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</si>
  <si>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</si>
  <si>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</si>
  <si>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</si>
  <si>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</si>
  <si>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</si>
  <si>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</si>
  <si>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</si>
  <si>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</si>
  <si>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</si>
  <si>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</si>
  <si>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</si>
  <si>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</si>
  <si>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</si>
  <si>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</si>
  <si>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</si>
  <si>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</si>
  <si>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</si>
  <si>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</si>
  <si>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</si>
  <si>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</si>
  <si>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</si>
  <si>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</si>
  <si>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</si>
  <si>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</si>
  <si>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</si>
  <si>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</si>
  <si>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</si>
  <si>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</si>
  <si>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</si>
  <si>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</si>
  <si>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</si>
  <si>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</si>
  <si>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</si>
  <si>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</si>
  <si>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</si>
  <si>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</si>
  <si>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</si>
  <si>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</si>
  <si>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</si>
  <si>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</si>
  <si>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</si>
  <si>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</si>
  <si>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</si>
  <si>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</si>
  <si>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</si>
  <si>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</si>
  <si>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</si>
  <si>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</si>
  <si>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</si>
  <si>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</si>
  <si>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</si>
  <si>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</si>
  <si>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</si>
  <si>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</si>
  <si>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</si>
  <si>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</si>
  <si>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</si>
  <si>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</si>
  <si>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</si>
  <si>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</si>
  <si>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</si>
  <si>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</si>
  <si>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</si>
  <si>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</si>
  <si>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</si>
  <si>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</si>
  <si>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</si>
  <si>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</si>
  <si>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</si>
  <si>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</si>
  <si>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</si>
  <si>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</si>
  <si>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</si>
  <si>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</si>
  <si>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</si>
  <si>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</si>
  <si>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</si>
  <si>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</si>
  <si>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</si>
  <si>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</si>
  <si>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</si>
  <si>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</si>
  <si>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</si>
  <si>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</si>
  <si>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</si>
  <si>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</si>
  <si>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</si>
  <si>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</si>
  <si>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</si>
  <si>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</si>
  <si>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</si>
  <si>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</si>
  <si>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</si>
  <si>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</si>
  <si>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</si>
  <si>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</si>
  <si>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</si>
  <si>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</si>
  <si>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</si>
  <si>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</si>
  <si>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</si>
  <si>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</si>
  <si>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</si>
  <si>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</si>
  <si>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</si>
  <si>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</si>
  <si>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</si>
  <si>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</si>
  <si>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</si>
  <si>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</si>
  <si>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</si>
  <si>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</si>
  <si>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</si>
  <si>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</si>
  <si>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</si>
  <si>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</si>
  <si>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</si>
  <si>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</si>
  <si>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</si>
  <si>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</si>
  <si>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</si>
  <si>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</si>
  <si>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</si>
  <si>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</si>
  <si>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</si>
  <si>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</si>
  <si>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</si>
  <si>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</si>
  <si>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</si>
  <si>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</si>
  <si>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</si>
  <si>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</si>
  <si>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</si>
  <si>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</si>
  <si>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</si>
  <si>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</si>
  <si>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</si>
  <si>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</si>
  <si>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</si>
  <si>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</si>
  <si>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</si>
  <si>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</si>
  <si>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</si>
  <si>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</si>
  <si>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</si>
  <si>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</si>
  <si>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</si>
  <si>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</si>
  <si>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</si>
  <si>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</si>
  <si>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</si>
  <si>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</si>
  <si>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</si>
  <si>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</si>
  <si>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</si>
  <si>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</si>
  <si>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</si>
  <si>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</si>
  <si>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</si>
  <si>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</si>
  <si>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</si>
  <si>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</si>
  <si>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</si>
  <si>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</si>
  <si>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</si>
  <si>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</si>
  <si>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</si>
  <si>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</si>
  <si>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</si>
  <si>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</si>
  <si>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</si>
  <si>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</si>
  <si>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</si>
  <si>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</si>
  <si>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</si>
  <si>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</si>
  <si>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</si>
  <si>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</si>
  <si>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</si>
  <si>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</si>
  <si>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</si>
  <si>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</si>
  <si>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</si>
  <si>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</si>
  <si>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</si>
  <si>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</si>
  <si>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</si>
  <si>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</si>
  <si>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</si>
  <si>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</si>
  <si>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</si>
  <si>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</si>
  <si>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</si>
  <si>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</si>
  <si>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</si>
  <si>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</si>
  <si>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</si>
  <si>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</si>
  <si>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</si>
  <si>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</si>
  <si>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</si>
  <si>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</si>
  <si>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</si>
  <si>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</si>
  <si>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</si>
  <si>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</si>
  <si>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</si>
  <si>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</si>
  <si>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</si>
  <si>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</si>
  <si>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</si>
  <si>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</si>
  <si>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</si>
  <si>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</si>
  <si>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</si>
  <si>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</si>
  <si>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</si>
  <si>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</si>
  <si>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</si>
  <si>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</si>
  <si>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</si>
  <si>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</si>
  <si>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</si>
  <si>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</si>
  <si>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</si>
  <si>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</si>
  <si>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</si>
  <si>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</si>
  <si>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</si>
  <si>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</si>
  <si>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</si>
  <si>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</si>
  <si>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</si>
  <si>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</si>
  <si>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</si>
  <si>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</si>
  <si>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</si>
  <si>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</si>
  <si>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</si>
  <si>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</si>
  <si>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</si>
  <si>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</si>
  <si>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</si>
  <si>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</si>
  <si>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</si>
  <si>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</si>
  <si>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</si>
  <si>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</si>
  <si>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</si>
  <si>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</si>
  <si>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</si>
  <si>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</si>
  <si>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</si>
  <si>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</si>
  <si>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</si>
  <si>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</si>
  <si>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</si>
  <si>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</si>
  <si>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</si>
  <si>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</si>
  <si>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</si>
  <si>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</si>
  <si>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</si>
  <si>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</si>
  <si>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</si>
  <si>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</si>
  <si>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</si>
  <si>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</si>
  <si>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</si>
  <si>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</si>
  <si>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</si>
  <si>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</si>
  <si>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</si>
  <si>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</si>
  <si>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</si>
  <si>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</si>
  <si>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</si>
  <si>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</si>
  <si>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</si>
  <si>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</si>
  <si>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</si>
  <si>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</si>
  <si>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</si>
  <si>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</si>
  <si>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</si>
  <si>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</si>
  <si>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</si>
  <si>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</si>
  <si>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</si>
  <si>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</si>
  <si>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</si>
  <si>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</si>
  <si>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</si>
  <si>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</si>
  <si>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</si>
  <si>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</si>
  <si>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</si>
  <si>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</si>
  <si>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</si>
  <si>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</si>
  <si>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</si>
  <si>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</si>
  <si>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</si>
  <si>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</si>
  <si>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</si>
  <si>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</si>
  <si>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</si>
  <si>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</si>
  <si>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</si>
  <si>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</si>
  <si>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</si>
  <si>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</si>
  <si>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</si>
  <si>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</si>
  <si>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</si>
  <si>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</si>
  <si>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</si>
  <si>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</si>
  <si>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</si>
  <si>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</si>
  <si>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</si>
  <si>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</si>
  <si>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</si>
  <si>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</si>
  <si>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</si>
  <si>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</si>
  <si>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</si>
  <si>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</si>
  <si>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</si>
  <si>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</si>
  <si>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</si>
  <si>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</si>
  <si>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</si>
  <si>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</si>
  <si>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</si>
  <si>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</si>
  <si>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</si>
  <si>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</si>
  <si>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</si>
  <si>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</si>
  <si>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</si>
  <si>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</si>
  <si>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</si>
  <si>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</si>
  <si>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</si>
  <si>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</si>
  <si>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</si>
  <si>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</si>
  <si>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</si>
  <si>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</si>
  <si>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</si>
  <si>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</si>
  <si>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</si>
  <si>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</si>
  <si>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</si>
  <si>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</si>
  <si>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</si>
  <si>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</si>
  <si>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</si>
  <si>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</si>
  <si>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</si>
  <si>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</si>
  <si>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</si>
  <si>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</si>
  <si>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</si>
  <si>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</si>
  <si>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</si>
  <si>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</si>
  <si>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</si>
  <si>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</si>
  <si>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</si>
  <si>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</si>
  <si>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</si>
  <si>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</si>
  <si>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</si>
  <si>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</si>
  <si>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</si>
  <si>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</si>
  <si>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</si>
  <si>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</si>
  <si>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</si>
  <si>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</si>
  <si>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</si>
  <si>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</si>
  <si>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</si>
  <si>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</si>
  <si>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</si>
  <si>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</si>
  <si>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</si>
  <si>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</si>
  <si>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</si>
  <si>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</si>
  <si>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</si>
  <si>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</si>
  <si>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</si>
  <si>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</si>
  <si>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</si>
  <si>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</si>
  <si>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</si>
  <si>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</si>
  <si>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</si>
  <si>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</si>
  <si>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</si>
  <si>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</si>
  <si>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</si>
  <si>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</si>
  <si>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</si>
  <si>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</si>
  <si>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</si>
  <si>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</si>
  <si>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</si>
  <si>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</si>
  <si>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</si>
  <si>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</si>
  <si>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</si>
  <si>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</si>
  <si>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</si>
  <si>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</si>
  <si>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</si>
  <si>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</si>
  <si>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</si>
  <si>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</si>
  <si>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</si>
  <si>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</si>
  <si>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</si>
  <si>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</si>
  <si>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</si>
  <si>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</si>
  <si>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</si>
  <si>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</si>
  <si>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</si>
  <si>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</si>
  <si>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</si>
  <si>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</si>
  <si>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</si>
  <si>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</si>
  <si>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</si>
  <si>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</si>
  <si>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</si>
  <si>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</si>
  <si>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</si>
  <si>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</si>
  <si>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</si>
  <si>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</si>
  <si>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</si>
  <si>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</si>
  <si>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</si>
  <si>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</si>
  <si>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</si>
  <si>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</si>
  <si>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</si>
  <si>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</si>
  <si>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</si>
  <si>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</si>
  <si>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</si>
  <si>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</si>
  <si>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</si>
  <si>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</si>
  <si>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</si>
  <si>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</si>
  <si>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</si>
  <si>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</si>
  <si>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</si>
  <si>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</si>
  <si>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</si>
  <si>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</si>
  <si>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</si>
  <si>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</si>
  <si>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</si>
  <si>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</si>
  <si>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</si>
  <si>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</si>
  <si>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</si>
  <si>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</si>
  <si>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</si>
  <si>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</si>
  <si>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</si>
  <si>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</si>
  <si>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</si>
  <si>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</si>
  <si>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</si>
  <si>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</si>
  <si>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</si>
  <si>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</si>
  <si>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</si>
  <si>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</si>
  <si>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</si>
  <si>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</si>
  <si>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</si>
  <si>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</si>
  <si>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</si>
  <si>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</si>
  <si>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</si>
  <si>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</si>
  <si>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</si>
  <si>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</si>
  <si>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</si>
  <si>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</si>
  <si>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</si>
  <si>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</si>
  <si>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</si>
  <si>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</si>
  <si>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</si>
  <si>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</si>
  <si>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</si>
  <si>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</si>
  <si>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</si>
  <si>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</si>
  <si>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</si>
  <si>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</si>
  <si>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</si>
  <si>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</si>
  <si>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</si>
  <si>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</si>
  <si>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</si>
  <si>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</si>
  <si>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</si>
  <si>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</si>
  <si>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</si>
  <si>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</si>
  <si>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</si>
  <si>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</si>
  <si>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</si>
  <si>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</si>
  <si>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</si>
  <si>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</si>
  <si>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</si>
  <si>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</si>
  <si>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</si>
  <si>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</si>
  <si>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</si>
  <si>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</si>
  <si>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</si>
  <si>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</si>
  <si>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</si>
  <si>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</si>
  <si>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</si>
  <si>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</si>
  <si>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</si>
  <si>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</si>
  <si>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</si>
  <si>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</si>
  <si>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</si>
  <si>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</si>
  <si>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</si>
  <si>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</si>
  <si>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</si>
  <si>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</si>
  <si>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</si>
  <si>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</si>
  <si>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</si>
  <si>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</si>
  <si>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</si>
  <si>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</si>
  <si>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</si>
  <si>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</si>
  <si>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</si>
  <si>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</si>
  <si>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</si>
  <si>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</si>
  <si>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</si>
  <si>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</si>
  <si>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</si>
  <si>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</si>
  <si>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</si>
  <si>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</si>
  <si>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</si>
  <si>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</si>
  <si>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</si>
  <si>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</si>
  <si>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</si>
  <si>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</si>
  <si>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</si>
  <si>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</si>
  <si>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</si>
  <si>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</si>
  <si>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</si>
  <si>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</si>
  <si>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</si>
  <si>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</si>
  <si>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</si>
  <si>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</si>
  <si>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</si>
  <si>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</si>
  <si>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</si>
  <si>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</si>
  <si>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</si>
  <si>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</si>
  <si>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</si>
  <si>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</si>
  <si>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</si>
  <si>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</si>
  <si>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</si>
  <si>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</si>
  <si>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</si>
  <si>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</si>
  <si>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</si>
  <si>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</si>
  <si>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</si>
  <si>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</si>
  <si>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</si>
  <si>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</si>
  <si>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</si>
  <si>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</si>
  <si>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</si>
  <si>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</si>
  <si>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</si>
  <si>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</si>
  <si>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</si>
  <si>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</si>
  <si>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</si>
  <si>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</si>
  <si>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</si>
  <si>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</si>
  <si>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</si>
  <si>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</si>
  <si>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</si>
  <si>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</si>
  <si>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</si>
  <si>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</si>
  <si>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</si>
  <si>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</si>
  <si>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</si>
  <si>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</si>
  <si>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</si>
  <si>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</si>
  <si>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</si>
  <si>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</si>
  <si>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</si>
  <si>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</si>
  <si>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</si>
  <si>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</si>
  <si>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</si>
  <si>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</si>
  <si>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</si>
  <si>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</si>
  <si>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</si>
  <si>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</si>
  <si>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</si>
  <si>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</si>
  <si>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</si>
  <si>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</si>
  <si>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</si>
  <si>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</si>
  <si>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</si>
  <si>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</si>
  <si>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</si>
  <si>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</si>
  <si>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</si>
  <si>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</si>
  <si>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</si>
  <si>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</si>
  <si>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</si>
  <si>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</si>
  <si>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</si>
  <si>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</si>
  <si>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</si>
  <si>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</si>
  <si>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</si>
  <si>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</si>
  <si>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</si>
  <si>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</si>
  <si>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</si>
  <si>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</si>
  <si>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</si>
  <si>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</si>
  <si>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</si>
  <si>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</si>
  <si>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</si>
  <si>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</si>
  <si>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</si>
  <si>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</si>
  <si>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</si>
  <si>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</si>
  <si>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</si>
  <si>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</si>
  <si>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</si>
  <si>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</si>
  <si>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</si>
  <si>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</si>
  <si>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</si>
  <si>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</si>
  <si>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</si>
  <si>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</si>
  <si>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</si>
  <si>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</si>
  <si>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</si>
  <si>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</si>
  <si>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</si>
  <si>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</si>
  <si>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</si>
  <si>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</si>
  <si>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</si>
  <si>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</si>
  <si>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</si>
  <si>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</si>
  <si>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</si>
  <si>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</si>
  <si>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</si>
  <si>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</si>
  <si>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</si>
  <si>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</si>
  <si>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</si>
  <si>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</si>
  <si>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</si>
  <si>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</si>
  <si>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</si>
  <si>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</si>
  <si>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</si>
  <si>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</si>
  <si>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</si>
  <si>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</si>
  <si>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</si>
  <si>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</si>
  <si>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</si>
  <si>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</si>
  <si>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</si>
  <si>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</si>
  <si>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</si>
  <si>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</si>
  <si>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</si>
  <si>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</si>
  <si>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</si>
  <si>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</si>
  <si>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</si>
  <si>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</si>
  <si>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</si>
  <si>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</si>
  <si>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</si>
  <si>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</si>
  <si>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</si>
  <si>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</si>
  <si>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</si>
  <si>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</si>
  <si>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</si>
  <si>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</si>
  <si>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</si>
  <si>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</si>
  <si>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</si>
  <si>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</si>
  <si>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</si>
  <si>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</si>
  <si>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</si>
  <si>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</si>
  <si>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</si>
  <si>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</si>
  <si>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</si>
  <si>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</si>
  <si>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</si>
  <si>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</si>
  <si>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</si>
  <si>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</si>
  <si>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</si>
  <si>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</si>
  <si>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</si>
  <si>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</si>
  <si>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</si>
  <si>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</si>
  <si>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</si>
  <si>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</si>
  <si>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</si>
  <si>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</si>
  <si>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</si>
  <si>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</si>
  <si>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</si>
  <si>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</si>
  <si>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</si>
  <si>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</si>
  <si>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</si>
  <si>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</si>
  <si>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</si>
  <si>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</si>
  <si>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</si>
  <si>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</si>
  <si>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</si>
  <si>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</si>
  <si>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</si>
  <si>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</si>
  <si>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</si>
  <si>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</si>
  <si>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</si>
  <si>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</si>
  <si>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</si>
  <si>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</si>
  <si>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</si>
  <si>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</si>
  <si>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</si>
  <si>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</si>
  <si>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</si>
  <si>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</si>
  <si>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</si>
  <si>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</si>
  <si>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</si>
  <si>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</si>
  <si>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</si>
  <si>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</si>
  <si>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</si>
  <si>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</si>
  <si>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</si>
  <si>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</si>
  <si>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</si>
  <si>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</si>
  <si>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</si>
  <si>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</si>
  <si>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</si>
  <si>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</si>
  <si>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</si>
  <si>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</si>
  <si>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</si>
  <si>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</si>
  <si>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</si>
  <si>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</si>
  <si>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</si>
  <si>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</si>
  <si>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</si>
  <si>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</si>
  <si>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</si>
  <si>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</si>
  <si>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</si>
  <si>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</si>
  <si>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</si>
  <si>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</si>
  <si>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</si>
  <si>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</si>
  <si>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</si>
  <si>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</si>
  <si>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</si>
  <si>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</si>
  <si>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</si>
  <si>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</si>
  <si>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</si>
  <si>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</si>
  <si>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</si>
  <si>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</si>
  <si>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</si>
  <si>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</si>
  <si>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</si>
  <si>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</si>
  <si>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</si>
  <si>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</si>
  <si>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</si>
  <si>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</si>
  <si>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</si>
  <si>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</si>
  <si>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</si>
  <si>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</si>
  <si>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</si>
  <si>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</si>
  <si>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</si>
  <si>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</si>
  <si>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</si>
  <si>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</si>
  <si>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</si>
  <si>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</si>
  <si>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</si>
  <si>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</si>
  <si>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</si>
  <si>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</si>
  <si>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</si>
  <si>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</si>
  <si>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</si>
  <si>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</si>
  <si>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</si>
  <si>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</si>
  <si>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</si>
  <si>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</si>
  <si>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</si>
  <si>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</si>
  <si>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</si>
  <si>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</si>
  <si>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</si>
  <si>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</si>
  <si>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</si>
  <si>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</si>
  <si>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</si>
  <si>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</si>
  <si>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</si>
  <si>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</si>
  <si>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</si>
  <si>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</si>
  <si>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</si>
  <si>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</si>
  <si>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</si>
  <si>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</si>
  <si>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</si>
  <si>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</si>
  <si>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</si>
  <si>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</si>
  <si>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</si>
  <si>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</si>
  <si>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</si>
  <si>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</si>
  <si>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</si>
  <si>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</si>
  <si>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</si>
  <si>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</si>
  <si>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</si>
  <si>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</si>
  <si>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</si>
  <si>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</si>
  <si>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</si>
  <si>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</si>
  <si>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</si>
  <si>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</si>
  <si>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</si>
  <si>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</si>
  <si>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</si>
  <si>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</si>
  <si>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</si>
  <si>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</si>
  <si>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</si>
  <si>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</si>
  <si>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</si>
  <si>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</si>
  <si>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</si>
  <si>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</si>
  <si>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</si>
  <si>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</si>
  <si>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</si>
  <si>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</si>
  <si>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</si>
  <si>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</si>
  <si>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</si>
  <si>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</si>
  <si>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</si>
  <si>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</si>
  <si>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</si>
  <si>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</si>
  <si>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</si>
  <si>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</si>
  <si>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</si>
  <si>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</si>
  <si>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</si>
  <si>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</si>
  <si>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</si>
  <si>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</si>
  <si>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</si>
  <si>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</si>
  <si>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</si>
  <si>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</si>
  <si>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</si>
  <si>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</si>
  <si>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</si>
  <si>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</si>
  <si>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</si>
  <si>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</si>
  <si>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</si>
  <si>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</si>
  <si>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</si>
  <si>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</si>
  <si>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</si>
  <si>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</si>
  <si>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</si>
  <si>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</si>
  <si>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</si>
  <si>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</si>
  <si>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</si>
  <si>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</si>
  <si>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</si>
  <si>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</si>
  <si>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</si>
  <si>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</si>
  <si>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</si>
  <si>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</si>
  <si>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</si>
  <si>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</si>
  <si>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</si>
  <si>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</si>
  <si>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</si>
  <si>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</si>
  <si>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</si>
  <si>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</si>
  <si>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</si>
  <si>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</si>
  <si>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</si>
  <si>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</si>
  <si>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</si>
  <si>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</si>
  <si>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</si>
  <si>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</si>
  <si>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</si>
  <si>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</si>
  <si>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</si>
  <si>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</si>
  <si>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</si>
  <si>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</si>
  <si>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</si>
  <si>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</si>
  <si>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</si>
  <si>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</si>
  <si>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</si>
  <si>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</si>
  <si>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</si>
  <si>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</si>
  <si>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</si>
  <si>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</si>
  <si>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</si>
  <si>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</si>
  <si>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</si>
  <si>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</si>
  <si>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</si>
  <si>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</si>
  <si>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</si>
  <si>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</si>
  <si>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</si>
  <si>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</si>
  <si>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</si>
  <si>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</si>
  <si>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</si>
  <si>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</si>
  <si>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</si>
  <si>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</si>
  <si>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</si>
  <si>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</si>
  <si>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</si>
  <si>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</si>
  <si>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</si>
  <si>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</si>
  <si>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</si>
  <si>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</si>
  <si>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</si>
  <si>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</si>
  <si>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</si>
  <si>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</si>
  <si>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</si>
  <si>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</si>
  <si>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</si>
  <si>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</si>
  <si>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</si>
  <si>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</si>
  <si>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</si>
  <si>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</si>
  <si>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</si>
  <si>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</si>
  <si>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</si>
  <si>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</si>
  <si>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</si>
  <si>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</si>
  <si>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</si>
  <si>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</si>
  <si>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</si>
  <si>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</si>
  <si>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</si>
  <si>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</si>
  <si>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</si>
  <si>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</si>
  <si>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</si>
  <si>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</si>
  <si>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</si>
  <si>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</si>
  <si>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</si>
  <si>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</si>
  <si>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</si>
  <si>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</si>
  <si>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</si>
  <si>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</si>
  <si>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</si>
  <si>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</si>
  <si>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</si>
  <si>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</si>
  <si>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</si>
  <si>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</si>
  <si>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</si>
  <si>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</si>
  <si>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</si>
  <si>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</si>
  <si>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</si>
  <si>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</si>
  <si>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</si>
  <si>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</si>
  <si>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</si>
  <si>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</si>
  <si>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</si>
  <si>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</si>
  <si>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</si>
  <si>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</si>
  <si>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</si>
  <si>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</si>
  <si>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</si>
  <si>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</si>
  <si>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</si>
  <si>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</si>
  <si>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</si>
  <si>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</si>
  <si>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</si>
  <si>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</si>
  <si>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</si>
  <si>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</si>
  <si>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</si>
  <si>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</si>
  <si>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</si>
  <si>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</si>
  <si>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</si>
  <si>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</si>
  <si>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</si>
  <si>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</si>
  <si>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</si>
  <si>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</si>
  <si>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</si>
  <si>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</si>
  <si>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</si>
  <si>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</si>
  <si>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</si>
  <si>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</si>
  <si>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</si>
  <si>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</si>
  <si>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</si>
  <si>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</si>
  <si>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</si>
  <si>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</si>
  <si>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</si>
  <si>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</si>
  <si>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</si>
  <si>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</si>
  <si>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</si>
  <si>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</si>
  <si>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</si>
  <si>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</si>
  <si>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</si>
  <si>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</si>
  <si>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</si>
  <si>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</si>
  <si>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</si>
  <si>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</si>
  <si>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</si>
  <si>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</si>
  <si>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</si>
  <si>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</si>
  <si>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</si>
  <si>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</si>
  <si>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</si>
  <si>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</si>
  <si>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</si>
  <si>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</si>
  <si>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</si>
  <si>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</si>
  <si>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</si>
  <si>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</si>
  <si>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</si>
  <si>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</si>
  <si>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</si>
  <si>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</si>
  <si>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</si>
  <si>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</si>
  <si>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</si>
  <si>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</si>
  <si>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</si>
  <si>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</si>
  <si>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</si>
  <si>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</si>
  <si>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</si>
  <si>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</si>
  <si>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</si>
  <si>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</si>
  <si>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</si>
  <si>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</si>
  <si>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</si>
  <si>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</si>
  <si>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</si>
  <si>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</si>
  <si>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</si>
  <si>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</si>
  <si>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</si>
  <si>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</si>
  <si>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</si>
  <si>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</si>
  <si>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</si>
  <si>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</si>
  <si>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</si>
  <si>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</si>
  <si>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</si>
  <si>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</si>
  <si>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</si>
  <si>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</si>
  <si>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</si>
  <si>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</si>
  <si>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</si>
  <si>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</si>
  <si>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</si>
  <si>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</si>
  <si>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</si>
  <si>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</si>
  <si>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</si>
  <si>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</si>
  <si>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</si>
  <si>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</si>
  <si>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</si>
  <si>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</si>
  <si>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</si>
  <si>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</si>
  <si>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</si>
  <si>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</si>
  <si>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</si>
  <si>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</si>
  <si>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</si>
  <si>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</si>
  <si>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</si>
  <si>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</si>
  <si>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</si>
  <si>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</si>
  <si>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</si>
  <si>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</si>
  <si>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</si>
  <si>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</si>
  <si>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</si>
  <si>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</si>
  <si>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</si>
  <si>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</si>
  <si>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</si>
  <si>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</si>
  <si>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</si>
  <si>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</si>
  <si>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</si>
  <si>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</si>
  <si>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</si>
  <si>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</si>
  <si>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</si>
  <si>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</si>
  <si>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</si>
  <si>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</si>
  <si>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</si>
  <si>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</si>
  <si>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</si>
  <si>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</si>
  <si>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</si>
  <si>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</si>
  <si>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</si>
  <si>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</si>
  <si>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</si>
  <si>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</si>
  <si>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</si>
  <si>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</si>
  <si>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</si>
  <si>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</si>
  <si>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</si>
  <si>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</si>
  <si>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</si>
  <si>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</si>
  <si>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</si>
  <si>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</si>
  <si>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</si>
  <si>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</si>
  <si>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</si>
  <si>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</si>
  <si>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</si>
  <si>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</si>
  <si>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</si>
  <si>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</si>
  <si>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</si>
  <si>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</si>
  <si>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</si>
  <si>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</si>
  <si>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</si>
  <si>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</si>
  <si>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</si>
  <si>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</si>
  <si>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</si>
  <si>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</si>
  <si>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</si>
  <si>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</si>
  <si>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</si>
  <si>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</si>
  <si>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</si>
  <si>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</si>
  <si>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</si>
  <si>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</si>
  <si>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</si>
  <si>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</si>
  <si>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</si>
  <si>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</si>
  <si>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</si>
  <si>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</si>
  <si>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</si>
  <si>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</si>
  <si>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</si>
  <si>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</si>
  <si>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</si>
  <si>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</si>
  <si>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</si>
  <si>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</si>
  <si>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</si>
  <si>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</si>
  <si>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</si>
  <si>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</si>
  <si>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</si>
  <si>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</si>
  <si>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</si>
  <si>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</si>
  <si>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</si>
  <si>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</si>
  <si>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</si>
  <si>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</si>
  <si>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</si>
  <si>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</si>
  <si>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</si>
  <si>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</si>
  <si>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</si>
  <si>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</si>
  <si>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</si>
  <si>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</si>
  <si>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</si>
  <si>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</si>
  <si>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</si>
  <si>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</si>
  <si>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</si>
  <si>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</si>
  <si>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</si>
  <si>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</si>
  <si>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</si>
  <si>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</si>
  <si>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</si>
  <si>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</si>
  <si>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</si>
  <si>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</si>
  <si>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</si>
  <si>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</si>
  <si>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</si>
  <si>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</si>
  <si>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</si>
  <si>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</si>
  <si>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</si>
  <si>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</si>
  <si>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</si>
  <si>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</si>
  <si>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</si>
  <si>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</si>
  <si>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</si>
  <si>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</si>
  <si>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</si>
  <si>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</si>
  <si>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</si>
  <si>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</si>
  <si>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</si>
  <si>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</si>
  <si>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</si>
  <si>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</si>
  <si>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</si>
  <si>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</si>
  <si>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</si>
  <si>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</si>
  <si>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</si>
  <si>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</si>
  <si>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</si>
  <si>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</si>
  <si>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</si>
  <si>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</si>
  <si>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</si>
  <si>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</si>
  <si>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</si>
  <si>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</si>
  <si>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</si>
  <si>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</si>
  <si>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</si>
  <si>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</si>
  <si>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</si>
  <si>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</si>
  <si>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</si>
  <si>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</si>
  <si>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</si>
  <si>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</si>
  <si>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</si>
  <si>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</si>
  <si>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</si>
  <si>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</si>
  <si>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</si>
  <si>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</si>
  <si>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</si>
  <si>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</si>
  <si>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</si>
  <si>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</si>
  <si>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</si>
  <si>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</si>
  <si>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</si>
  <si>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</si>
  <si>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</si>
  <si>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</si>
  <si>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</si>
  <si>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</si>
  <si>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</si>
  <si>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</si>
  <si>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</si>
  <si>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</si>
  <si>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</si>
  <si>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</si>
  <si>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</si>
  <si>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</si>
  <si>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</si>
  <si>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</si>
  <si>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</si>
  <si>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</si>
  <si>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</si>
  <si>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</si>
  <si>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</si>
  <si>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</si>
  <si>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</si>
  <si>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</si>
  <si>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</si>
  <si>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</si>
  <si>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</si>
  <si>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</si>
  <si>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</si>
  <si>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</si>
  <si>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</si>
  <si>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</si>
  <si>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</si>
  <si>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</si>
  <si>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</si>
  <si>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</si>
  <si>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</si>
  <si>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</si>
  <si>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</si>
  <si>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</si>
  <si>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</si>
  <si>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</si>
  <si>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</si>
  <si>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</si>
  <si>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</si>
  <si>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</si>
  <si>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</si>
  <si>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</si>
  <si>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</si>
  <si>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</si>
  <si>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</si>
  <si>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</si>
  <si>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</si>
  <si>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</si>
  <si>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</si>
  <si>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</si>
  <si>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</si>
  <si>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</si>
  <si>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</si>
  <si>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</si>
  <si>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</si>
  <si>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</si>
  <si>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</si>
  <si>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</si>
  <si>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</si>
  <si>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</si>
  <si>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</si>
  <si>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</si>
  <si>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</si>
  <si>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</si>
  <si>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</si>
  <si>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</si>
  <si>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</si>
  <si>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</si>
  <si>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</si>
  <si>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</si>
  <si>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</si>
  <si>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</si>
  <si>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</si>
  <si>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</si>
  <si>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</si>
  <si>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</si>
  <si>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</si>
  <si>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</si>
  <si>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</si>
  <si>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</si>
  <si>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</si>
  <si>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</si>
  <si>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</si>
  <si>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</si>
  <si>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</si>
  <si>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</si>
  <si>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</si>
  <si>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</si>
  <si>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</si>
  <si>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</si>
  <si>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</si>
  <si>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</si>
  <si>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</si>
  <si>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</si>
  <si>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</si>
  <si>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</si>
  <si>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</si>
  <si>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</si>
  <si>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</si>
  <si>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</si>
  <si>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</si>
  <si>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</si>
  <si>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</si>
  <si>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</si>
  <si>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</si>
  <si>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</si>
  <si>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</si>
  <si>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</si>
  <si>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</si>
  <si>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</si>
  <si>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</si>
  <si>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</si>
  <si>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</si>
  <si>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</si>
  <si>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</si>
  <si>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</si>
  <si>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</si>
  <si>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</si>
  <si>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</si>
  <si>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</si>
  <si>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</si>
  <si>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</si>
  <si>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</si>
  <si>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</si>
  <si>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</si>
  <si>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</si>
  <si>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</si>
  <si>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</si>
  <si>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</si>
  <si>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</si>
  <si>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</si>
  <si>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</si>
  <si>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</si>
  <si>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</si>
  <si>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</si>
  <si>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</si>
  <si>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</si>
  <si>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</si>
  <si>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</si>
  <si>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</si>
  <si>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</si>
  <si>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</si>
  <si>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</si>
  <si>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</si>
  <si>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</si>
  <si>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</si>
  <si>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</si>
  <si>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</si>
  <si>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</si>
  <si>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</si>
  <si>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</si>
  <si>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</si>
  <si>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</si>
  <si>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</si>
  <si>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</si>
  <si>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</si>
  <si>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</si>
  <si>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</si>
  <si>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</si>
  <si>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</si>
  <si>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</si>
  <si>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</si>
  <si>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</si>
  <si>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</si>
  <si>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</si>
  <si>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</si>
  <si>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</si>
  <si>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</si>
  <si>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</si>
  <si>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</si>
  <si>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</si>
  <si>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</si>
  <si>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</si>
  <si>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</si>
  <si>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</si>
  <si>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</si>
  <si>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</si>
  <si>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</si>
  <si>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</si>
  <si>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</si>
  <si>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</si>
  <si>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</si>
  <si>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</si>
  <si>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</si>
  <si>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</si>
  <si>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</si>
  <si>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</si>
  <si>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</si>
  <si>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</si>
  <si>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</si>
  <si>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</si>
  <si>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</si>
  <si>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</si>
  <si>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</si>
  <si>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</si>
  <si>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</si>
  <si>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</si>
  <si>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</si>
  <si>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</si>
  <si>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</si>
  <si>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</si>
  <si>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</si>
  <si>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</si>
  <si>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</si>
  <si>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</si>
  <si>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</si>
  <si>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</si>
  <si>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</si>
  <si>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</si>
  <si>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</si>
  <si>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</si>
  <si>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</si>
  <si>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</si>
  <si>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</si>
  <si>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</si>
  <si>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</si>
  <si>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</si>
  <si>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</si>
  <si>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</si>
  <si>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</si>
  <si>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</si>
  <si>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</si>
  <si>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</si>
  <si>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</si>
  <si>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</si>
  <si>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</si>
  <si>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</si>
  <si>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</si>
  <si>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</si>
  <si>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</si>
  <si>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</si>
  <si>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</si>
  <si>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</si>
  <si>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</si>
  <si>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</si>
  <si>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</si>
  <si>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</si>
  <si>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</si>
  <si>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</si>
  <si>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</si>
  <si>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</si>
  <si>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</si>
  <si>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</si>
  <si>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</si>
  <si>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</si>
  <si>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</si>
  <si>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</si>
  <si>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</si>
  <si>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</si>
  <si>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</si>
  <si>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</si>
  <si>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</si>
  <si>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</si>
  <si>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</si>
  <si>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</si>
  <si>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</si>
  <si>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</si>
  <si>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</si>
  <si>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</si>
  <si>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</si>
  <si>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</si>
  <si>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</si>
  <si>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</si>
  <si>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</si>
  <si>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</si>
  <si>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</si>
  <si>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</si>
  <si>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</si>
  <si>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</si>
  <si>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</si>
  <si>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</si>
  <si>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</si>
  <si>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</si>
  <si>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</si>
  <si>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</si>
  <si>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</si>
  <si>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</si>
  <si>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</si>
  <si>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</si>
  <si>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</si>
  <si>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</si>
  <si>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</si>
  <si>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</si>
  <si>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</si>
  <si>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</si>
  <si>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</si>
  <si>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</si>
  <si>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</si>
  <si>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</si>
  <si>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</si>
  <si>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</si>
  <si>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</si>
  <si>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</si>
  <si>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</si>
  <si>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</si>
  <si>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</si>
  <si>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</si>
  <si>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</si>
  <si>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</si>
  <si>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</si>
  <si>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</si>
  <si>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</si>
  <si>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</si>
  <si>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</si>
  <si>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</si>
  <si>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</si>
  <si>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</si>
  <si>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</si>
  <si>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</si>
  <si>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</si>
  <si>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</si>
  <si>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</si>
  <si>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</si>
  <si>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</si>
  <si>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</si>
  <si>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</si>
  <si>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</si>
  <si>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</si>
  <si>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</si>
  <si>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</si>
  <si>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</si>
  <si>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</si>
  <si>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</si>
  <si>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</si>
  <si>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</si>
  <si>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</si>
  <si>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</si>
  <si>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</si>
  <si>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</si>
  <si>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</si>
  <si>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</si>
  <si>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</si>
  <si>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</si>
  <si>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</si>
  <si>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</si>
  <si>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</si>
  <si>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</si>
  <si>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</si>
  <si>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</si>
  <si>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</si>
  <si>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</si>
  <si>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</si>
  <si>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</si>
  <si>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</si>
  <si>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</si>
  <si>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</si>
  <si>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</si>
  <si>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</si>
  <si>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</si>
  <si>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</si>
  <si>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</si>
  <si>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</si>
  <si>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</si>
  <si>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</si>
  <si>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</si>
  <si>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</si>
  <si>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</si>
  <si>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</si>
  <si>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</si>
  <si>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</si>
  <si>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</si>
  <si>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</si>
  <si>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</si>
  <si>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</si>
  <si>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</si>
  <si>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</si>
  <si>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</si>
  <si>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</si>
  <si>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</si>
  <si>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</si>
  <si>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</si>
  <si>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</si>
  <si>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</si>
  <si>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</si>
  <si>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</si>
  <si>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</si>
  <si>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</si>
  <si>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</si>
  <si>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</si>
  <si>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</si>
  <si>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</si>
  <si>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</si>
  <si>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</si>
  <si>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</si>
  <si>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</si>
  <si>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</si>
  <si>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</si>
  <si>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</si>
  <si>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</si>
  <si>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</si>
  <si>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</si>
  <si>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</si>
  <si>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</si>
  <si>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</si>
  <si>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</si>
  <si>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</si>
  <si>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</si>
  <si>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</si>
  <si>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</si>
  <si>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</si>
  <si>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</si>
  <si>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</si>
  <si>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</si>
  <si>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</si>
  <si>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</si>
  <si>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</si>
  <si>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</si>
  <si>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</si>
  <si>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</si>
  <si>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</si>
  <si>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</si>
  <si>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</si>
  <si>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</si>
  <si>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</si>
  <si>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</si>
  <si>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</si>
  <si>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</si>
  <si>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</si>
  <si>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</si>
  <si>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</si>
  <si>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</si>
  <si>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</si>
  <si>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</si>
  <si>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</si>
  <si>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</si>
  <si>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</si>
  <si>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</si>
  <si>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</si>
  <si>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</si>
  <si>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</si>
  <si>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</si>
  <si>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</si>
  <si>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</si>
  <si>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</si>
  <si>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</si>
  <si>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</si>
  <si>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</si>
  <si>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</si>
  <si>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</si>
  <si>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</si>
  <si>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</si>
  <si>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</si>
  <si>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</si>
  <si>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</si>
  <si>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</si>
  <si>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</si>
  <si>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</si>
  <si>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</si>
  <si>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</si>
  <si>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</si>
  <si>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</si>
  <si>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</si>
  <si>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</si>
  <si>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</si>
  <si>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</si>
  <si>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</si>
  <si>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</si>
  <si>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</si>
  <si>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</si>
  <si>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</si>
  <si>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</si>
  <si>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</si>
  <si>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</si>
  <si>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</si>
  <si>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</si>
  <si>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</si>
  <si>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</si>
  <si>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</si>
  <si>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</si>
  <si>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</si>
  <si>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</si>
  <si>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</si>
  <si>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</si>
  <si>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</si>
  <si>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</si>
  <si>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</si>
  <si>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</si>
  <si>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</si>
  <si>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</si>
  <si>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</si>
  <si>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</si>
  <si>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</si>
  <si>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</si>
  <si>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</si>
  <si>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</si>
  <si>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</si>
  <si>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</si>
  <si>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</si>
  <si>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</si>
  <si>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</si>
  <si>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</si>
  <si>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</si>
  <si>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</si>
  <si>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</si>
  <si>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</si>
  <si>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</si>
  <si>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</si>
  <si>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</si>
  <si>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</si>
  <si>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</si>
  <si>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</si>
  <si>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</si>
  <si>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</si>
  <si>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</si>
  <si>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</si>
  <si>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</si>
  <si>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</si>
  <si>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</si>
  <si>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</si>
  <si>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</si>
  <si>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</si>
  <si>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</si>
  <si>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</si>
  <si>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</si>
  <si>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</si>
  <si>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</si>
  <si>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</si>
  <si>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</si>
  <si>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</si>
  <si>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</si>
  <si>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</si>
  <si>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</si>
  <si>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</si>
  <si>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</si>
  <si>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</si>
  <si>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</si>
  <si>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</si>
  <si>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</si>
  <si>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</si>
  <si>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</si>
  <si>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</si>
  <si>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</si>
  <si>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</si>
  <si>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</si>
  <si>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</si>
  <si>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</si>
  <si>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</si>
  <si>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</si>
  <si>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</si>
  <si>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</si>
  <si>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</si>
  <si>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</si>
  <si>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</si>
  <si>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</si>
  <si>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</si>
  <si>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</si>
  <si>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</si>
  <si>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</si>
  <si>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</si>
  <si>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</si>
  <si>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</si>
  <si>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</si>
  <si>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</si>
  <si>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</si>
  <si>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</si>
  <si>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</si>
  <si>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</si>
  <si>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</si>
  <si>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</si>
  <si>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</si>
  <si>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</si>
  <si>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</si>
  <si>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</si>
  <si>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</si>
  <si>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</si>
  <si>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</si>
  <si>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</si>
  <si>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</si>
  <si>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</si>
  <si>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</si>
  <si>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</si>
  <si>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</si>
  <si>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</si>
  <si>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</si>
  <si>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</si>
  <si>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</si>
  <si>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</si>
  <si>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</si>
  <si>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</si>
  <si>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</si>
  <si>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</si>
  <si>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</si>
  <si>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</si>
  <si>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</si>
  <si>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</si>
  <si>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</si>
  <si>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</si>
  <si>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</si>
  <si>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</si>
  <si>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</si>
  <si>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</si>
  <si>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</si>
  <si>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</si>
  <si>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</si>
  <si>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</si>
  <si>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</si>
  <si>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</si>
  <si>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</si>
  <si>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</si>
  <si>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</si>
  <si>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</si>
  <si>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</si>
  <si>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</si>
  <si>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</si>
  <si>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</si>
  <si>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</si>
  <si>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</si>
  <si>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</si>
  <si>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</si>
  <si>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</si>
  <si>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</si>
  <si>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</si>
  <si>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</si>
  <si>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</si>
  <si>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</si>
  <si>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</si>
  <si>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</si>
  <si>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</si>
  <si>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</si>
  <si>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</si>
  <si>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</si>
  <si>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</si>
  <si>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</si>
  <si>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</si>
  <si>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</si>
  <si>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</si>
  <si>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</si>
  <si>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</si>
  <si>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</si>
  <si>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</si>
  <si>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</si>
  <si>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</si>
  <si>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</si>
  <si>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</si>
  <si>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</si>
  <si>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</si>
  <si>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</si>
  <si>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</si>
  <si>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</si>
  <si>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</si>
  <si>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</si>
  <si>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</si>
  <si>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</si>
  <si>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</si>
  <si>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</si>
  <si>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</si>
  <si>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</si>
  <si>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</si>
  <si>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</si>
  <si>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</si>
  <si>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</si>
  <si>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</si>
  <si>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</si>
  <si>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</si>
  <si>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</si>
  <si>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</si>
  <si>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</si>
  <si>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</si>
  <si>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</si>
  <si>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</si>
  <si>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</si>
  <si>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</si>
  <si>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</si>
  <si>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</si>
  <si>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</si>
  <si>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</si>
  <si>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</si>
  <si>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</si>
  <si>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</si>
  <si>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</si>
  <si>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</si>
  <si>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</si>
  <si>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</si>
  <si>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</si>
  <si>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</si>
  <si>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</si>
  <si>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</si>
  <si>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</si>
  <si>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</si>
  <si>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</si>
  <si>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</si>
  <si>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</si>
  <si>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</si>
  <si>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</si>
  <si>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</si>
  <si>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</si>
  <si>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</si>
  <si>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</si>
  <si>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</si>
  <si>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</si>
  <si>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</si>
  <si>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</si>
  <si>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</si>
  <si>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</si>
  <si>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</si>
  <si>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</si>
  <si>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</si>
  <si>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</si>
  <si>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</si>
  <si>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</si>
  <si>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</si>
  <si>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</si>
  <si>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</si>
  <si>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</si>
  <si>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</si>
  <si>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</si>
  <si>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</si>
  <si>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</si>
  <si>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</si>
  <si>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</si>
  <si>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</si>
  <si>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</si>
  <si>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</si>
  <si>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</si>
  <si>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</si>
  <si>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</si>
  <si>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</si>
  <si>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</si>
  <si>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</si>
  <si>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</si>
  <si>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</si>
  <si>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</si>
  <si>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</si>
  <si>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</si>
  <si>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</si>
  <si>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</si>
  <si>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</si>
  <si>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</si>
  <si>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</si>
  <si>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</si>
  <si>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</si>
  <si>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</si>
  <si>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</si>
  <si>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</si>
  <si>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</si>
  <si>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</si>
  <si>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</si>
  <si>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</si>
  <si>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</si>
  <si>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</si>
  <si>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</si>
  <si>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</si>
  <si>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</si>
  <si>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</si>
  <si>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</si>
  <si>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</si>
  <si>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</si>
  <si>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</si>
  <si>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</si>
  <si>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</si>
  <si>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</si>
  <si>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</si>
  <si>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</si>
  <si>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</si>
  <si>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</si>
  <si>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</si>
  <si>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</si>
  <si>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</si>
  <si>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</si>
  <si>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</si>
  <si>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</si>
  <si>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</si>
  <si>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</si>
  <si>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</si>
  <si>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</si>
  <si>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</si>
  <si>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</si>
  <si>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</si>
  <si>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</si>
  <si>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</si>
  <si>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</si>
  <si>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</si>
  <si>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</si>
  <si>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</si>
  <si>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</si>
  <si>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</si>
  <si>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</si>
  <si>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</si>
  <si>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</si>
  <si>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</si>
  <si>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</si>
  <si>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</si>
  <si>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</si>
  <si>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</si>
  <si>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</si>
  <si>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</si>
  <si>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</si>
  <si>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</si>
  <si>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</si>
  <si>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</si>
  <si>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</si>
  <si>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</si>
  <si>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</si>
  <si>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</si>
  <si>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</si>
  <si>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</si>
  <si>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</si>
  <si>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</si>
  <si>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</si>
  <si>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</si>
  <si>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</si>
  <si>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</si>
  <si>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</si>
  <si>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</si>
  <si>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</si>
  <si>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</si>
  <si>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</si>
  <si>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</si>
  <si>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</si>
  <si>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</si>
  <si>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</si>
  <si>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</si>
  <si>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</si>
  <si>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</si>
  <si>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</si>
  <si>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</si>
  <si>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</si>
  <si>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</si>
  <si>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</si>
  <si>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</si>
  <si>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</si>
  <si>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</si>
  <si>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</si>
  <si>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</si>
  <si>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</si>
  <si>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</si>
  <si>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</si>
  <si>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</si>
  <si>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</si>
  <si>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</si>
  <si>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</si>
  <si>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</si>
  <si>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</si>
  <si>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</si>
  <si>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</si>
  <si>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</si>
  <si>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</si>
  <si>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</si>
  <si>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</si>
  <si>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</si>
  <si>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</si>
  <si>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</si>
  <si>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</si>
  <si>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</si>
  <si>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</si>
  <si>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</si>
  <si>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</si>
  <si>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</si>
  <si>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</si>
  <si>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</si>
  <si>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</si>
  <si>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</si>
  <si>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</si>
  <si>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</si>
  <si>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</si>
  <si>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</si>
  <si>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</si>
  <si>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</si>
  <si>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</si>
  <si>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</si>
  <si>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</si>
  <si>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</si>
  <si>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</si>
  <si>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</si>
  <si>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</si>
  <si>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</si>
  <si>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</si>
  <si>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</si>
  <si>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</si>
  <si>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</si>
  <si>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</si>
  <si>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</si>
  <si>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</si>
  <si>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</si>
  <si>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</si>
  <si>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</si>
  <si>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</si>
  <si>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</si>
  <si>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</si>
  <si>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</si>
  <si>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</si>
  <si>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</si>
  <si>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</si>
  <si>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</si>
  <si>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</si>
  <si>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</si>
  <si>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</si>
  <si>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</si>
  <si>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</si>
  <si>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</si>
  <si>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</si>
  <si>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</si>
  <si>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</si>
  <si>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</si>
  <si>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</si>
  <si>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</si>
  <si>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</si>
  <si>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</si>
  <si>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</si>
  <si>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</si>
  <si>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</si>
  <si>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</si>
  <si>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</si>
  <si>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</si>
  <si>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</si>
  <si>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</si>
  <si>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</si>
  <si>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</si>
  <si>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</si>
  <si>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</si>
  <si>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</si>
  <si>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</si>
  <si>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</si>
  <si>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</si>
  <si>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</si>
  <si>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</si>
  <si>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</si>
  <si>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</si>
  <si>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</si>
  <si>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</si>
  <si>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</si>
  <si>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</si>
  <si>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</si>
  <si>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</si>
  <si>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</si>
  <si>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</si>
  <si>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</si>
  <si>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</si>
  <si>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</si>
  <si>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</si>
  <si>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</si>
  <si>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</si>
  <si>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</si>
  <si>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</si>
  <si>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</si>
  <si>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</si>
  <si>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</si>
  <si>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</si>
  <si>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</si>
  <si>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</si>
  <si>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</si>
  <si>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</si>
  <si>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</si>
  <si>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</si>
  <si>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</si>
  <si>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</si>
  <si>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</si>
  <si>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</si>
  <si>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</si>
  <si>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</si>
  <si>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</si>
  <si>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</si>
  <si>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</si>
  <si>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</si>
  <si>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</si>
  <si>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</si>
  <si>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</si>
  <si>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</si>
  <si>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</si>
  <si>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</si>
  <si>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</si>
  <si>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</si>
  <si>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</si>
  <si>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</si>
  <si>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</si>
  <si>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</si>
  <si>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</si>
  <si>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</si>
  <si>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</si>
  <si>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</si>
  <si>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</si>
  <si>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</si>
  <si>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</si>
  <si>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</si>
  <si>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</si>
  <si>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</si>
  <si>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</si>
  <si>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</si>
  <si>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</si>
  <si>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</si>
  <si>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</si>
  <si>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</si>
  <si>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</si>
  <si>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</si>
  <si>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</si>
  <si>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</si>
  <si>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</si>
  <si>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</si>
  <si>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</si>
  <si>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</si>
  <si>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</si>
  <si>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</si>
  <si>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</si>
  <si>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</si>
  <si>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</si>
  <si>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</si>
  <si>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</si>
  <si>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</si>
  <si>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</si>
  <si>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</si>
  <si>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</si>
  <si>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</si>
  <si>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</si>
  <si>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</si>
  <si>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</si>
  <si>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</si>
  <si>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</si>
  <si>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</si>
  <si>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</si>
  <si>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</si>
  <si>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</si>
  <si>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</si>
  <si>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</si>
  <si>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</si>
  <si>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</si>
  <si>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</si>
  <si>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</si>
  <si>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</si>
  <si>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</si>
  <si>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</si>
  <si>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</si>
  <si>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</si>
  <si>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</si>
  <si>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</si>
  <si>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</si>
  <si>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</si>
  <si>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</si>
  <si>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</si>
  <si>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</si>
  <si>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</si>
  <si>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</si>
  <si>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</si>
  <si>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</si>
  <si>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</si>
  <si>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</si>
  <si>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</si>
  <si>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</si>
  <si>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</si>
  <si>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</si>
  <si>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</si>
  <si>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</si>
  <si>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</si>
  <si>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</si>
  <si>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</si>
  <si>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</si>
  <si>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</si>
  <si>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</si>
  <si>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</si>
  <si>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</si>
  <si>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</si>
  <si>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</si>
  <si>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</si>
  <si>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</si>
  <si>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</si>
  <si>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</si>
  <si>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</si>
  <si>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</si>
  <si>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</si>
  <si>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</si>
  <si>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</si>
  <si>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</si>
  <si>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</si>
  <si>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</si>
  <si>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</si>
  <si>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</si>
  <si>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</si>
  <si>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</si>
  <si>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</si>
  <si>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</si>
  <si>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</si>
  <si>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</si>
  <si>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</si>
  <si>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</si>
  <si>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</si>
  <si>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</si>
  <si>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</si>
  <si>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</si>
  <si>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</si>
  <si>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</si>
  <si>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</si>
  <si>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</si>
  <si>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</si>
  <si>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</si>
  <si>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</si>
  <si>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</si>
  <si>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</si>
  <si>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</si>
  <si>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</si>
  <si>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</si>
  <si>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</si>
  <si>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</si>
  <si>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</si>
  <si>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</si>
  <si>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</si>
  <si>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</si>
  <si>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</si>
  <si>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</si>
  <si>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</si>
  <si>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</si>
  <si>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</si>
  <si>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</si>
  <si>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</si>
  <si>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</si>
  <si>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</si>
  <si>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</si>
  <si>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</si>
  <si>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</si>
  <si>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</si>
  <si>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</si>
  <si>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</si>
  <si>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</si>
  <si>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</si>
  <si>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</si>
  <si>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</si>
  <si>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</si>
  <si>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</si>
  <si>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</si>
  <si>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</si>
  <si>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</si>
  <si>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</si>
  <si>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</si>
  <si>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</si>
  <si>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</si>
  <si>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</si>
  <si>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</si>
  <si>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</si>
  <si>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</si>
  <si>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</si>
  <si>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</si>
  <si>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</si>
  <si>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</si>
  <si>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</si>
  <si>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</si>
  <si>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</si>
  <si>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</si>
  <si>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</si>
  <si>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</si>
  <si>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</si>
  <si>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</si>
  <si>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</si>
  <si>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</si>
  <si>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</si>
  <si>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</si>
  <si>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</si>
  <si>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</si>
  <si>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</si>
  <si>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</si>
  <si>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</si>
  <si>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</si>
  <si>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</si>
  <si>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</si>
  <si>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</si>
  <si>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</si>
  <si>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</si>
  <si>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</si>
  <si>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</si>
  <si>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</si>
  <si>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</si>
  <si>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</si>
  <si>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</si>
  <si>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</si>
  <si>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</si>
  <si>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</si>
  <si>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</si>
  <si>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</si>
  <si>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</si>
  <si>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</si>
  <si>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</si>
  <si>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</si>
  <si>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</si>
  <si>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</si>
  <si>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</si>
  <si>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</si>
  <si>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</si>
  <si>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</si>
  <si>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</si>
  <si>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</si>
  <si>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</si>
  <si>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</si>
  <si>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</si>
  <si>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</si>
  <si>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</si>
  <si>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</si>
  <si>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</si>
  <si>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</si>
  <si>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</si>
  <si>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</si>
  <si>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</si>
  <si>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</si>
  <si>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</si>
  <si>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</si>
  <si>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</si>
  <si>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</si>
  <si>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</si>
  <si>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</si>
  <si>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</si>
  <si>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</si>
  <si>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</si>
  <si>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</si>
  <si>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</si>
  <si>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</si>
  <si>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</si>
  <si>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</si>
  <si>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</si>
  <si>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</si>
  <si>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</si>
  <si>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</si>
  <si>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</si>
  <si>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</si>
  <si>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</si>
  <si>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</si>
  <si>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</si>
  <si>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</si>
  <si>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</si>
  <si>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</si>
  <si>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</si>
  <si>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</si>
  <si>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</si>
  <si>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</si>
  <si>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</si>
  <si>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</si>
  <si>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</si>
  <si>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</si>
  <si>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</si>
  <si>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</si>
  <si>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</si>
  <si>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</si>
  <si>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</si>
  <si>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</si>
  <si>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</si>
  <si>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</si>
  <si>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</si>
  <si>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</si>
  <si>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</si>
  <si>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</si>
  <si>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</si>
  <si>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</si>
  <si>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</si>
  <si>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</si>
  <si>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</si>
  <si>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</si>
  <si>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</si>
  <si>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</si>
  <si>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</si>
  <si>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</si>
  <si>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</si>
  <si>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</si>
  <si>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</si>
  <si>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</si>
  <si>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</si>
  <si>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</si>
  <si>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</si>
  <si>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</si>
  <si>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</si>
  <si>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</si>
  <si>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</si>
  <si>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</si>
  <si>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</si>
  <si>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</si>
  <si>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</si>
  <si>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</si>
  <si>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</si>
  <si>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</si>
  <si>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</si>
  <si>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</si>
  <si>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</si>
  <si>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</si>
  <si>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</si>
  <si>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</si>
  <si>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</si>
  <si>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</si>
  <si>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</si>
  <si>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</si>
  <si>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</si>
  <si>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</si>
  <si>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</si>
  <si>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</si>
  <si>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</si>
  <si>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</si>
  <si>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</si>
  <si>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</si>
  <si>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</si>
  <si>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</si>
  <si>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</si>
  <si>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</si>
  <si>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</si>
  <si>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</si>
  <si>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</si>
  <si>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</si>
  <si>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</si>
  <si>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</si>
  <si>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</si>
  <si>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</si>
  <si>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</si>
  <si>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</si>
  <si>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</si>
  <si>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</si>
  <si>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</si>
  <si>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</si>
  <si>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</si>
  <si>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</si>
  <si>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</si>
  <si>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</si>
  <si>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</si>
  <si>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</si>
  <si>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</si>
  <si>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</si>
  <si>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</si>
  <si>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</si>
  <si>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</si>
  <si>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</si>
  <si>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</si>
  <si>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</si>
  <si>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</si>
  <si>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</si>
  <si>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</si>
  <si>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</si>
  <si>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</si>
  <si>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</si>
  <si>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</si>
  <si>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</si>
  <si>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</si>
  <si>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</si>
  <si>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</si>
  <si>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</si>
  <si>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</si>
  <si>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</si>
  <si>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</si>
  <si>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</si>
  <si>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</si>
  <si>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</si>
  <si>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</si>
  <si>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</si>
  <si>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</si>
  <si>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</si>
  <si>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</si>
  <si>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</si>
  <si>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</si>
  <si>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</si>
  <si>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</si>
  <si>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</si>
  <si>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</si>
  <si>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</si>
  <si>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</si>
  <si>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</si>
  <si>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</si>
  <si>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</si>
  <si>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</si>
  <si>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</si>
  <si>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</si>
  <si>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</si>
  <si>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</si>
  <si>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</si>
  <si>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</si>
  <si>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</si>
  <si>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</si>
  <si>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</si>
  <si>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</si>
  <si>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</si>
  <si>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</si>
  <si>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</si>
  <si>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</si>
  <si>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</si>
  <si>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</si>
  <si>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</si>
  <si>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</si>
  <si>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</si>
  <si>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</si>
  <si>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</si>
  <si>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</si>
  <si>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</si>
  <si>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</si>
  <si>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</si>
  <si>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</si>
  <si>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</si>
  <si>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</si>
  <si>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</si>
  <si>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</si>
  <si>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</si>
  <si>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</si>
  <si>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</si>
  <si>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</si>
  <si>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</si>
  <si>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</si>
  <si>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</si>
  <si>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</si>
  <si>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</si>
  <si>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</si>
  <si>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</si>
  <si>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</si>
  <si>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</si>
  <si>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</si>
  <si>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</si>
  <si>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</si>
  <si>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</si>
  <si>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</si>
  <si>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</si>
  <si>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</si>
  <si>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</si>
  <si>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</si>
  <si>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</si>
  <si>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</si>
  <si>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</si>
  <si>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</si>
  <si>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</si>
  <si>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</si>
  <si>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</si>
  <si>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</si>
  <si>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</si>
  <si>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</si>
  <si>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</si>
  <si>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</si>
  <si>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</si>
  <si>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</si>
  <si>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</si>
  <si>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</si>
  <si>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</si>
  <si>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</si>
  <si>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</si>
  <si>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</si>
  <si>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</si>
  <si>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</si>
  <si>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</si>
  <si>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</si>
  <si>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</si>
  <si>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</si>
  <si>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</si>
  <si>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</si>
  <si>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</si>
  <si>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</si>
  <si>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</si>
  <si>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</si>
  <si>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</si>
  <si>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</si>
  <si>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</si>
  <si>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</si>
  <si>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</si>
  <si>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</si>
  <si>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</si>
  <si>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</si>
  <si>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</si>
  <si>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</si>
  <si>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</si>
  <si>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</si>
  <si>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</si>
  <si>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</si>
  <si>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</si>
  <si>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</si>
  <si>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</si>
  <si>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</si>
  <si>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</si>
  <si>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</si>
  <si>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</si>
  <si>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</si>
  <si>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</si>
  <si>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</si>
  <si>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</si>
  <si>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</si>
  <si>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</si>
  <si>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</si>
  <si>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</si>
  <si>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</si>
  <si>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</si>
  <si>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</si>
  <si>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</si>
  <si>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</si>
  <si>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</si>
  <si>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</si>
  <si>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</si>
  <si>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</si>
  <si>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</si>
  <si>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</si>
  <si>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</si>
  <si>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</si>
  <si>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</si>
  <si>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</si>
  <si>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</si>
  <si>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</si>
  <si>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</si>
  <si>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</si>
  <si>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</si>
  <si>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</si>
  <si>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</si>
  <si>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</si>
  <si>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</si>
  <si>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</si>
  <si>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</si>
  <si>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</si>
  <si>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</si>
  <si>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</si>
  <si>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</si>
  <si>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</si>
  <si>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</si>
  <si>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</si>
  <si>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</si>
  <si>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</si>
  <si>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</si>
  <si>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</si>
  <si>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</si>
  <si>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</si>
  <si>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</si>
  <si>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</si>
  <si>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</si>
  <si>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</si>
  <si>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</si>
  <si>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</si>
  <si>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</si>
  <si>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</si>
  <si>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</si>
  <si>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</si>
  <si>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</si>
  <si>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</si>
  <si>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</si>
  <si>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</si>
  <si>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</si>
  <si>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</si>
  <si>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</si>
  <si>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</si>
  <si>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</si>
  <si>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</si>
  <si>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</si>
  <si>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</si>
  <si>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</si>
  <si>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</si>
  <si>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</si>
  <si>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</si>
  <si>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</si>
  <si>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</si>
  <si>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</si>
  <si>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</si>
  <si>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</si>
  <si>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</si>
  <si>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</si>
  <si>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</si>
  <si>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</si>
  <si>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</si>
  <si>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</si>
  <si>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</si>
  <si>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</si>
  <si>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</si>
  <si>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</si>
  <si>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</si>
  <si>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</si>
  <si>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</si>
  <si>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</si>
  <si>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</si>
  <si>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</si>
  <si>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</si>
  <si>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</si>
  <si>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</si>
  <si>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</si>
  <si>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</si>
  <si>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</si>
  <si>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</si>
  <si>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</si>
  <si>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</si>
  <si>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</si>
  <si>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</si>
  <si>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</si>
  <si>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</si>
  <si>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</si>
  <si>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</si>
  <si>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</si>
  <si>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</si>
  <si>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</si>
  <si>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</si>
  <si>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</si>
  <si>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</si>
  <si>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</si>
  <si>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</si>
  <si>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</si>
  <si>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</si>
  <si>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</si>
  <si>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</si>
  <si>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</si>
  <si>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</si>
  <si>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</si>
  <si>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</si>
  <si>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</si>
  <si>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</si>
  <si>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</si>
  <si>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</si>
  <si>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</si>
  <si>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</si>
  <si>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</si>
  <si>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</si>
  <si>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</si>
  <si>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</si>
  <si>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</si>
  <si>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</si>
  <si>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</si>
  <si>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</si>
  <si>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</si>
  <si>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</si>
  <si>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</si>
  <si>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</si>
  <si>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</si>
  <si>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</si>
  <si>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</si>
  <si>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</si>
  <si>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</si>
  <si>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</si>
  <si>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</si>
  <si>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</si>
  <si>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</si>
  <si>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</si>
  <si>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</si>
  <si>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</si>
  <si>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</si>
  <si>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</si>
  <si>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</si>
  <si>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</si>
  <si>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</si>
  <si>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</si>
  <si>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</si>
  <si>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</si>
  <si>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</si>
  <si>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</si>
  <si>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</si>
  <si>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</si>
  <si>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</si>
  <si>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</si>
  <si>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</si>
  <si>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</si>
  <si>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</si>
  <si>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</si>
  <si>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</si>
  <si>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</si>
  <si>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</si>
  <si>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</si>
  <si>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</si>
  <si>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</si>
  <si>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</si>
  <si>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</si>
  <si>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</si>
  <si>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</si>
  <si>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</si>
  <si>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</si>
  <si>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</si>
  <si>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</si>
  <si>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</si>
  <si>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</si>
  <si>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</si>
  <si>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</si>
  <si>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</si>
  <si>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</si>
  <si>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</si>
  <si>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</si>
  <si>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</si>
  <si>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</si>
  <si>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</si>
  <si>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</si>
  <si>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</si>
  <si>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</si>
  <si>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</si>
  <si>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</si>
  <si>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</si>
  <si>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</si>
  <si>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</si>
  <si>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</si>
  <si>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</si>
  <si>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</si>
  <si>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</si>
  <si>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</si>
  <si>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</si>
  <si>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</si>
  <si>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</si>
  <si>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</si>
  <si>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</si>
  <si>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</si>
  <si>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</si>
  <si>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</si>
  <si>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</si>
  <si>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</si>
  <si>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</si>
  <si>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</si>
  <si>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</si>
  <si>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</si>
  <si>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</si>
  <si>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</si>
  <si>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</si>
  <si>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</si>
  <si>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</si>
  <si>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</si>
  <si>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</si>
  <si>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</si>
  <si>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</si>
  <si>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</si>
  <si>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</si>
  <si>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</si>
  <si>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</si>
  <si>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</si>
  <si>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</si>
  <si>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</si>
  <si>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</si>
  <si>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</si>
  <si>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</si>
  <si>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</si>
  <si>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</si>
  <si>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</si>
  <si>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</si>
  <si>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</si>
  <si>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</si>
  <si>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</si>
  <si>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</si>
  <si>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</si>
  <si>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</si>
  <si>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</si>
  <si>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</si>
  <si>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</si>
  <si>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</si>
  <si>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</si>
  <si>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</si>
  <si>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</si>
  <si>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</si>
  <si>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</si>
  <si>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</si>
  <si>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</si>
  <si>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</si>
  <si>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</si>
  <si>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</si>
  <si>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</si>
  <si>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</si>
  <si>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</si>
  <si>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</si>
  <si>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</si>
  <si>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</si>
  <si>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</si>
  <si>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</si>
  <si>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</si>
  <si>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</si>
  <si>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</si>
  <si>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</si>
  <si>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</si>
  <si>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</si>
  <si>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</si>
  <si>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</si>
  <si>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</si>
  <si>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</si>
  <si>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</si>
  <si>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</si>
  <si>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</si>
  <si>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</si>
  <si>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</si>
  <si>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</si>
  <si>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</si>
  <si>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</si>
  <si>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</si>
  <si>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</si>
  <si>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</si>
  <si>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</si>
  <si>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</si>
  <si>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</si>
  <si>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</si>
  <si>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</si>
  <si>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</si>
  <si>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</si>
  <si>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</si>
  <si>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</si>
  <si>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</si>
  <si>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</si>
  <si>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</si>
  <si>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</si>
  <si>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</si>
  <si>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</si>
  <si>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</si>
  <si>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</si>
  <si>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</si>
  <si>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</si>
  <si>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</si>
  <si>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</si>
  <si>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</si>
  <si>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</si>
  <si>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</si>
  <si>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</si>
  <si>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</si>
  <si>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</si>
  <si>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</si>
  <si>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</si>
  <si>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</si>
  <si>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</si>
  <si>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</si>
  <si>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</si>
  <si>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</si>
  <si>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</si>
  <si>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</si>
  <si>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</si>
  <si>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</si>
  <si>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</si>
  <si>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</si>
  <si>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</si>
  <si>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</si>
  <si>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</si>
  <si>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</si>
  <si>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</si>
  <si>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</si>
  <si>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</si>
  <si>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</si>
  <si>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</si>
  <si>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</si>
  <si>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</si>
  <si>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</si>
  <si>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</si>
  <si>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</si>
  <si>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</si>
  <si>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</si>
  <si>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</si>
  <si>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</si>
  <si>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</si>
  <si>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</si>
  <si>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</si>
  <si>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</si>
  <si>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</si>
  <si>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</si>
  <si>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</si>
  <si>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</si>
  <si>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</si>
  <si>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</si>
  <si>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</si>
  <si>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</si>
  <si>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</si>
  <si>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</si>
  <si>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</si>
  <si>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</si>
  <si>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</si>
  <si>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</si>
  <si>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</si>
  <si>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</si>
  <si>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</si>
  <si>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</si>
  <si>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</si>
  <si>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</si>
  <si>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</si>
  <si>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</si>
  <si>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</si>
  <si>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</si>
  <si>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</si>
  <si>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</si>
  <si>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</si>
  <si>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</si>
  <si>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</si>
  <si>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</si>
  <si>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</si>
  <si>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</si>
  <si>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</si>
  <si>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</si>
  <si>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</si>
  <si>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</si>
  <si>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</si>
  <si>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</si>
  <si>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</si>
  <si>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</si>
  <si>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</si>
  <si>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</si>
  <si>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</si>
  <si>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</si>
  <si>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</si>
  <si>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</si>
  <si>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</si>
  <si>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</si>
  <si>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</si>
  <si>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</si>
  <si>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</si>
  <si>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</si>
  <si>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</si>
  <si>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</si>
  <si>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</si>
  <si>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</si>
  <si>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</si>
  <si>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</si>
  <si>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</si>
  <si>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</si>
  <si>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</si>
  <si>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</si>
  <si>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</si>
  <si>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</si>
  <si>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</si>
  <si>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</si>
  <si>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</si>
  <si>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</si>
  <si>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</si>
  <si>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</si>
  <si>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</si>
  <si>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</si>
  <si>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</si>
  <si>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</si>
  <si>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</si>
  <si>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</si>
  <si>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</si>
  <si>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</si>
  <si>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</si>
  <si>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</si>
  <si>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</si>
  <si>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</si>
  <si>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</si>
  <si>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</si>
  <si>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</si>
  <si>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</si>
  <si>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</si>
  <si>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</si>
  <si>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</si>
  <si>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</si>
  <si>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</si>
  <si>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</si>
  <si>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</si>
  <si>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</si>
  <si>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</si>
  <si>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</si>
  <si>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</si>
  <si>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</si>
  <si>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</si>
  <si>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</si>
  <si>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</si>
  <si>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</si>
  <si>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</si>
  <si>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</si>
  <si>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</si>
  <si>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</si>
  <si>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</si>
  <si>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</si>
  <si>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</si>
  <si>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</si>
  <si>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</si>
  <si>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</si>
  <si>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</si>
  <si>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</si>
  <si>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</si>
  <si>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</si>
  <si>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</si>
  <si>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</si>
  <si>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</si>
  <si>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</si>
  <si>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</si>
  <si>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</si>
  <si>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</si>
  <si>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</si>
  <si>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</si>
  <si>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</si>
  <si>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</si>
  <si>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</si>
  <si>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</si>
  <si>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</si>
  <si>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</si>
  <si>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</si>
  <si>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</si>
  <si>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</si>
  <si>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</si>
  <si>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</si>
  <si>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</si>
  <si>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</si>
  <si>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</si>
  <si>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</si>
  <si>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</si>
  <si>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</si>
  <si>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</si>
  <si>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</si>
  <si>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</si>
  <si>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</si>
  <si>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</si>
  <si>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</si>
  <si>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</si>
  <si>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</si>
  <si>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</si>
  <si>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</si>
  <si>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</si>
  <si>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</si>
  <si>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</si>
  <si>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</si>
  <si>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</si>
  <si>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</si>
  <si>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</si>
  <si>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</si>
  <si>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</si>
  <si>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</si>
  <si>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</si>
  <si>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</si>
  <si>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</si>
  <si>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</si>
  <si>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</si>
  <si>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</si>
  <si>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</si>
  <si>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</si>
  <si>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</si>
  <si>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</si>
  <si>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</si>
  <si>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</si>
  <si>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</si>
  <si>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</si>
  <si>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</si>
  <si>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</si>
  <si>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</si>
  <si>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</si>
  <si>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</si>
  <si>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</si>
  <si>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</si>
  <si>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</si>
  <si>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</si>
  <si>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</si>
  <si>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</si>
  <si>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</si>
  <si>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</si>
  <si>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</si>
  <si>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</si>
  <si>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</si>
  <si>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</si>
  <si>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</si>
  <si>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</si>
  <si>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</si>
  <si>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</si>
  <si>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</si>
  <si>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</si>
  <si>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</si>
  <si>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</si>
  <si>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</si>
  <si>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</si>
  <si>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</si>
  <si>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</si>
  <si>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</si>
  <si>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</si>
  <si>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</si>
  <si>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</si>
  <si>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</si>
  <si>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</si>
  <si>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</si>
  <si>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</si>
  <si>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</si>
  <si>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</si>
  <si>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</si>
  <si>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</si>
  <si>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</si>
  <si>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</si>
  <si>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</si>
  <si>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</si>
  <si>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</si>
  <si>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</si>
  <si>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</si>
  <si>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</si>
  <si>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</si>
  <si>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</si>
  <si>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</si>
  <si>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</si>
  <si>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</si>
  <si>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</si>
  <si>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</si>
  <si>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</si>
  <si>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</si>
  <si>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</si>
  <si>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</si>
  <si>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</si>
  <si>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</si>
  <si>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</si>
  <si>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</si>
  <si>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</si>
  <si>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</si>
  <si>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</si>
  <si>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</si>
  <si>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</si>
  <si>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</si>
  <si>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</si>
  <si>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</si>
  <si>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</si>
  <si>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</si>
  <si>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</si>
  <si>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</si>
  <si>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</si>
  <si>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</si>
  <si>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</si>
  <si>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</si>
  <si>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</si>
  <si>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</si>
  <si>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</si>
  <si>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</si>
  <si>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</si>
  <si>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</si>
  <si>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</si>
  <si>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</si>
  <si>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</si>
  <si>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</si>
  <si>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</si>
  <si>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</si>
  <si>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</si>
  <si>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</si>
  <si>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</si>
  <si>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</si>
  <si>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</si>
  <si>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</si>
  <si>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</si>
  <si>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</si>
  <si>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</si>
  <si>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</si>
  <si>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</si>
  <si>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</si>
  <si>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</si>
  <si>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</si>
  <si>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</si>
  <si>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</si>
  <si>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</si>
  <si>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</si>
  <si>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</si>
  <si>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</si>
  <si>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</si>
  <si>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</si>
  <si>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</si>
  <si>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</si>
  <si>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</si>
  <si>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</si>
  <si>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</si>
  <si>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</si>
  <si>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</si>
  <si>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</si>
  <si>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</si>
  <si>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</si>
  <si>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</si>
  <si>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</si>
  <si>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</si>
  <si>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</si>
  <si>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</si>
  <si>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</si>
  <si>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</si>
  <si>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</si>
  <si>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</si>
  <si>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</si>
  <si>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</si>
  <si>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</si>
  <si>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</si>
  <si>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</si>
  <si>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</si>
  <si>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</si>
  <si>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</si>
  <si>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</si>
  <si>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</si>
  <si>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</si>
  <si>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</si>
  <si>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</si>
  <si>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</si>
  <si>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</si>
  <si>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</si>
  <si>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</si>
  <si>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</si>
  <si>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</si>
  <si>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</si>
  <si>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</si>
  <si>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</si>
  <si>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</si>
  <si>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</si>
  <si>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</si>
  <si>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</si>
  <si>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</si>
  <si>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</si>
  <si>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</si>
  <si>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</si>
  <si>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</si>
  <si>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</si>
  <si>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</si>
  <si>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</si>
  <si>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</si>
  <si>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</si>
  <si>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</si>
  <si>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</si>
  <si>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</si>
  <si>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</si>
  <si>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</si>
  <si>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</si>
  <si>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</si>
  <si>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</si>
  <si>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</si>
  <si>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</si>
  <si>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</si>
  <si>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</si>
  <si>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</si>
  <si>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</si>
  <si>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</si>
  <si>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</si>
  <si>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</si>
  <si>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</si>
  <si>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</si>
  <si>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</si>
  <si>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</si>
  <si>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</si>
  <si>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</si>
  <si>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</si>
  <si>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</si>
  <si>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</si>
  <si>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</si>
  <si>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</si>
  <si>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</si>
  <si>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</si>
  <si>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</si>
  <si>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</si>
  <si>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</si>
  <si>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</si>
  <si>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</si>
  <si>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</si>
  <si>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</si>
  <si>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</si>
  <si>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</si>
  <si>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</si>
  <si>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</si>
  <si>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</si>
  <si>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</si>
  <si>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</si>
  <si>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</si>
  <si>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</si>
  <si>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</si>
  <si>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</si>
  <si>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</si>
  <si>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</si>
  <si>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</si>
  <si>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</si>
  <si>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</si>
  <si>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</si>
  <si>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</si>
  <si>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</si>
  <si>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</si>
  <si>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</si>
  <si>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</si>
  <si>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</si>
  <si>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</si>
  <si>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</si>
  <si>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</si>
  <si>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</si>
  <si>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</si>
  <si>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</si>
  <si>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</si>
  <si>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</si>
  <si>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</si>
  <si>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</si>
  <si>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</si>
  <si>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</si>
  <si>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</si>
  <si>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</si>
  <si>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</si>
  <si>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</si>
  <si>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</si>
  <si>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</si>
  <si>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</si>
  <si>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</si>
  <si>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</si>
  <si>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</si>
  <si>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</si>
  <si>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</si>
  <si>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</si>
  <si>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</si>
  <si>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</si>
  <si>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</si>
  <si>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</si>
  <si>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</si>
  <si>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</si>
  <si>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</si>
  <si>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</si>
  <si>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</si>
  <si>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</si>
  <si>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</si>
  <si>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</si>
  <si>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</si>
  <si>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</si>
  <si>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</si>
  <si>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</si>
  <si>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</si>
  <si>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</si>
  <si>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</si>
  <si>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</si>
  <si>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</si>
  <si>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</si>
  <si>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</si>
  <si>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</si>
  <si>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</si>
  <si>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</si>
  <si>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</si>
  <si>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</si>
  <si>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</si>
  <si>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</si>
  <si>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</si>
  <si>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</si>
  <si>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</si>
  <si>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</si>
  <si>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</si>
  <si>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</si>
  <si>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</si>
  <si>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</si>
  <si>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</si>
  <si>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</si>
  <si>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</si>
  <si>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</si>
  <si>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</si>
  <si>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</si>
  <si>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</si>
  <si>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</si>
  <si>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</si>
  <si>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</si>
  <si>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</si>
  <si>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</si>
  <si>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</si>
  <si>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</si>
  <si>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</si>
  <si>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</si>
  <si>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</si>
  <si>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</si>
  <si>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</si>
  <si>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</si>
  <si>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</si>
  <si>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</si>
  <si>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</si>
  <si>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</si>
  <si>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</si>
  <si>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</si>
  <si>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</si>
  <si>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</si>
  <si>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</si>
  <si>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</si>
  <si>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</si>
  <si>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</si>
  <si>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</si>
  <si>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</si>
  <si>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</si>
  <si>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</si>
  <si>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</si>
  <si>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</si>
  <si>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</si>
  <si>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</si>
  <si>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</si>
  <si>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</si>
  <si>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</si>
  <si>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</si>
  <si>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</si>
  <si>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</si>
  <si>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</si>
  <si>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</si>
  <si>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</si>
  <si>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</si>
  <si>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</si>
  <si>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</si>
  <si>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</si>
  <si>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</si>
  <si>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</si>
  <si>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</si>
  <si>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</si>
  <si>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</si>
  <si>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</si>
  <si>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</si>
  <si>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</si>
  <si>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</si>
  <si>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</si>
  <si>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</si>
  <si>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</si>
  <si>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</si>
  <si>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</si>
  <si>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</si>
  <si>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</si>
  <si>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</si>
  <si>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</si>
  <si>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</si>
  <si>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</si>
  <si>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</si>
  <si>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</si>
  <si>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</si>
  <si>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</si>
  <si>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</si>
  <si>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</si>
  <si>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</si>
  <si>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</si>
  <si>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</si>
  <si>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</si>
  <si>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</si>
  <si>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</si>
  <si>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</si>
  <si>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</si>
  <si>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</si>
  <si>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</si>
  <si>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</si>
  <si>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</si>
  <si>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</si>
  <si>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</si>
  <si>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</si>
  <si>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</si>
  <si>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</si>
  <si>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</si>
  <si>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</si>
  <si>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</si>
  <si>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</si>
  <si>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</si>
  <si>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</si>
  <si>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</si>
  <si>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</si>
  <si>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</si>
  <si>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</si>
  <si>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</si>
  <si>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</si>
  <si>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</si>
  <si>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</si>
  <si>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</si>
  <si>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</si>
  <si>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</si>
  <si>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</si>
  <si>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</si>
  <si>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</si>
  <si>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</si>
  <si>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</si>
  <si>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</si>
  <si>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</si>
  <si>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</si>
  <si>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</si>
  <si>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</si>
  <si>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</si>
  <si>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</si>
  <si>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</si>
  <si>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</si>
  <si>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</si>
  <si>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</si>
  <si>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</si>
  <si>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</si>
  <si>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</si>
  <si>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</si>
  <si>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</si>
  <si>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</si>
  <si>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</si>
  <si>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</si>
  <si>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</si>
  <si>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</si>
  <si>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</si>
  <si>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</si>
  <si>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</si>
  <si>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</si>
  <si>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</si>
  <si>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</si>
  <si>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</si>
  <si>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</si>
  <si>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</si>
  <si>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</si>
  <si>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</si>
  <si>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</si>
  <si>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</si>
  <si>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</si>
  <si>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</si>
  <si>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</si>
  <si>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</si>
  <si>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</si>
  <si>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</si>
  <si>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</si>
  <si>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</si>
  <si>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</si>
  <si>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</si>
  <si>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</si>
  <si>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</si>
  <si>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</si>
  <si>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</si>
  <si>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</si>
  <si>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</si>
  <si>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</si>
  <si>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</si>
  <si>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</si>
  <si>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</si>
  <si>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</si>
  <si>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</si>
  <si>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</si>
  <si>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</si>
  <si>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</si>
  <si>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</si>
  <si>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</si>
  <si>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</si>
  <si>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</si>
  <si>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</si>
  <si>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</si>
  <si>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</si>
  <si>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</si>
  <si>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</si>
  <si>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</si>
  <si>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</si>
  <si>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</si>
  <si>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</si>
  <si>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</si>
  <si>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</si>
  <si>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</si>
  <si>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</si>
  <si>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</si>
  <si>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</si>
  <si>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</si>
  <si>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</si>
  <si>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</si>
  <si>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</si>
  <si>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</si>
  <si>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</si>
  <si>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</si>
  <si>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</si>
  <si>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</si>
  <si>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</si>
  <si>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</si>
  <si>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</si>
  <si>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</si>
  <si>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</si>
  <si>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</si>
  <si>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</si>
  <si>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</si>
  <si>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</si>
  <si>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</si>
  <si>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</si>
  <si>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</si>
  <si>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</si>
  <si>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</si>
  <si>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</si>
  <si>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</si>
  <si>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</si>
  <si>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</si>
  <si>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</si>
  <si>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</si>
  <si>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</si>
  <si>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</si>
  <si>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</si>
  <si>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</si>
  <si>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</si>
  <si>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</si>
  <si>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</si>
  <si>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</si>
  <si>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</si>
  <si>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</si>
  <si>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</si>
  <si>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</si>
  <si>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</si>
  <si>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</si>
  <si>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</si>
  <si>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</si>
  <si>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</si>
  <si>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</si>
  <si>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</si>
  <si>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</si>
  <si>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</si>
  <si>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</si>
  <si>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</si>
  <si>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</si>
  <si>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</si>
  <si>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</si>
  <si>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</si>
  <si>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</si>
  <si>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</si>
  <si>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</si>
  <si>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</si>
  <si>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</si>
  <si>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</si>
  <si>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</si>
  <si>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</si>
  <si>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</si>
  <si>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</si>
  <si>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</si>
  <si>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</si>
  <si>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</si>
  <si>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</si>
  <si>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</si>
  <si>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</si>
  <si>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</si>
  <si>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</si>
  <si>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</si>
  <si>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</si>
  <si>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</si>
  <si>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</si>
  <si>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</si>
  <si>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</si>
  <si>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</si>
  <si>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</si>
  <si>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</si>
  <si>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</si>
  <si>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</si>
  <si>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</si>
  <si>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</si>
  <si>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</si>
  <si>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</si>
  <si>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</si>
  <si>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</si>
  <si>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</si>
  <si>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</si>
  <si>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</si>
  <si>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</si>
  <si>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</si>
  <si>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</si>
  <si>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</si>
  <si>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</si>
  <si>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</si>
  <si>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</si>
  <si>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</si>
  <si>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</si>
  <si>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</si>
  <si>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</si>
  <si>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</si>
  <si>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</si>
  <si>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</si>
  <si>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</si>
  <si>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</si>
  <si>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</si>
  <si>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</si>
  <si>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</si>
  <si>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</si>
  <si>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</si>
  <si>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</si>
  <si>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</si>
  <si>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</si>
  <si>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</si>
  <si>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</si>
  <si>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</si>
  <si>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</si>
  <si>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</si>
  <si>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</si>
  <si>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</si>
  <si>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</si>
  <si>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</si>
  <si>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</si>
  <si>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</si>
  <si>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</si>
  <si>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</si>
  <si>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</si>
  <si>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</si>
  <si>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</si>
  <si>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</si>
  <si>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</si>
  <si>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</si>
  <si>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</si>
  <si>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</si>
  <si>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</si>
  <si>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</si>
  <si>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</si>
  <si>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</si>
  <si>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</si>
  <si>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</si>
  <si>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</si>
  <si>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</si>
  <si>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</si>
  <si>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</si>
  <si>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</si>
  <si>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</si>
  <si>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</si>
  <si>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</si>
  <si>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</si>
  <si>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</si>
  <si>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</si>
  <si>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</si>
  <si>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</si>
  <si>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</si>
  <si>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</si>
  <si>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</si>
  <si>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</si>
  <si>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</si>
  <si>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</si>
  <si>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</si>
  <si>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</si>
  <si>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</si>
  <si>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</si>
  <si>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</si>
  <si>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</si>
  <si>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</si>
  <si>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</si>
  <si>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</si>
  <si>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</si>
  <si>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</si>
  <si>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</si>
  <si>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</si>
  <si>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</si>
  <si>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</si>
  <si>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</si>
  <si>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</si>
  <si>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</si>
  <si>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</si>
  <si>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</si>
  <si>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</si>
  <si>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</si>
  <si>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</si>
  <si>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</si>
  <si>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</si>
  <si>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</si>
  <si>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</si>
  <si>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</si>
  <si>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</si>
  <si>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</si>
  <si>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</si>
  <si>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</si>
  <si>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</si>
  <si>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</si>
  <si>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</si>
  <si>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</si>
  <si>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</si>
  <si>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</si>
  <si>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</si>
  <si>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</si>
  <si>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</si>
  <si>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</si>
  <si>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</si>
  <si>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</si>
  <si>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</si>
  <si>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</si>
  <si>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</si>
  <si>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</si>
  <si>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</si>
  <si>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</si>
  <si>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</si>
  <si>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</si>
  <si>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</si>
  <si>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</si>
  <si>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</si>
  <si>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</si>
  <si>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</si>
  <si>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</si>
  <si>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</si>
  <si>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</si>
  <si>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</si>
  <si>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</si>
  <si>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</si>
  <si>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</si>
  <si>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</si>
  <si>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</si>
  <si>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</si>
  <si>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</si>
  <si>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</si>
  <si>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</si>
  <si>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</si>
  <si>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</si>
  <si>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</si>
  <si>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</si>
  <si>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</si>
  <si>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</si>
  <si>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</si>
  <si>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</si>
  <si>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</si>
  <si>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</si>
  <si>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</si>
  <si>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</si>
  <si>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</si>
  <si>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</si>
  <si>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</si>
  <si>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</si>
  <si>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</si>
  <si>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</si>
  <si>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</si>
  <si>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</si>
  <si>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</si>
  <si>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</si>
  <si>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</si>
  <si>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</si>
  <si>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</si>
  <si>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</si>
  <si>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</si>
  <si>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</si>
  <si>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</si>
  <si>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</si>
  <si>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</si>
  <si>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</si>
  <si>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</si>
  <si>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</si>
  <si>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</si>
  <si>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</si>
  <si>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</si>
  <si>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</si>
  <si>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</si>
  <si>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</si>
  <si>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</si>
  <si>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</si>
  <si>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</si>
  <si>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</si>
  <si>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</si>
  <si>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</si>
  <si>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</si>
  <si>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</si>
  <si>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</si>
  <si>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</si>
  <si>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</si>
  <si>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</si>
  <si>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</si>
  <si>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</si>
  <si>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</si>
  <si>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</si>
  <si>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</si>
  <si>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</si>
  <si>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</si>
  <si>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</si>
  <si>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</si>
  <si>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</si>
  <si>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</si>
  <si>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</si>
  <si>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</si>
  <si>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</si>
  <si>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</si>
  <si>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</si>
  <si>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</si>
  <si>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</si>
  <si>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</si>
  <si>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</si>
  <si>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</si>
  <si>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</si>
  <si>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</si>
  <si>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</si>
  <si>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</si>
  <si>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</si>
  <si>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</si>
  <si>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</si>
  <si>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</si>
  <si>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</si>
  <si>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</si>
  <si>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</si>
  <si>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</si>
  <si>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</si>
  <si>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</si>
  <si>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</si>
  <si>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</si>
  <si>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</si>
  <si>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</si>
  <si>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</si>
  <si>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</si>
  <si>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</si>
  <si>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</si>
  <si>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</si>
  <si>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</si>
  <si>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</si>
  <si>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</si>
  <si>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</si>
  <si>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</si>
  <si>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</si>
  <si>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</si>
  <si>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</si>
  <si>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</si>
  <si>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</si>
  <si>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</si>
  <si>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</si>
  <si>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</si>
  <si>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</si>
  <si>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</si>
  <si>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</si>
  <si>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</si>
  <si>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</si>
  <si>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</si>
  <si>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</si>
  <si>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</si>
  <si>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</si>
  <si>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</si>
  <si>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</si>
  <si>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</si>
  <si>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</si>
  <si>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</si>
  <si>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</si>
  <si>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</si>
  <si>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</si>
  <si>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</si>
  <si>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</si>
  <si>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</si>
  <si>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</si>
  <si>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</si>
  <si>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</si>
  <si>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</si>
  <si>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</si>
  <si>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</si>
  <si>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</si>
  <si>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</si>
  <si>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</si>
  <si>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</si>
  <si>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</si>
  <si>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</si>
  <si>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</si>
  <si>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</si>
  <si>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</si>
  <si>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</si>
  <si>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</si>
  <si>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</si>
  <si>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</si>
  <si>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</si>
  <si>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</si>
  <si>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</si>
  <si>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</si>
  <si>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</si>
  <si>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</si>
  <si>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</si>
  <si>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</si>
  <si>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</si>
  <si>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</si>
  <si>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</si>
  <si>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</si>
  <si>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</si>
  <si>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</si>
  <si>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</si>
  <si>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</si>
  <si>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</si>
  <si>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</si>
  <si>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</si>
  <si>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</si>
  <si>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</si>
  <si>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</si>
  <si>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</si>
  <si>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</si>
  <si>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</si>
  <si>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</si>
  <si>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</si>
  <si>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</si>
  <si>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</si>
  <si>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</si>
  <si>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</si>
  <si>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</si>
  <si>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</si>
  <si>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</si>
  <si>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</si>
  <si>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</si>
  <si>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</si>
  <si>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</si>
  <si>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</si>
  <si>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</si>
  <si>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</si>
  <si>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</si>
  <si>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</si>
  <si>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</si>
  <si>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</si>
  <si>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</si>
  <si>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</si>
  <si>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</si>
  <si>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</si>
  <si>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</si>
  <si>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</si>
  <si>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</si>
  <si>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</si>
  <si>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</si>
  <si>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</si>
  <si>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</si>
  <si>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</si>
  <si>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</si>
  <si>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</si>
  <si>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</si>
  <si>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</si>
  <si>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</si>
  <si>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</si>
  <si>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</si>
  <si>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</si>
  <si>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</si>
  <si>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</si>
  <si>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</si>
  <si>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</si>
  <si>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</si>
  <si>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</si>
  <si>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</si>
  <si>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</si>
  <si>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</si>
  <si>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</si>
  <si>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</si>
  <si>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</si>
  <si>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</si>
  <si>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</si>
  <si>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</si>
  <si>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</si>
  <si>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</si>
  <si>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</si>
  <si>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</si>
  <si>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</si>
  <si>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</si>
  <si>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</si>
  <si>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</si>
  <si>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</si>
  <si>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</si>
  <si>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</si>
  <si>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</si>
  <si>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</si>
  <si>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</si>
  <si>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</si>
  <si>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</si>
  <si>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</si>
  <si>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</si>
  <si>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</si>
  <si>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</si>
  <si>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</si>
  <si>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</si>
  <si>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</si>
  <si>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</si>
  <si>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</si>
  <si>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</si>
  <si>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</si>
  <si>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</si>
  <si>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</si>
  <si>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</si>
  <si>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</si>
  <si>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</si>
  <si>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</si>
  <si>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</si>
  <si>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</si>
  <si>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</si>
  <si>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</si>
  <si>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</si>
  <si>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</si>
  <si>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</si>
  <si>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</si>
  <si>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</si>
  <si>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</si>
  <si>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</si>
  <si>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</si>
  <si>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</si>
  <si>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</si>
  <si>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</si>
  <si>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</si>
  <si>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</si>
  <si>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</si>
  <si>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</si>
  <si>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</si>
  <si>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</si>
  <si>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</si>
  <si>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</si>
  <si>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</si>
  <si>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</si>
  <si>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</si>
  <si>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</si>
  <si>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</si>
  <si>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</si>
  <si>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</si>
  <si>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</si>
  <si>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</si>
  <si>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</si>
  <si>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</si>
  <si>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</si>
  <si>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</si>
  <si>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</si>
  <si>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</si>
  <si>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</si>
  <si>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</si>
  <si>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</si>
  <si>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</si>
  <si>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</si>
  <si>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</si>
  <si>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</si>
  <si>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</si>
  <si>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</si>
  <si>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</si>
  <si>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</si>
  <si>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</si>
  <si>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</si>
  <si>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</si>
  <si>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</si>
  <si>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</si>
  <si>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</si>
  <si>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</si>
  <si>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</si>
  <si>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</si>
  <si>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</si>
  <si>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</si>
  <si>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</si>
  <si>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</si>
  <si>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</si>
  <si>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</si>
  <si>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</si>
  <si>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</si>
  <si>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</si>
  <si>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</si>
  <si>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</si>
  <si>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</si>
  <si>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</si>
  <si>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</si>
  <si>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</si>
  <si>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</si>
  <si>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</si>
  <si>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</si>
  <si>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</si>
  <si>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</si>
  <si>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</si>
  <si>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</si>
  <si>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</si>
  <si>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</si>
  <si>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</si>
  <si>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</si>
  <si>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</si>
  <si>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</si>
  <si>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</si>
  <si>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</si>
  <si>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</si>
  <si>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</si>
  <si>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</si>
  <si>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</si>
  <si>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</si>
  <si>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</si>
  <si>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</si>
  <si>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</si>
  <si>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</si>
  <si>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</si>
  <si>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</si>
  <si>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</si>
  <si>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</si>
  <si>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</si>
  <si>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</si>
  <si>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</si>
  <si>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</si>
  <si>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</si>
  <si>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</si>
  <si>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</si>
  <si>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</si>
  <si>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</si>
  <si>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</si>
  <si>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</si>
  <si>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</si>
  <si>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</si>
  <si>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</si>
  <si>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</si>
  <si>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</si>
  <si>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</si>
  <si>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</si>
  <si>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</si>
  <si>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</si>
  <si>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</si>
  <si>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</si>
  <si>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</si>
  <si>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</si>
  <si>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</si>
  <si>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</si>
  <si>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</si>
  <si>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</si>
  <si>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</si>
  <si>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</si>
  <si>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</si>
  <si>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</si>
  <si>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</si>
  <si>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</si>
  <si>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</si>
  <si>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</si>
  <si>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</si>
  <si>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</si>
  <si>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</si>
  <si>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</si>
  <si>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</si>
  <si>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</si>
  <si>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</si>
  <si>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</si>
  <si>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</si>
  <si>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</si>
  <si>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</si>
  <si>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</si>
  <si>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</si>
  <si>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</si>
  <si>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</si>
  <si>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</si>
  <si>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</si>
  <si>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</si>
  <si>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</si>
  <si>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</si>
  <si>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</si>
  <si>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</si>
  <si>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</si>
  <si>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</si>
  <si>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</si>
  <si>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</si>
  <si>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</si>
  <si>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</si>
  <si>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</si>
  <si>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</si>
  <si>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</si>
  <si>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</si>
  <si>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</si>
  <si>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</si>
  <si>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</si>
  <si>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</si>
  <si>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</si>
  <si>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</si>
  <si>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</si>
  <si>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</si>
  <si>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</si>
  <si>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</si>
  <si>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</si>
  <si>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</si>
  <si>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</si>
  <si>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</si>
  <si>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</si>
  <si>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</si>
  <si>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</si>
  <si>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</si>
  <si>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</si>
  <si>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</si>
  <si>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</si>
  <si>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</si>
  <si>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</si>
  <si>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</si>
  <si>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</si>
  <si>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</si>
  <si>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</si>
  <si>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</si>
  <si>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</si>
  <si>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</si>
  <si>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</si>
  <si>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</si>
  <si>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</si>
  <si>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</si>
  <si>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</si>
  <si>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</si>
  <si>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</si>
  <si>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</si>
  <si>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</si>
  <si>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</si>
  <si>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</si>
  <si>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</si>
  <si>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</si>
  <si>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</si>
  <si>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</si>
  <si>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</si>
  <si>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</si>
  <si>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</si>
  <si>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</si>
  <si>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</si>
  <si>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</si>
  <si>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</si>
  <si>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</si>
  <si>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</si>
  <si>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</si>
  <si>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</si>
  <si>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</si>
  <si>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</si>
  <si>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</si>
  <si>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</si>
  <si>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</si>
  <si>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</si>
  <si>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</si>
  <si>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</si>
  <si>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</si>
  <si>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</si>
  <si>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</si>
  <si>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</si>
  <si>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</si>
  <si>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</si>
  <si>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</si>
  <si>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</si>
  <si>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</si>
  <si>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</si>
  <si>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</si>
  <si>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</si>
  <si>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</si>
  <si>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</si>
  <si>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</si>
  <si>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</si>
  <si>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</si>
  <si>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</si>
  <si>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</si>
  <si>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</si>
  <si>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</si>
  <si>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</si>
  <si>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</si>
  <si>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</si>
  <si>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</si>
  <si>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</si>
  <si>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</si>
  <si>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</si>
  <si>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</si>
  <si>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</si>
  <si>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</si>
  <si>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</si>
  <si>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</si>
  <si>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</si>
  <si>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</si>
  <si>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</si>
  <si>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</si>
  <si>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</si>
  <si>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</si>
  <si>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</si>
  <si>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</si>
  <si>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</si>
  <si>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</si>
  <si>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</si>
  <si>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</si>
  <si>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</si>
  <si>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</si>
  <si>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</si>
  <si>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</si>
  <si>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</si>
  <si>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</si>
  <si>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</si>
  <si>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</si>
  <si>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</si>
  <si>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</si>
  <si>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</si>
  <si>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</si>
  <si>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</si>
  <si>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</si>
  <si>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</si>
  <si>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</si>
  <si>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</si>
  <si>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</si>
  <si>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</si>
  <si>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</si>
  <si>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</si>
  <si>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</si>
  <si>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</si>
  <si>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</si>
  <si>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</si>
  <si>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</si>
  <si>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</si>
  <si>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</si>
  <si>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</si>
  <si>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</si>
  <si>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</si>
  <si>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</si>
  <si>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</si>
  <si>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</si>
  <si>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</si>
  <si>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</si>
  <si>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</si>
  <si>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</si>
  <si>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</si>
  <si>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</si>
  <si>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</si>
  <si>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</si>
  <si>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</si>
  <si>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</si>
  <si>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</si>
  <si>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</si>
  <si>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</si>
  <si>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</si>
  <si>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</si>
  <si>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</si>
  <si>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</si>
  <si>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</si>
  <si>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</si>
  <si>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</si>
  <si>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</si>
  <si>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</si>
  <si>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</si>
  <si>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</si>
  <si>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</si>
  <si>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</si>
  <si>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</si>
  <si>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</si>
  <si>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</si>
  <si>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</si>
  <si>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</si>
  <si>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</si>
  <si>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</si>
  <si>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</si>
  <si>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</si>
  <si>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</si>
  <si>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</si>
  <si>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</si>
  <si>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</si>
  <si>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</si>
  <si>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</si>
  <si>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</si>
  <si>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</si>
  <si>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</si>
  <si>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</si>
  <si>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</si>
  <si>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</si>
  <si>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</si>
  <si>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</si>
  <si>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</si>
  <si>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</si>
  <si>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</si>
  <si>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</si>
  <si>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</si>
  <si>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</si>
  <si>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</si>
  <si>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</si>
  <si>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</si>
  <si>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</si>
  <si>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</si>
  <si>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</si>
  <si>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</si>
  <si>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</si>
  <si>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</si>
  <si>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</si>
  <si>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</si>
  <si>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</si>
  <si>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</si>
  <si>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</si>
  <si>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</si>
  <si>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</si>
  <si>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</si>
  <si>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</si>
  <si>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</si>
  <si>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</si>
  <si>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</si>
  <si>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</si>
  <si>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</si>
  <si>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</si>
  <si>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</si>
  <si>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</si>
  <si>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</si>
  <si>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</si>
  <si>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</si>
  <si>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</si>
  <si>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</si>
  <si>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</si>
  <si>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</si>
  <si>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</si>
  <si>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</si>
  <si>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</si>
  <si>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</si>
  <si>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</si>
  <si>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</si>
  <si>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</si>
  <si>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</si>
  <si>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</si>
  <si>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</si>
  <si>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</si>
  <si>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</si>
  <si>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</si>
  <si>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</si>
  <si>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</si>
  <si>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</si>
  <si>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</si>
  <si>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</si>
  <si>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</si>
  <si>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</si>
  <si>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</si>
  <si>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</si>
  <si>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</si>
  <si>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</si>
  <si>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</si>
  <si>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</si>
  <si>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</si>
  <si>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</si>
  <si>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</si>
  <si>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</si>
  <si>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</si>
  <si>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</si>
  <si>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</si>
  <si>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</si>
  <si>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</si>
  <si>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</si>
  <si>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</si>
  <si>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</si>
  <si>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</si>
  <si>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</si>
  <si>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</si>
  <si>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</si>
  <si>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</si>
  <si>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</si>
  <si>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</si>
  <si>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</si>
  <si>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</si>
  <si>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</si>
  <si>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</si>
  <si>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</si>
  <si>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</si>
  <si>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</si>
  <si>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</si>
  <si>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</si>
  <si>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</si>
  <si>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</si>
  <si>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</si>
  <si>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</si>
  <si>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</si>
  <si>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</si>
  <si>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</si>
  <si>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</si>
  <si>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</si>
  <si>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</si>
  <si>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</si>
  <si>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</si>
  <si>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</si>
  <si>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</si>
  <si>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</si>
  <si>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</si>
  <si>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</si>
  <si>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</si>
  <si>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</si>
  <si>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</si>
  <si>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</si>
  <si>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</si>
  <si>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</si>
  <si>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</si>
  <si>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</si>
  <si>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</si>
  <si>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</si>
  <si>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</si>
  <si>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</si>
  <si>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</si>
  <si>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</si>
  <si>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</si>
  <si>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</si>
  <si>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</si>
  <si>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</si>
  <si>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</si>
  <si>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</si>
  <si>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</si>
  <si>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</si>
  <si>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</si>
  <si>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</si>
  <si>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</si>
  <si>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</si>
  <si>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</si>
  <si>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</si>
  <si>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</si>
  <si>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</si>
  <si>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</si>
  <si>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</si>
  <si>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</si>
  <si>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</si>
  <si>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</si>
  <si>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</si>
  <si>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</si>
  <si>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</si>
  <si>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</si>
  <si>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</si>
  <si>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</si>
  <si>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</si>
  <si>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</si>
  <si>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</si>
  <si>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</si>
  <si>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</si>
  <si>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</si>
  <si>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</si>
  <si>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</si>
  <si>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</si>
  <si>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</si>
  <si>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</si>
  <si>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</si>
  <si>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</si>
  <si>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</si>
  <si>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</si>
  <si>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</si>
  <si>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</si>
  <si>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</si>
  <si>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</si>
  <si>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</si>
  <si>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</si>
  <si>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</si>
  <si>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</si>
  <si>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</si>
  <si>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</si>
  <si>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</si>
  <si>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</si>
  <si>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</si>
  <si>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</si>
  <si>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</si>
  <si>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</si>
  <si>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</si>
  <si>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</si>
  <si>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</si>
  <si>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</si>
  <si>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</si>
  <si>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</si>
  <si>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</si>
  <si>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</si>
  <si>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</si>
  <si>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</si>
  <si>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</si>
  <si>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</si>
  <si>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</si>
  <si>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</si>
  <si>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</si>
  <si>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</si>
  <si>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</si>
  <si>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</si>
  <si>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</si>
  <si>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</si>
  <si>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</si>
  <si>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</si>
  <si>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</si>
  <si>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</si>
  <si>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</si>
  <si>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</si>
  <si>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</si>
  <si>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</si>
  <si>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</si>
  <si>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</si>
  <si>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</si>
  <si>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</si>
  <si>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</si>
  <si>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</si>
  <si>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</si>
  <si>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</si>
  <si>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</si>
  <si>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</si>
  <si>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</si>
  <si>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</si>
  <si>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</si>
  <si>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</si>
  <si>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</si>
  <si>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</si>
  <si>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</si>
  <si>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</si>
  <si>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</si>
  <si>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</si>
  <si>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</si>
  <si>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</si>
  <si>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</si>
  <si>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</si>
  <si>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</si>
  <si>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</si>
  <si>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</si>
  <si>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</si>
  <si>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</si>
  <si>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</si>
  <si>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</si>
  <si>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</si>
  <si>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</si>
  <si>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</si>
  <si>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</si>
  <si>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</si>
  <si>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</si>
  <si>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</si>
  <si>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</si>
  <si>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</si>
  <si>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</si>
  <si>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</si>
  <si>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</si>
  <si>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</si>
  <si>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</si>
  <si>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</si>
  <si>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</si>
  <si>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</si>
  <si>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</si>
  <si>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</si>
  <si>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</si>
  <si>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</si>
  <si>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</si>
  <si>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</si>
  <si>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</si>
  <si>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</si>
  <si>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</si>
  <si>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</si>
  <si>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</si>
  <si>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</si>
  <si>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</si>
  <si>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</si>
  <si>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</si>
  <si>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</si>
  <si>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</si>
  <si>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</si>
  <si>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</si>
  <si>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</si>
  <si>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</si>
  <si>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</si>
  <si>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</si>
  <si>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</si>
  <si>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</si>
  <si>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</si>
  <si>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</si>
  <si>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</si>
  <si>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</si>
  <si>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</si>
  <si>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</si>
  <si>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</si>
  <si>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</si>
  <si>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</si>
  <si>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</si>
  <si>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</si>
  <si>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</si>
  <si>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</si>
  <si>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</si>
  <si>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</si>
  <si>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</si>
  <si>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</si>
  <si>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</si>
  <si>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</si>
  <si>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</si>
  <si>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</si>
  <si>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</si>
  <si>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</si>
  <si>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</si>
  <si>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</si>
  <si>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</si>
  <si>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</si>
  <si>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</si>
  <si>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</si>
  <si>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</si>
  <si>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</si>
  <si>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</si>
  <si>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</si>
  <si>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</si>
  <si>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</si>
  <si>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</si>
  <si>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</si>
  <si>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</si>
  <si>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</si>
  <si>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</si>
  <si>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</si>
  <si>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</si>
  <si>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</si>
  <si>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</si>
  <si>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</si>
  <si>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</si>
  <si>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</si>
  <si>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</si>
  <si>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</si>
  <si>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</si>
  <si>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</si>
  <si>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</si>
  <si>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</si>
  <si>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</si>
  <si>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</si>
  <si>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</si>
  <si>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</si>
  <si>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</si>
  <si>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</si>
  <si>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</si>
  <si>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</si>
  <si>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</si>
  <si>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</si>
  <si>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</si>
  <si>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</si>
  <si>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</si>
  <si>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</si>
  <si>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</si>
  <si>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</si>
  <si>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</si>
  <si>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</si>
  <si>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</si>
  <si>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</si>
  <si>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</si>
  <si>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</si>
  <si>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</si>
  <si>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</si>
  <si>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</si>
  <si>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</si>
  <si>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</si>
  <si>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</si>
  <si>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</si>
  <si>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</si>
  <si>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</si>
  <si>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</si>
  <si>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</si>
  <si>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</si>
  <si>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</si>
  <si>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</si>
  <si>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</si>
  <si>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</si>
  <si>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</si>
  <si>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</si>
  <si>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</si>
  <si>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</si>
  <si>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</si>
  <si>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</si>
  <si>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</si>
  <si>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</si>
  <si>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</si>
  <si>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</si>
  <si>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</si>
  <si>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</si>
  <si>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</si>
  <si>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</si>
  <si>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</si>
  <si>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</si>
  <si>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</si>
  <si>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</si>
  <si>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</si>
  <si>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</si>
  <si>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</si>
  <si>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</si>
  <si>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</si>
  <si>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</si>
  <si>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</si>
  <si>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</si>
  <si>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</si>
  <si>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</si>
  <si>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</si>
  <si>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</si>
  <si>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</si>
  <si>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</si>
  <si>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</si>
  <si>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</si>
  <si>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</si>
  <si>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</si>
  <si>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</si>
  <si>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</si>
  <si>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</si>
  <si>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</si>
  <si>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</si>
  <si>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</si>
  <si>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</si>
  <si>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</si>
  <si>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</si>
  <si>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</si>
  <si>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</si>
  <si>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</si>
  <si>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</si>
  <si>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</si>
  <si>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</si>
  <si>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</si>
  <si>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</si>
  <si>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</si>
  <si>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</si>
  <si>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</si>
  <si>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</si>
  <si>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</si>
  <si>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</si>
  <si>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</si>
  <si>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</si>
  <si>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</si>
  <si>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</si>
  <si>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</si>
  <si>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</si>
  <si>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</si>
  <si>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</si>
  <si>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</si>
  <si>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</si>
  <si>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</si>
  <si>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</si>
  <si>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</si>
  <si>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</si>
  <si>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</si>
  <si>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</si>
  <si>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</si>
  <si>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</si>
  <si>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</si>
  <si>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</si>
  <si>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</si>
  <si>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</si>
  <si>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</si>
  <si>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</si>
  <si>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</si>
  <si>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</si>
  <si>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</si>
  <si>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</si>
  <si>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</si>
  <si>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</si>
  <si>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</si>
  <si>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</si>
  <si>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</si>
  <si>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</si>
  <si>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</si>
  <si>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</si>
  <si>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</si>
  <si>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</si>
  <si>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</si>
  <si>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</si>
  <si>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</si>
  <si>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</si>
  <si>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</si>
  <si>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</si>
  <si>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</si>
  <si>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</si>
  <si>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</si>
  <si>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</si>
  <si>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</si>
  <si>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</si>
  <si>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</si>
  <si>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</si>
  <si>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</si>
  <si>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</si>
  <si>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</si>
  <si>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</si>
  <si>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</si>
  <si>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</si>
  <si>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</si>
  <si>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</si>
  <si>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</si>
  <si>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</si>
  <si>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</si>
  <si>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</si>
  <si>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</si>
  <si>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</si>
  <si>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</si>
  <si>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</si>
  <si>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</si>
  <si>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</si>
  <si>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</si>
  <si>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</si>
  <si>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</si>
  <si>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</si>
  <si>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</si>
  <si>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</si>
  <si>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</si>
  <si>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</si>
  <si>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</si>
  <si>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</si>
  <si>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</si>
  <si>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</si>
  <si>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</si>
  <si>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</si>
  <si>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</si>
  <si>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</si>
  <si>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</si>
  <si>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</si>
  <si>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</si>
  <si>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</si>
  <si>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</si>
  <si>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</si>
  <si>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</si>
  <si>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</si>
  <si>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</si>
  <si>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</si>
  <si>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</si>
  <si>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</si>
  <si>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</si>
  <si>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</si>
  <si>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</si>
  <si>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</si>
  <si>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</si>
  <si>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</si>
  <si>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</si>
  <si>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</si>
  <si>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</si>
  <si>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</si>
  <si>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</si>
  <si>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</si>
  <si>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</si>
  <si>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</si>
  <si>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</si>
  <si>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</si>
  <si>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</si>
  <si>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</si>
  <si>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</si>
  <si>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</si>
  <si>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</si>
  <si>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</si>
  <si>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</si>
  <si>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</si>
  <si>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</si>
  <si>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</si>
  <si>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</si>
  <si>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</si>
  <si>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</si>
  <si>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</si>
  <si>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</si>
  <si>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</si>
  <si>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</si>
  <si>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</si>
  <si>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</si>
  <si>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</si>
  <si>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</si>
  <si>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</si>
  <si>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</si>
  <si>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</si>
  <si>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</si>
  <si>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</si>
  <si>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</si>
  <si>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</si>
  <si>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</si>
  <si>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</si>
  <si>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</si>
  <si>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</si>
  <si>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</si>
  <si>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</si>
  <si>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</si>
  <si>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</si>
  <si>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</si>
  <si>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</si>
  <si>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</si>
  <si>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</si>
  <si>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</si>
  <si>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</si>
  <si>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</si>
  <si>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</si>
  <si>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</si>
  <si>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</si>
  <si>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</si>
  <si>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</si>
  <si>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</si>
  <si>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</si>
  <si>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</si>
  <si>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</si>
  <si>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</si>
  <si>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</si>
  <si>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</si>
  <si>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</si>
  <si>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</si>
  <si>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</si>
  <si>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</si>
  <si>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</si>
  <si>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</si>
  <si>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</si>
  <si>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</si>
  <si>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</si>
  <si>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</si>
  <si>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</si>
  <si>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</si>
  <si>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</si>
  <si>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</si>
  <si>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</si>
  <si>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</si>
  <si>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</si>
  <si>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</si>
  <si>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</si>
  <si>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</si>
  <si>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</si>
  <si>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</si>
  <si>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</si>
  <si>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</si>
  <si>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</si>
  <si>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</si>
  <si>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</si>
  <si>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</si>
  <si>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</si>
  <si>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</si>
  <si>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</si>
  <si>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</si>
  <si>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</si>
  <si>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</si>
  <si>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</si>
  <si>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</si>
  <si>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</si>
  <si>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</si>
  <si>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</si>
  <si>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</si>
  <si>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</si>
  <si>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</si>
  <si>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</si>
  <si>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</si>
  <si>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</si>
  <si>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</si>
  <si>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</si>
  <si>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</si>
  <si>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</si>
  <si>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</si>
  <si>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</si>
  <si>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</si>
  <si>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</si>
  <si>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</si>
  <si>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</si>
  <si>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</si>
  <si>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</si>
  <si>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</si>
  <si>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</si>
  <si>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</si>
  <si>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</si>
  <si>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</si>
  <si>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</si>
  <si>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</si>
  <si>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</si>
  <si>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</si>
  <si>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</si>
  <si>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</si>
  <si>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</si>
  <si>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</si>
  <si>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</si>
  <si>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</si>
  <si>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</si>
  <si>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</si>
  <si>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</si>
  <si>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</si>
  <si>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</si>
  <si>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</si>
  <si>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</si>
  <si>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</si>
  <si>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</si>
  <si>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</si>
  <si>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</si>
  <si>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</si>
  <si>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</si>
  <si>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</si>
  <si>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</si>
  <si>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</si>
  <si>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</si>
  <si>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</si>
  <si>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</si>
  <si>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</si>
  <si>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</si>
  <si>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</si>
  <si>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</si>
  <si>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</si>
  <si>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</si>
  <si>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</si>
  <si>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</si>
  <si>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</si>
  <si>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</si>
  <si>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</si>
  <si>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</si>
  <si>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</si>
  <si>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</si>
  <si>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</si>
  <si>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</si>
  <si>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</si>
  <si>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</si>
  <si>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</si>
  <si>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</si>
  <si>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</si>
  <si>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</si>
  <si>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</si>
  <si>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</si>
  <si>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</si>
  <si>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</si>
  <si>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</si>
  <si>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</si>
  <si>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</si>
  <si>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</si>
  <si>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</si>
  <si>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</si>
  <si>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</si>
  <si>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</si>
  <si>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</si>
  <si>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</si>
  <si>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</si>
  <si>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</si>
  <si>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</si>
  <si>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</si>
  <si>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</si>
  <si>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</si>
  <si>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</si>
  <si>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</si>
  <si>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</si>
  <si>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</si>
  <si>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</si>
  <si>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</si>
  <si>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</si>
  <si>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</si>
  <si>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</si>
  <si>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</si>
  <si>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</si>
  <si>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</si>
  <si>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</si>
  <si>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</si>
  <si>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</si>
  <si>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</si>
  <si>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</si>
  <si>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</si>
  <si>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</si>
  <si>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</si>
  <si>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</si>
  <si>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</si>
  <si>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</si>
  <si>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</si>
  <si>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</si>
  <si>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</si>
  <si>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</si>
  <si>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</si>
  <si>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</si>
  <si>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</si>
  <si>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</si>
  <si>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</si>
  <si>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</si>
  <si>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</si>
  <si>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</si>
  <si>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</si>
  <si>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</si>
  <si>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</si>
  <si>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</si>
  <si>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</si>
  <si>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</si>
  <si>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</si>
  <si>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</si>
  <si>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</si>
  <si>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</si>
  <si>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</si>
  <si>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</si>
  <si>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</si>
  <si>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</si>
  <si>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</si>
  <si>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</si>
  <si>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</si>
  <si>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</si>
  <si>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</si>
  <si>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</si>
  <si>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</si>
  <si>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</si>
  <si>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</si>
  <si>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</si>
  <si>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</si>
  <si>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</si>
  <si>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</si>
  <si>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</si>
  <si>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</si>
  <si>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</si>
  <si>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</si>
  <si>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</si>
  <si>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</si>
  <si>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</si>
  <si>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</si>
  <si>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</si>
  <si>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</si>
  <si>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</si>
  <si>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</si>
  <si>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</si>
  <si>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</si>
  <si>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</si>
  <si>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</si>
  <si>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</si>
  <si>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</si>
  <si>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</si>
  <si>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</si>
  <si>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</si>
  <si>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</si>
  <si>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</si>
  <si>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</si>
  <si>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</si>
  <si>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</si>
  <si>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</si>
  <si>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</si>
  <si>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</si>
  <si>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</si>
  <si>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</si>
  <si>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</si>
  <si>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</si>
  <si>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</si>
  <si>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</si>
  <si>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</si>
  <si>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</si>
  <si>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</si>
  <si>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</si>
  <si>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</si>
  <si>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</si>
  <si>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</si>
  <si>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</si>
  <si>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</si>
  <si>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</si>
  <si>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</si>
  <si>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</si>
  <si>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</si>
  <si>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</si>
  <si>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</si>
  <si>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</si>
  <si>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</si>
  <si>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</si>
  <si>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</si>
  <si>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</si>
  <si>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</si>
  <si>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</si>
  <si>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</si>
  <si>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</si>
  <si>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</si>
  <si>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</si>
  <si>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</si>
  <si>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</si>
  <si>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</si>
  <si>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</si>
  <si>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</si>
  <si>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</si>
  <si>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</si>
  <si>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</si>
  <si>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</si>
  <si>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</si>
  <si>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</si>
  <si>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</si>
  <si>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</si>
  <si>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</si>
  <si>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</si>
  <si>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</si>
  <si>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</si>
  <si>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</si>
  <si>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</si>
  <si>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</si>
  <si>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</si>
  <si>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</si>
  <si>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</si>
  <si>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</si>
  <si>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</si>
  <si>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</si>
  <si>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</si>
  <si>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</si>
  <si>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</si>
  <si>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</si>
  <si>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</si>
  <si>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</si>
  <si>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</si>
  <si>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</si>
  <si>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</si>
  <si>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</si>
  <si>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</si>
  <si>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</si>
  <si>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</si>
  <si>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</si>
  <si>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</si>
  <si>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</si>
  <si>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</si>
  <si>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</si>
  <si>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</si>
  <si>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</si>
  <si>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</si>
  <si>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</si>
  <si>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</si>
  <si>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</si>
  <si>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</si>
  <si>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</si>
  <si>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</si>
  <si>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</si>
  <si>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</si>
  <si>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</si>
  <si>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</si>
  <si>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</si>
  <si>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</si>
  <si>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</si>
  <si>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</si>
  <si>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</si>
  <si>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</si>
  <si>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</si>
  <si>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</si>
  <si>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</si>
  <si>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</si>
  <si>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</si>
  <si>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</si>
  <si>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</si>
  <si>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</si>
  <si>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</si>
  <si>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</si>
  <si>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</si>
  <si>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</si>
  <si>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</si>
  <si>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</si>
  <si>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</si>
  <si>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</si>
  <si>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</si>
  <si>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</si>
  <si>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</si>
  <si>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</si>
  <si>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</si>
  <si>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</si>
  <si>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</si>
  <si>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</si>
  <si>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</si>
  <si>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</si>
  <si>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</si>
  <si>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</si>
  <si>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</si>
  <si>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</si>
  <si>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</si>
  <si>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</si>
  <si>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</si>
  <si>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</si>
  <si>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</si>
  <si>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</si>
  <si>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</si>
  <si>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</si>
  <si>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</si>
  <si>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</si>
  <si>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</si>
  <si>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</si>
  <si>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</si>
  <si>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</si>
  <si>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</si>
  <si>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</si>
  <si>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</si>
  <si>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</si>
  <si>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</si>
  <si>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</si>
  <si>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</si>
  <si>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</si>
  <si>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</si>
  <si>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</si>
  <si>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</si>
  <si>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</si>
  <si>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</si>
  <si>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</si>
  <si>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</si>
  <si>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</si>
  <si>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</si>
  <si>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</si>
  <si>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</si>
  <si>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</si>
  <si>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</si>
  <si>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</si>
  <si>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</si>
  <si>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</si>
  <si>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</si>
  <si>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</si>
  <si>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</si>
  <si>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</si>
  <si>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</si>
  <si>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</si>
  <si>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</si>
  <si>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</si>
  <si>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</si>
  <si>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</si>
  <si>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</si>
  <si>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</si>
  <si>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</si>
  <si>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</si>
  <si>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</si>
  <si>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</si>
  <si>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</si>
  <si>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</si>
  <si>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</si>
  <si>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</si>
  <si>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</si>
  <si>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</si>
  <si>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</si>
  <si>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</si>
  <si>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</si>
  <si>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</si>
  <si>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</si>
  <si>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</si>
  <si>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</si>
  <si>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</si>
  <si>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</si>
  <si>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</si>
  <si>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</si>
  <si>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</si>
  <si>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</si>
  <si>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</si>
  <si>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</si>
  <si>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</si>
  <si>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</si>
  <si>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</si>
  <si>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</si>
  <si>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</si>
  <si>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</si>
  <si>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</si>
  <si>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</si>
  <si>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</si>
  <si>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</si>
  <si>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</si>
  <si>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</si>
  <si>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</si>
  <si>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</si>
  <si>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</si>
  <si>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</si>
  <si>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</si>
  <si>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</si>
  <si>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</si>
  <si>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</si>
  <si>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</si>
  <si>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</si>
  <si>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</si>
  <si>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</si>
  <si>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</si>
  <si>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</si>
  <si>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</si>
  <si>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</si>
  <si>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</si>
  <si>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</si>
  <si>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</si>
  <si>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</si>
  <si>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</si>
  <si>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</si>
  <si>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</si>
  <si>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</si>
  <si>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</si>
  <si>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</si>
  <si>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</si>
  <si>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</si>
  <si>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</si>
  <si>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</si>
  <si>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</si>
  <si>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</si>
  <si>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</si>
  <si>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</si>
  <si>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</si>
  <si>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</si>
  <si>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</si>
  <si>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</si>
  <si>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</si>
  <si>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</si>
  <si>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</si>
  <si>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</si>
  <si>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</si>
  <si>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</si>
  <si>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</si>
  <si>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</si>
  <si>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</si>
  <si>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</si>
  <si>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</si>
  <si>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</si>
  <si>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</si>
  <si>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</si>
  <si>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</si>
  <si>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</si>
  <si>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</si>
  <si>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</si>
  <si>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</si>
  <si>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</si>
  <si>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</si>
  <si>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</si>
  <si>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</si>
  <si>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</si>
  <si>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</si>
  <si>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</si>
  <si>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</si>
  <si>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</si>
  <si>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</si>
  <si>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</si>
  <si>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</si>
  <si>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</si>
  <si>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</si>
  <si>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</si>
  <si>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</si>
  <si>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</si>
  <si>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</si>
  <si>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</si>
  <si>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</si>
  <si>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</si>
  <si>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</si>
  <si>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</si>
  <si>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</si>
  <si>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</si>
  <si>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</si>
  <si>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</si>
  <si>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</si>
  <si>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</si>
  <si>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</si>
  <si>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</si>
  <si>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</si>
  <si>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</si>
  <si>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</si>
  <si>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</si>
  <si>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</si>
  <si>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</si>
  <si>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</si>
  <si>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</si>
  <si>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</si>
  <si>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</si>
  <si>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</si>
  <si>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</si>
  <si>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</si>
  <si>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</si>
  <si>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</si>
  <si>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</si>
  <si>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</si>
  <si>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</si>
  <si>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</si>
  <si>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</si>
  <si>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</si>
  <si>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</si>
  <si>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</si>
  <si>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</si>
  <si>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</si>
  <si>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</si>
  <si>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</si>
  <si>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</si>
  <si>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</si>
  <si>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</si>
  <si>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</si>
  <si>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</si>
  <si>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</si>
  <si>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</si>
  <si>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</si>
  <si>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</si>
  <si>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</si>
  <si>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</si>
  <si>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</si>
  <si>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</si>
  <si>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</si>
  <si>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</si>
  <si>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</si>
  <si>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</si>
  <si>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</si>
  <si>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</si>
  <si>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</si>
  <si>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</si>
  <si>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</si>
  <si>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</si>
  <si>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</si>
  <si>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</si>
  <si>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</si>
  <si>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</si>
  <si>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</si>
  <si>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</si>
  <si>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</si>
  <si>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</si>
  <si>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</si>
  <si>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</si>
  <si>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</si>
  <si>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</si>
  <si>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</si>
  <si>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</si>
  <si>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</si>
  <si>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</si>
  <si>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</si>
  <si>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</si>
  <si>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</si>
  <si>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</si>
  <si>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</si>
  <si>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</si>
  <si>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</si>
  <si>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</si>
  <si>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</si>
  <si>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</si>
  <si>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</si>
  <si>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</si>
  <si>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</si>
  <si>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</si>
  <si>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</si>
  <si>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</si>
  <si>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</si>
  <si>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</si>
  <si>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</si>
  <si>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</si>
  <si>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</si>
  <si>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</si>
  <si>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</si>
  <si>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</si>
  <si>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</si>
  <si>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</si>
  <si>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</si>
  <si>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</si>
  <si>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</si>
  <si>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</si>
  <si>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</si>
  <si>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</si>
  <si>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</si>
  <si>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</si>
  <si>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</si>
  <si>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</si>
  <si>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</si>
  <si>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</si>
  <si>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</si>
  <si>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</si>
  <si>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</si>
  <si>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</si>
  <si>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</si>
  <si>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</si>
  <si>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</si>
  <si>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</si>
  <si>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</si>
  <si>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</si>
  <si>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</si>
  <si>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</si>
  <si>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</si>
  <si>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</si>
  <si>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</si>
  <si>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</si>
  <si>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</si>
  <si>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</si>
  <si>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</si>
  <si>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</si>
  <si>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</si>
  <si>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</si>
  <si>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</si>
  <si>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</si>
  <si>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</si>
  <si>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</si>
  <si>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</si>
  <si>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</si>
  <si>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</si>
  <si>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</si>
  <si>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</si>
  <si>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</si>
  <si>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</si>
  <si>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</si>
  <si>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</si>
  <si>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</si>
  <si>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</si>
  <si>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</si>
  <si>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</si>
  <si>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</si>
  <si>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</si>
  <si>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</si>
  <si>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</si>
  <si>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</si>
  <si>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</si>
  <si>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</si>
  <si>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</si>
  <si>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</si>
  <si>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</si>
  <si>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</si>
  <si>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</si>
  <si>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</si>
  <si>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</si>
  <si>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</si>
  <si>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</si>
  <si>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</si>
  <si>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</si>
  <si>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</si>
  <si>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</si>
  <si>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</si>
  <si>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</si>
  <si>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</si>
  <si>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</si>
  <si>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</si>
  <si>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</si>
  <si>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</si>
  <si>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</si>
  <si>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</si>
  <si>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</si>
  <si>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</si>
  <si>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</si>
  <si>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</si>
  <si>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</si>
  <si>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</si>
  <si>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</si>
  <si>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</si>
  <si>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</si>
  <si>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</si>
  <si>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</si>
  <si>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</si>
  <si>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</si>
  <si>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</si>
  <si>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</si>
  <si>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</si>
  <si>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</si>
  <si>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</si>
  <si>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</si>
  <si>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</si>
  <si>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</si>
  <si>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</si>
  <si>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</si>
  <si>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</si>
  <si>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</si>
  <si>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</si>
  <si>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</si>
  <si>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</si>
  <si>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</si>
  <si>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</si>
  <si>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</si>
  <si>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</si>
  <si>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</si>
  <si>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</si>
  <si>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</si>
  <si>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</si>
  <si>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</si>
  <si>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</si>
  <si>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</si>
  <si>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</si>
  <si>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</si>
  <si>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</si>
  <si>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</si>
  <si>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</si>
  <si>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</si>
  <si>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</si>
  <si>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</si>
  <si>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</si>
  <si>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</si>
  <si>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</si>
  <si>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</si>
  <si>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</si>
  <si>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</si>
  <si>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</si>
  <si>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</si>
  <si>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</si>
  <si>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</si>
  <si>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</si>
  <si>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</si>
  <si>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</si>
  <si>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</si>
  <si>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</si>
  <si>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</si>
  <si>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</si>
  <si>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</si>
  <si>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</si>
  <si>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</si>
  <si>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</si>
  <si>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</si>
  <si>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</si>
  <si>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</si>
  <si>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</si>
  <si>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</si>
  <si>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</si>
  <si>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</si>
  <si>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</si>
  <si>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</si>
  <si>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</si>
  <si>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</si>
  <si>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</si>
  <si>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</si>
  <si>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</si>
  <si>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</si>
  <si>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</si>
  <si>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</si>
  <si>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</si>
  <si>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</si>
  <si>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</si>
  <si>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</si>
  <si>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</si>
  <si>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</si>
  <si>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</si>
  <si>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</si>
  <si>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</si>
  <si>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</si>
  <si>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</si>
  <si>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</si>
  <si>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</si>
  <si>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</si>
  <si>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</si>
  <si>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</si>
  <si>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</si>
  <si>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</si>
  <si>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</si>
  <si>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</si>
  <si>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</si>
  <si>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</si>
  <si>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</si>
  <si>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</si>
  <si>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</si>
  <si>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</si>
  <si>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</si>
  <si>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</si>
  <si>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</si>
  <si>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</si>
  <si>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</si>
  <si>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</si>
  <si>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</si>
  <si>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</si>
  <si>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</si>
  <si>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</si>
  <si>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</si>
  <si>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</si>
  <si>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</si>
  <si>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</si>
  <si>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</si>
  <si>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</si>
  <si>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</si>
  <si>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</si>
  <si>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</si>
  <si>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</si>
  <si>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</si>
  <si>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</si>
  <si>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</si>
  <si>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</si>
  <si>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</si>
  <si>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</si>
  <si>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</si>
  <si>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</si>
  <si>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</si>
  <si>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</si>
  <si>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</si>
  <si>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</si>
  <si>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</si>
  <si>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</si>
  <si>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</si>
  <si>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</si>
  <si>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</si>
  <si>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</si>
  <si>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</si>
  <si>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</si>
  <si>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</si>
  <si>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</si>
  <si>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</si>
  <si>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</si>
  <si>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</si>
  <si>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</si>
  <si>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</si>
  <si>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</si>
  <si>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</si>
  <si>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</si>
  <si>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</si>
  <si>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</si>
  <si>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</si>
  <si>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</si>
  <si>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</si>
  <si>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</si>
  <si>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</si>
  <si>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</si>
  <si>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</si>
  <si>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</si>
  <si>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</si>
  <si>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</si>
  <si>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</si>
  <si>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</si>
  <si>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</si>
  <si>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</si>
  <si>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</si>
  <si>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</si>
  <si>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</si>
  <si>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</si>
  <si>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</si>
  <si>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</si>
  <si>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</si>
  <si>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</si>
  <si>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</si>
  <si>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</si>
  <si>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</si>
  <si>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</si>
  <si>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</si>
  <si>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</si>
  <si>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</si>
  <si>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</si>
  <si>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</si>
  <si>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</si>
  <si>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</si>
  <si>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</si>
  <si>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</si>
  <si>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</si>
  <si>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</si>
  <si>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</si>
  <si>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</si>
  <si>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</si>
  <si>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</si>
  <si>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</si>
  <si>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</si>
  <si>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</si>
  <si>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</si>
  <si>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</si>
  <si>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</si>
  <si>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</si>
  <si>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</si>
  <si>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</si>
  <si>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</si>
  <si>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</si>
  <si>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</si>
  <si>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</si>
  <si>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</si>
  <si>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</si>
  <si>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</si>
  <si>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</si>
  <si>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</si>
  <si>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</si>
  <si>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</si>
  <si>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</si>
  <si>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</si>
  <si>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</si>
  <si>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</si>
  <si>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</si>
  <si>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</si>
  <si>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</si>
  <si>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</si>
  <si>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</si>
  <si>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</si>
  <si>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</si>
  <si>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</si>
  <si>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</si>
  <si>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</si>
  <si>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</si>
  <si>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</si>
  <si>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</si>
  <si>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</si>
  <si>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</si>
  <si>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</si>
  <si>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</si>
  <si>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</si>
  <si>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</si>
  <si>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</si>
  <si>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</si>
  <si>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</si>
  <si>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</si>
  <si>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</si>
  <si>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</si>
  <si>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</si>
  <si>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</si>
  <si>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</si>
  <si>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</si>
  <si>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</si>
  <si>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</si>
  <si>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</si>
  <si>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</si>
  <si>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</si>
  <si>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</si>
  <si>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</si>
  <si>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</si>
  <si>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</si>
  <si>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</si>
  <si>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</si>
  <si>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</si>
  <si>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</si>
  <si>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</si>
  <si>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</si>
  <si>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</si>
  <si>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</si>
  <si>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</si>
  <si>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</si>
  <si>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</si>
  <si>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</si>
  <si>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</si>
  <si>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</si>
  <si>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</si>
  <si>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</si>
  <si>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</si>
  <si>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</si>
  <si>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</si>
  <si>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</si>
  <si>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</si>
  <si>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</si>
  <si>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</si>
  <si>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</si>
  <si>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</si>
  <si>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</si>
  <si>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</si>
  <si>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</si>
  <si>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</si>
  <si>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</si>
  <si>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</si>
  <si>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</si>
  <si>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</si>
  <si>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</si>
  <si>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</si>
  <si>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</si>
  <si>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</si>
  <si>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</si>
  <si>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</si>
  <si>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</si>
  <si>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</si>
  <si>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</si>
  <si>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</si>
  <si>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</si>
  <si>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</si>
  <si>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</si>
  <si>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</si>
  <si>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</si>
  <si>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</si>
  <si>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</si>
  <si>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</si>
  <si>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</si>
  <si>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</si>
  <si>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</si>
  <si>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</si>
  <si>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</si>
  <si>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</si>
  <si>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</si>
  <si>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</si>
  <si>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</si>
  <si>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</si>
  <si>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</si>
  <si>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</si>
  <si>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</si>
  <si>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</si>
  <si>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</si>
  <si>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</si>
  <si>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</si>
  <si>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</si>
  <si>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</si>
  <si>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</si>
  <si>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</si>
  <si>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</si>
  <si>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</si>
  <si>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</si>
  <si>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</si>
  <si>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</si>
  <si>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</si>
  <si>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</si>
  <si>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</si>
  <si>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</si>
  <si>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</si>
  <si>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</si>
  <si>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</si>
  <si>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</si>
  <si>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</si>
  <si>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</si>
  <si>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</si>
  <si>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</si>
  <si>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</si>
  <si>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</si>
  <si>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</si>
  <si>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</si>
  <si>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</si>
  <si>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</si>
  <si>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</si>
  <si>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</si>
  <si>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</si>
  <si>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</si>
  <si>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</si>
  <si>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</si>
  <si>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</si>
  <si>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</si>
  <si>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</si>
  <si>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</si>
  <si>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</si>
  <si>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</si>
  <si>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</si>
  <si>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</si>
  <si>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</si>
  <si>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</si>
  <si>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</si>
  <si>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</si>
  <si>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</si>
  <si>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</si>
  <si>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</si>
  <si>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</si>
  <si>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</si>
  <si>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</si>
  <si>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</si>
  <si>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</si>
  <si>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</si>
  <si>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</si>
  <si>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</si>
  <si>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</si>
  <si>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</si>
  <si>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</si>
  <si>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</si>
  <si>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</si>
  <si>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</si>
  <si>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</si>
  <si>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</si>
  <si>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</si>
  <si>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</si>
  <si>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</si>
  <si>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</si>
  <si>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</si>
  <si>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</si>
  <si>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</si>
  <si>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</si>
  <si>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</si>
  <si>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</si>
  <si>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</si>
  <si>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</si>
  <si>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</si>
  <si>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</si>
  <si>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</si>
  <si>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</si>
  <si>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</si>
  <si>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</si>
  <si>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</si>
  <si>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</si>
  <si>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</si>
  <si>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</si>
  <si>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</si>
  <si>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</si>
  <si>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</si>
  <si>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</si>
  <si>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</si>
  <si>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</si>
  <si>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</si>
  <si>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</si>
  <si>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</si>
  <si>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</si>
  <si>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</si>
  <si>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</si>
  <si>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</si>
  <si>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</si>
  <si>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</si>
  <si>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</si>
  <si>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</si>
  <si>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</si>
  <si>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</si>
  <si>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</si>
  <si>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</si>
  <si>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</si>
  <si>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</si>
  <si>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</si>
  <si>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</si>
  <si>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</si>
  <si>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</si>
  <si>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</si>
  <si>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</si>
  <si>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</si>
  <si>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</si>
  <si>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</si>
  <si>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</si>
  <si>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</si>
  <si>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</si>
  <si>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</si>
  <si>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</si>
  <si>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</si>
  <si>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</si>
  <si>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</si>
  <si>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</si>
  <si>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</si>
  <si>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</si>
  <si>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</si>
  <si>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</si>
  <si>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</si>
  <si>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</si>
  <si>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</si>
  <si>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</si>
  <si>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</si>
  <si>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</si>
  <si>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</si>
  <si>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</si>
  <si>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</si>
  <si>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</si>
  <si>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</si>
  <si>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</si>
  <si>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</si>
  <si>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</si>
  <si>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</si>
  <si>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</si>
  <si>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</si>
  <si>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</si>
  <si>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</si>
  <si>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</si>
  <si>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</si>
  <si>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</si>
  <si>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</si>
  <si>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</si>
  <si>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</si>
  <si>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</si>
  <si>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</si>
  <si>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</si>
  <si>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</si>
  <si>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</si>
  <si>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</si>
  <si>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</si>
  <si>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</si>
  <si>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</si>
  <si>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</si>
  <si>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</si>
  <si>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</si>
  <si>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</si>
  <si>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</si>
  <si>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</si>
  <si>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</si>
  <si>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</si>
  <si>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</si>
  <si>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</si>
  <si>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</si>
  <si>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</si>
  <si>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</si>
  <si>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</si>
  <si>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</si>
  <si>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</si>
  <si>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</si>
  <si>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</si>
  <si>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</si>
  <si>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</si>
  <si>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</si>
  <si>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</si>
  <si>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</si>
  <si>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</si>
  <si>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</si>
  <si>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</si>
  <si>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</si>
  <si>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</si>
  <si>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</si>
  <si>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</si>
  <si>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</si>
  <si>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</si>
  <si>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</si>
  <si>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</si>
  <si>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</si>
  <si>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</si>
  <si>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</si>
  <si>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</si>
  <si>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</si>
  <si>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</si>
  <si>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</si>
  <si>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</si>
  <si>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</si>
  <si>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</si>
  <si>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</si>
  <si>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</si>
  <si>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</si>
  <si>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</si>
  <si>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</si>
  <si>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</si>
  <si>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</si>
  <si>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</si>
  <si>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</si>
  <si>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</si>
  <si>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</si>
  <si>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</si>
  <si>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</si>
  <si>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</si>
  <si>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</si>
  <si>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</si>
  <si>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</si>
  <si>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</si>
  <si>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</si>
  <si>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</si>
  <si>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</si>
  <si>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</si>
  <si>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</si>
  <si>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</si>
  <si>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</si>
  <si>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</si>
  <si>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</si>
  <si>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</si>
  <si>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</si>
  <si>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</si>
  <si>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</si>
  <si>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</si>
  <si>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</si>
  <si>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</si>
  <si>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</si>
  <si>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</si>
  <si>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</si>
  <si>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</si>
  <si>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</si>
  <si>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</si>
  <si>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</si>
  <si>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</si>
  <si>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</si>
  <si>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</si>
  <si>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</si>
  <si>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</si>
  <si>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</si>
  <si>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</si>
  <si>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</si>
  <si>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</si>
  <si>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</si>
  <si>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</si>
  <si>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</si>
  <si>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</si>
  <si>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</si>
  <si>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</si>
  <si>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</si>
  <si>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</si>
  <si>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</si>
  <si>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</si>
  <si>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</si>
  <si>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</si>
  <si>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</si>
  <si>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</si>
  <si>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</si>
  <si>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</si>
  <si>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</si>
  <si>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</si>
  <si>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</si>
  <si>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</si>
  <si>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</si>
  <si>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</si>
  <si>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</si>
  <si>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</si>
  <si>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</si>
  <si>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</si>
  <si>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</si>
  <si>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</si>
  <si>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</si>
  <si>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</si>
  <si>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</si>
  <si>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</si>
  <si>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</si>
  <si>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</si>
  <si>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</si>
  <si>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</si>
  <si>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</si>
  <si>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</si>
  <si>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</si>
  <si>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</si>
  <si>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</si>
  <si>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</si>
  <si>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</si>
  <si>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</si>
  <si>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</si>
  <si>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</si>
  <si>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</si>
  <si>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</si>
  <si>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</si>
  <si>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</si>
  <si>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</si>
  <si>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</si>
  <si>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</si>
  <si>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</si>
  <si>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</si>
  <si>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</si>
  <si>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</si>
  <si>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</si>
  <si>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</si>
  <si>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</si>
  <si>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</si>
  <si>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</si>
  <si>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</si>
  <si>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</si>
  <si>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</si>
  <si>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</si>
  <si>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</si>
  <si>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</si>
  <si>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</si>
  <si>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</si>
  <si>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</si>
  <si>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</si>
  <si>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</si>
  <si>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</si>
  <si>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</si>
  <si>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</si>
  <si>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</si>
  <si>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</si>
  <si>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</si>
  <si>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</si>
  <si>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</si>
  <si>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</si>
  <si>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</si>
  <si>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</si>
  <si>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</si>
  <si>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</si>
  <si>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</si>
  <si>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</si>
  <si>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</si>
  <si>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</si>
  <si>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</si>
  <si>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</si>
  <si>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</si>
  <si>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</si>
  <si>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</si>
  <si>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</si>
  <si>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</si>
  <si>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</si>
  <si>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</si>
  <si>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</si>
  <si>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</si>
  <si>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</si>
  <si>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</si>
  <si>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</si>
  <si>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</si>
  <si>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</si>
  <si>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</si>
  <si>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</si>
  <si>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</si>
  <si>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</si>
  <si>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</si>
  <si>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</si>
  <si>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</si>
  <si>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</si>
  <si>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</si>
  <si>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</si>
  <si>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</si>
  <si>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</si>
  <si>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</si>
  <si>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</si>
  <si>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</si>
  <si>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</si>
  <si>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</si>
  <si>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</si>
  <si>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</si>
  <si>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</si>
  <si>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</si>
  <si>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</si>
  <si>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</si>
  <si>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</si>
  <si>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</si>
  <si>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</si>
  <si>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</si>
  <si>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</si>
  <si>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</si>
  <si>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</si>
  <si>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</si>
  <si>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</si>
  <si>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</si>
  <si>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</si>
  <si>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</si>
  <si>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</si>
  <si>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</si>
  <si>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</si>
  <si>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</si>
  <si>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</si>
  <si>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</si>
  <si>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</si>
  <si>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</si>
  <si>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</si>
  <si>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</si>
  <si>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</si>
  <si>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</si>
  <si>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</si>
  <si>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</si>
  <si>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</si>
  <si>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</si>
  <si>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</si>
  <si>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</si>
  <si>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</si>
  <si>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</si>
  <si>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</si>
  <si>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</si>
  <si>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</si>
  <si>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</si>
  <si>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</si>
  <si>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</si>
  <si>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</si>
  <si>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</si>
  <si>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</si>
  <si>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</si>
  <si>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</si>
  <si>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</si>
  <si>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</si>
  <si>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</si>
  <si>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</si>
  <si>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</si>
  <si>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</si>
  <si>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</si>
  <si>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</si>
  <si>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</si>
  <si>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</si>
  <si>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</si>
  <si>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</si>
  <si>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</si>
  <si>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</si>
  <si>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</si>
  <si>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</si>
  <si>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</si>
  <si>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</si>
  <si>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</si>
  <si>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</si>
  <si>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</si>
  <si>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</si>
  <si>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</si>
  <si>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</si>
  <si>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</si>
  <si>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</si>
  <si>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</si>
  <si>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</si>
  <si>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</si>
  <si>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</si>
  <si>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</si>
  <si>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</si>
  <si>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</si>
  <si>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</si>
  <si>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</si>
  <si>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</si>
  <si>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</si>
  <si>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</si>
  <si>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</si>
  <si>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</si>
  <si>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</si>
  <si>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</si>
  <si>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</si>
  <si>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</si>
  <si>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</si>
  <si>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</si>
  <si>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</si>
  <si>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</si>
  <si>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</si>
  <si>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</si>
  <si>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</si>
  <si>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</si>
  <si>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</si>
  <si>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</si>
  <si>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</si>
  <si>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</si>
  <si>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</si>
  <si>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</si>
  <si>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</si>
  <si>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</si>
  <si>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</si>
  <si>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</si>
  <si>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</si>
  <si>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</si>
  <si>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</si>
  <si>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</si>
  <si>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</si>
  <si>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</si>
  <si>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</si>
  <si>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</si>
  <si>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</si>
  <si>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</si>
  <si>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</si>
  <si>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</si>
  <si>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</si>
  <si>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</si>
  <si>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</si>
  <si>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</si>
  <si>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</si>
  <si>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</si>
  <si>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</si>
  <si>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</si>
  <si>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</si>
  <si>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</si>
  <si>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</si>
  <si>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</si>
  <si>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</si>
  <si>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</si>
  <si>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</si>
  <si>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</si>
  <si>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</si>
  <si>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</si>
  <si>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</si>
  <si>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</si>
  <si>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</si>
  <si>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</si>
  <si>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</si>
  <si>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</si>
  <si>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</si>
  <si>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</si>
  <si>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</si>
  <si>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</si>
  <si>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</si>
  <si>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</si>
  <si>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</si>
  <si>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</si>
  <si>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</si>
  <si>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</si>
  <si>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</si>
  <si>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</si>
  <si>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</si>
  <si>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</si>
  <si>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</si>
  <si>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</si>
  <si>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</si>
  <si>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</si>
  <si>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</si>
  <si>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</si>
  <si>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</si>
  <si>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</si>
  <si>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</si>
  <si>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</si>
  <si>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</si>
  <si>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</si>
  <si>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</si>
  <si>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</si>
  <si>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</si>
  <si>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</si>
  <si>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</si>
  <si>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</si>
  <si>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</si>
  <si>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</si>
  <si>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</si>
  <si>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</si>
  <si>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</si>
  <si>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</si>
  <si>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</si>
  <si>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</si>
  <si>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</si>
  <si>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</si>
  <si>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</si>
  <si>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</si>
  <si>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</si>
  <si>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</si>
  <si>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</si>
  <si>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</si>
  <si>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</si>
  <si>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</si>
  <si>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</si>
  <si>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</si>
  <si>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</si>
  <si>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</si>
  <si>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</si>
  <si>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</si>
  <si>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</si>
  <si>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</si>
  <si>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</si>
  <si>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</si>
  <si>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</si>
  <si>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</si>
  <si>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</si>
  <si>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</si>
  <si>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</si>
  <si>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</si>
  <si>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</si>
  <si>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</si>
  <si>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</si>
  <si>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</si>
  <si>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</si>
  <si>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</si>
  <si>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</si>
  <si>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</si>
  <si>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</si>
  <si>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</si>
  <si>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</si>
  <si>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</si>
  <si>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</si>
  <si>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</si>
  <si>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</si>
  <si>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</si>
  <si>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</si>
  <si>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</si>
  <si>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</si>
  <si>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</si>
  <si>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</si>
  <si>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</si>
  <si>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</si>
  <si>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</si>
  <si>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</si>
  <si>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</si>
  <si>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</si>
  <si>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</si>
  <si>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</si>
  <si>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</si>
  <si>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</si>
  <si>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</si>
  <si>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</si>
  <si>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</si>
  <si>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</si>
  <si>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</si>
  <si>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</si>
  <si>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</si>
  <si>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</si>
  <si>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</si>
  <si>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</si>
  <si>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</si>
  <si>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</si>
  <si>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</si>
  <si>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</si>
  <si>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</si>
  <si>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</si>
  <si>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</si>
  <si>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</si>
  <si>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</si>
  <si>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</si>
  <si>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</si>
  <si>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</si>
  <si>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</si>
  <si>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</si>
  <si>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</si>
  <si>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</si>
  <si>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</si>
  <si>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</si>
  <si>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</si>
  <si>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</si>
  <si>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</si>
  <si>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</si>
  <si>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</si>
  <si>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</si>
  <si>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</si>
  <si>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</si>
  <si>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</si>
  <si>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</si>
  <si>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</si>
  <si>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</si>
  <si>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</si>
  <si>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</si>
  <si>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</si>
  <si>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</si>
  <si>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</si>
  <si>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</si>
  <si>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</si>
  <si>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</si>
  <si>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</si>
  <si>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</si>
  <si>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</si>
  <si>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</si>
  <si>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</si>
  <si>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</si>
  <si>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</si>
  <si>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</si>
  <si>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</si>
  <si>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</si>
  <si>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</si>
  <si>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</si>
  <si>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</si>
  <si>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</si>
  <si>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</si>
  <si>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</si>
  <si>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</si>
  <si>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</si>
  <si>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</si>
  <si>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</si>
  <si>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</si>
  <si>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</si>
  <si>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</si>
  <si>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</si>
  <si>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</si>
  <si>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</si>
  <si>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</si>
  <si>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</si>
  <si>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</si>
  <si>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</si>
  <si>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</si>
  <si>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</si>
  <si>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</si>
  <si>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</si>
  <si>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</si>
  <si>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</si>
  <si>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</si>
  <si>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</si>
  <si>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</si>
  <si>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</si>
  <si>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</si>
  <si>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</si>
  <si>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</si>
  <si>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</si>
  <si>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</si>
  <si>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</si>
  <si>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</si>
  <si>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</si>
  <si>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</si>
  <si>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</si>
  <si>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</si>
  <si>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</si>
  <si>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</si>
  <si>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</si>
  <si>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</si>
  <si>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</si>
  <si>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</si>
  <si>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</si>
  <si>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</si>
  <si>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</si>
  <si>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</si>
  <si>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</si>
  <si>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</si>
  <si>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</si>
  <si>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</si>
  <si>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</si>
  <si>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</si>
  <si>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</si>
  <si>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</si>
  <si>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</si>
  <si>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</si>
  <si>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</si>
  <si>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</si>
  <si>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</si>
  <si>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</si>
  <si>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</si>
  <si>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</si>
  <si>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</si>
  <si>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</si>
  <si>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</si>
  <si>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</si>
  <si>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</si>
  <si>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</si>
  <si>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</si>
  <si>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</si>
  <si>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</si>
  <si>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</si>
  <si>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</si>
  <si>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</si>
  <si>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</si>
  <si>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</si>
  <si>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</si>
  <si>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</si>
  <si>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</si>
  <si>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</si>
  <si>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</si>
  <si>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</si>
  <si>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</si>
  <si>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</si>
  <si>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</si>
  <si>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</si>
  <si>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</si>
  <si>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</si>
  <si>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</si>
  <si>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</si>
  <si>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</si>
  <si>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</si>
  <si>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</si>
  <si>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</si>
  <si>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</si>
  <si>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</si>
  <si>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</si>
  <si>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</si>
  <si>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</si>
  <si>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</si>
  <si>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</si>
  <si>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</si>
  <si>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</si>
  <si>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</si>
  <si>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</si>
  <si>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</si>
  <si>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</si>
  <si>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</si>
  <si>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</si>
  <si>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</si>
  <si>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</si>
  <si>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</si>
  <si>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</si>
  <si>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</si>
  <si>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</si>
  <si>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</si>
  <si>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</si>
  <si>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</si>
  <si>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</si>
  <si>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</si>
  <si>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</si>
  <si>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</si>
  <si>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</si>
  <si>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</si>
  <si>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</si>
  <si>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</si>
  <si>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</si>
  <si>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</si>
  <si>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</si>
  <si>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</si>
  <si>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</si>
  <si>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</si>
  <si>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</si>
  <si>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</si>
  <si>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</si>
  <si>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</si>
  <si>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</si>
  <si>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</si>
  <si>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</si>
  <si>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</si>
  <si>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</si>
  <si>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</si>
  <si>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</si>
  <si>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</si>
  <si>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</si>
  <si>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</si>
  <si>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</si>
  <si>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</si>
  <si>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</si>
  <si>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</si>
  <si>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</si>
  <si>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</si>
  <si>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</si>
  <si>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</si>
  <si>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</si>
  <si>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</si>
  <si>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</si>
  <si>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</si>
  <si>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</si>
  <si>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</si>
  <si>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</si>
  <si>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</si>
  <si>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</si>
  <si>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</si>
  <si>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</si>
  <si>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</si>
  <si>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</si>
  <si>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</si>
  <si>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</si>
  <si>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</si>
  <si>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</si>
  <si>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</si>
  <si>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</si>
  <si>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</si>
  <si>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</si>
  <si>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</si>
  <si>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</si>
  <si>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</si>
  <si>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</si>
  <si>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</si>
  <si>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</si>
  <si>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</si>
  <si>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</si>
  <si>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</si>
  <si>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</si>
  <si>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</si>
  <si>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</si>
  <si>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</si>
  <si>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</si>
  <si>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</si>
  <si>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</si>
  <si>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</si>
  <si>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</si>
  <si>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</si>
  <si>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</si>
  <si>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</si>
  <si>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</si>
  <si>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</si>
  <si>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</si>
  <si>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</si>
  <si>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</si>
  <si>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</si>
  <si>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</si>
  <si>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</si>
  <si>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</si>
  <si>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</si>
  <si>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</si>
  <si>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</si>
  <si>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</si>
  <si>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</si>
  <si>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</si>
  <si>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</si>
  <si>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</si>
  <si>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</si>
  <si>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</si>
  <si>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</si>
  <si>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</si>
  <si>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</si>
  <si>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</si>
  <si>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</si>
  <si>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</si>
  <si>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</si>
  <si>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</si>
  <si>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</si>
  <si>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</si>
  <si>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</si>
  <si>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</si>
  <si>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</si>
  <si>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</si>
  <si>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</si>
  <si>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</si>
  <si>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</si>
  <si>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</si>
  <si>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</si>
  <si>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</si>
  <si>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</si>
  <si>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</si>
  <si>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</si>
  <si>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</si>
  <si>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</si>
  <si>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</si>
  <si>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</si>
  <si>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</si>
  <si>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</si>
  <si>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</si>
  <si>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</si>
  <si>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</si>
  <si>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</si>
  <si>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</si>
  <si>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</si>
  <si>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</si>
  <si>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</si>
  <si>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</si>
  <si>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</si>
  <si>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</si>
  <si>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</si>
  <si>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</si>
  <si>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</si>
  <si>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</si>
  <si>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</si>
  <si>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</si>
  <si>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</si>
  <si>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</si>
  <si>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</si>
  <si>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</si>
  <si>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</si>
  <si>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</si>
  <si>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</si>
  <si>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</si>
  <si>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</si>
  <si>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</si>
  <si>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</si>
  <si>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</si>
  <si>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</si>
  <si>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</si>
  <si>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</si>
  <si>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</si>
  <si>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</si>
  <si>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</si>
  <si>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</si>
  <si>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</si>
  <si>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</si>
  <si>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</si>
  <si>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</si>
  <si>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</si>
  <si>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</si>
  <si>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</si>
  <si>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</si>
  <si>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</si>
  <si>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</si>
  <si>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</si>
  <si>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</si>
  <si>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</si>
  <si>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</si>
  <si>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</si>
  <si>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</si>
  <si>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</si>
  <si>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</si>
  <si>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</si>
  <si>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</si>
  <si>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</si>
  <si>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</si>
  <si>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</si>
  <si>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</si>
  <si>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</si>
  <si>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</si>
  <si>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</si>
  <si>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</si>
  <si>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</si>
  <si>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</si>
  <si>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</si>
  <si>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</si>
  <si>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</si>
  <si>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</si>
  <si>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</si>
  <si>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</si>
  <si>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</si>
  <si>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</si>
  <si>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</si>
  <si>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</si>
  <si>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</si>
  <si>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</si>
  <si>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</si>
  <si>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</si>
  <si>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</si>
  <si>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</si>
  <si>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</si>
  <si>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</si>
  <si>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</si>
  <si>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</si>
  <si>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</si>
  <si>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</si>
  <si>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</si>
  <si>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</si>
  <si>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</si>
  <si>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</si>
  <si>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</si>
  <si>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</si>
  <si>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</si>
  <si>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</si>
  <si>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</si>
  <si>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</si>
  <si>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</si>
  <si>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</si>
  <si>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</si>
  <si>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</si>
  <si>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</si>
  <si>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</si>
  <si>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</si>
  <si>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</si>
  <si>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</si>
  <si>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</si>
  <si>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</si>
  <si>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</si>
  <si>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</si>
  <si>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</si>
  <si>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</si>
  <si>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</si>
  <si>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</si>
  <si>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</si>
  <si>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</si>
  <si>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</si>
  <si>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</si>
  <si>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</si>
  <si>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</si>
  <si>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</si>
  <si>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</si>
  <si>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</si>
  <si>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</si>
  <si>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</si>
  <si>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</si>
  <si>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</si>
  <si>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</si>
  <si>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</si>
  <si>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</si>
  <si>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</si>
  <si>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</si>
  <si>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</si>
  <si>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</si>
  <si>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</si>
  <si>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</si>
  <si>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</si>
  <si>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</si>
  <si>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</si>
  <si>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</si>
  <si>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</si>
  <si>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</si>
  <si>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</si>
  <si>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</si>
  <si>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</si>
  <si>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</si>
  <si>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</si>
  <si>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</si>
  <si>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</si>
  <si>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</si>
  <si>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</si>
  <si>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</si>
  <si>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</si>
  <si>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</si>
  <si>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</si>
  <si>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</si>
  <si>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</si>
  <si>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</si>
  <si>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</si>
  <si>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</si>
  <si>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</si>
  <si>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</si>
  <si>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</si>
  <si>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</si>
  <si>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</si>
  <si>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</si>
  <si>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</si>
  <si>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</si>
  <si>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</si>
  <si>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</si>
  <si>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</si>
  <si>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</si>
  <si>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</si>
  <si>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</si>
  <si>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</si>
  <si>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</si>
  <si>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</si>
  <si>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</si>
  <si>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</si>
  <si>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</si>
  <si>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</si>
  <si>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</si>
  <si>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</si>
  <si>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</si>
  <si>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</si>
  <si>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</si>
  <si>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</si>
  <si>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</si>
  <si>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</si>
  <si>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</si>
  <si>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</si>
  <si>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</si>
  <si>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</si>
  <si>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</si>
  <si>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</si>
  <si>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</si>
  <si>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</si>
  <si>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</si>
  <si>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</si>
  <si>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</si>
  <si>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</si>
  <si>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</si>
  <si>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</si>
  <si>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</si>
  <si>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</si>
  <si>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</si>
  <si>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</si>
  <si>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</si>
  <si>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</si>
  <si>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</si>
  <si>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</si>
  <si>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</si>
  <si>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</si>
  <si>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</si>
  <si>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</si>
  <si>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</si>
  <si>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</si>
  <si>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</si>
  <si>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</si>
  <si>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</si>
  <si>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</si>
  <si>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</si>
  <si>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</si>
  <si>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</si>
  <si>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</si>
  <si>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</si>
  <si>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</si>
  <si>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</si>
  <si>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</si>
  <si>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</si>
  <si>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</si>
  <si>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</si>
  <si>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</si>
  <si>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</si>
  <si>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</si>
  <si>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</si>
  <si>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</si>
  <si>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</si>
  <si>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</si>
  <si>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</si>
  <si>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</si>
  <si>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</si>
  <si>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</si>
  <si>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</si>
  <si>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</si>
  <si>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</si>
  <si>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</si>
  <si>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</si>
  <si>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</si>
  <si>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</si>
  <si>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</si>
  <si>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</si>
  <si>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</si>
  <si>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</si>
  <si>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</si>
  <si>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</si>
  <si>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</si>
  <si>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</si>
  <si>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</si>
  <si>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</si>
  <si>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</si>
  <si>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</si>
  <si>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</si>
  <si>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</si>
  <si>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</si>
  <si>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</si>
  <si>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</si>
  <si>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</si>
  <si>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</si>
  <si>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</si>
  <si>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</si>
  <si>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</si>
  <si>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</si>
  <si>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</si>
  <si>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</si>
  <si>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</si>
  <si>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</si>
  <si>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</si>
  <si>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</si>
  <si>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</si>
  <si>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</si>
  <si>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</si>
  <si>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</si>
  <si>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</si>
  <si>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</si>
  <si>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</si>
  <si>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</si>
  <si>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</si>
  <si>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</si>
  <si>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</si>
  <si>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</si>
  <si>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</si>
  <si>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</si>
  <si>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</si>
  <si>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</si>
  <si>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</si>
  <si>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</si>
  <si>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</si>
  <si>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</si>
  <si>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</si>
  <si>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</si>
  <si>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</si>
  <si>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</si>
  <si>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</si>
  <si>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</si>
  <si>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</si>
  <si>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</si>
  <si>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</si>
  <si>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</si>
  <si>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</si>
  <si>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</si>
  <si>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</si>
  <si>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</si>
  <si>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</si>
  <si>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</si>
  <si>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</si>
  <si>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</si>
  <si>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</si>
  <si>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</si>
  <si>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</si>
  <si>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</si>
  <si>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</si>
  <si>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</si>
  <si>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</si>
  <si>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</si>
  <si>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</si>
  <si>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</si>
  <si>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</si>
  <si>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</si>
  <si>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</si>
  <si>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</si>
  <si>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</si>
  <si>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</si>
  <si>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</si>
  <si>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</si>
  <si>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</si>
  <si>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</si>
  <si>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</si>
  <si>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</si>
  <si>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</si>
  <si>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</si>
  <si>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</si>
  <si>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</si>
  <si>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</si>
  <si>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</si>
  <si>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</si>
  <si>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</si>
  <si>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</si>
  <si>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</si>
  <si>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</si>
  <si>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</si>
  <si>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</si>
  <si>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</si>
  <si>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</si>
  <si>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</si>
  <si>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</si>
  <si>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</si>
  <si>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</si>
  <si>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</si>
  <si>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</si>
  <si>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</si>
  <si>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</si>
  <si>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</si>
  <si>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</si>
  <si>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</si>
  <si>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</si>
  <si>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</si>
  <si>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</si>
  <si>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</si>
  <si>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</si>
  <si>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</si>
  <si>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</si>
  <si>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</si>
  <si>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</si>
  <si>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</si>
  <si>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</si>
  <si>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</si>
  <si>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</si>
  <si>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</si>
  <si>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</si>
  <si>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</si>
  <si>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</si>
  <si>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</si>
  <si>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</si>
  <si>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</si>
  <si>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</si>
  <si>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</si>
  <si>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</si>
  <si>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</si>
  <si>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</si>
  <si>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</si>
  <si>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</si>
  <si>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</si>
  <si>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</si>
  <si>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</si>
  <si>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</si>
  <si>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</si>
  <si>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</si>
  <si>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</si>
  <si>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</si>
  <si>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</si>
  <si>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</si>
  <si>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</si>
  <si>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</si>
  <si>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</si>
  <si>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</si>
  <si>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</si>
  <si>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</si>
  <si>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</si>
  <si>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</si>
  <si>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</si>
  <si>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</si>
  <si>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</si>
  <si>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</si>
  <si>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</si>
  <si>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</si>
  <si>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</si>
  <si>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</si>
  <si>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</si>
  <si>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</si>
  <si>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</si>
  <si>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</si>
  <si>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</si>
  <si>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</si>
  <si>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</si>
  <si>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</si>
  <si>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</si>
  <si>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</si>
  <si>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</si>
  <si>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</si>
  <si>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</si>
  <si>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</si>
  <si>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</si>
  <si>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</si>
  <si>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</si>
  <si>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</si>
  <si>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</si>
  <si>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</si>
  <si>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</si>
  <si>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</si>
  <si>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</si>
  <si>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</si>
  <si>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</si>
  <si>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</si>
  <si>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</si>
  <si>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</si>
  <si>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</si>
  <si>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</si>
  <si>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</si>
  <si>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</si>
  <si>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</si>
  <si>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</si>
  <si>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</si>
  <si>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</si>
  <si>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</si>
  <si>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</si>
  <si>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</si>
  <si>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</si>
  <si>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</si>
  <si>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</si>
  <si>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</si>
  <si>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</si>
  <si>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</si>
  <si>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</si>
  <si>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</si>
  <si>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</si>
  <si>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</si>
  <si>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</si>
  <si>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</si>
  <si>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</si>
  <si>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</si>
  <si>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</si>
  <si>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</si>
  <si>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</si>
  <si>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</si>
  <si>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</si>
  <si>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</si>
  <si>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</si>
  <si>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</si>
  <si>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</si>
  <si>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</si>
  <si>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</si>
  <si>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</si>
  <si>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</si>
  <si>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</si>
  <si>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</si>
  <si>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</si>
  <si>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</si>
  <si>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</si>
  <si>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</si>
  <si>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</si>
  <si>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</si>
  <si>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</si>
  <si>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</si>
  <si>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</si>
  <si>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</si>
  <si>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</si>
  <si>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</si>
  <si>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</si>
  <si>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</si>
  <si>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</si>
  <si>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</si>
  <si>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</si>
  <si>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</si>
  <si>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</si>
  <si>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</si>
  <si>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</si>
  <si>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</si>
  <si>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</si>
  <si>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</si>
  <si>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</si>
  <si>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</si>
  <si>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</si>
  <si>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</si>
  <si>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</si>
  <si>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</si>
  <si>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</si>
  <si>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</si>
  <si>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</si>
  <si>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</si>
  <si>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</si>
  <si>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</si>
  <si>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</si>
  <si>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</si>
  <si>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</si>
  <si>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</si>
  <si>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</si>
  <si>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</si>
  <si>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</si>
  <si>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</si>
  <si>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</si>
  <si>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</si>
  <si>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</si>
  <si>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</si>
  <si>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</si>
  <si>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</si>
  <si>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</si>
  <si>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</si>
  <si>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</si>
  <si>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</si>
  <si>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</si>
  <si>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</si>
  <si>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</si>
  <si>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</si>
  <si>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</si>
  <si>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</si>
  <si>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</si>
  <si>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</si>
  <si>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</si>
  <si>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</si>
  <si>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</si>
  <si>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</si>
  <si>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</si>
  <si>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</si>
  <si>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</si>
  <si>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</si>
  <si>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</si>
  <si>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</si>
  <si>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</si>
  <si>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</si>
  <si>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</si>
  <si>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</si>
  <si>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</si>
  <si>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</si>
  <si>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</si>
  <si>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</si>
  <si>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</si>
  <si>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</si>
  <si>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</si>
  <si>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</si>
  <si>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</si>
  <si>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</si>
  <si>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</si>
  <si>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</si>
  <si>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</si>
  <si>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</si>
  <si>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</si>
  <si>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</si>
  <si>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</si>
  <si>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</si>
  <si>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</si>
  <si>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</si>
  <si>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</si>
  <si>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</si>
  <si>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</si>
  <si>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</si>
  <si>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</si>
  <si>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</si>
  <si>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</si>
  <si>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</si>
  <si>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</si>
  <si>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</si>
  <si>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</si>
  <si>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</si>
  <si>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</si>
  <si>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</si>
  <si>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</si>
  <si>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</si>
  <si>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</si>
  <si>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</si>
  <si>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</si>
  <si>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</si>
  <si>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</si>
  <si>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</si>
  <si>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</si>
  <si>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</si>
  <si>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</si>
  <si>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</si>
  <si>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</si>
  <si>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</si>
  <si>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</si>
  <si>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</si>
  <si>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</si>
  <si>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</si>
  <si>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</si>
  <si>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</si>
  <si>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</si>
  <si>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</si>
  <si>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</si>
  <si>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</si>
  <si>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</si>
  <si>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</si>
  <si>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</si>
  <si>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</si>
  <si>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</si>
  <si>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</si>
  <si>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</si>
  <si>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</si>
  <si>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</si>
  <si>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</si>
  <si>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</si>
  <si>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</si>
  <si>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</si>
  <si>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</si>
  <si>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</si>
  <si>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</si>
  <si>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</si>
  <si>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</si>
  <si>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</si>
  <si>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</si>
  <si>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</si>
  <si>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</si>
  <si>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</si>
  <si>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</si>
  <si>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</si>
  <si>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</si>
  <si>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</si>
  <si>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</si>
  <si>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</si>
  <si>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</si>
  <si>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</si>
  <si>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</si>
  <si>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</si>
  <si>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</si>
  <si>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</si>
  <si>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</si>
  <si>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</si>
  <si>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</si>
  <si>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</si>
  <si>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</si>
  <si>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</si>
  <si>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</si>
  <si>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</si>
  <si>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</si>
  <si>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</si>
  <si>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</si>
  <si>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</si>
  <si>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</si>
  <si>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</si>
  <si>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</si>
  <si>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</si>
  <si>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</si>
  <si>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</si>
  <si>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</si>
  <si>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</si>
  <si>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</si>
  <si>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</si>
  <si>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</si>
  <si>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</si>
  <si>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</si>
  <si>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</si>
  <si>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</si>
  <si>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</si>
  <si>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</si>
  <si>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</si>
  <si>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</si>
  <si>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</si>
  <si>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</si>
  <si>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</si>
  <si>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</si>
  <si>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</si>
  <si>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</si>
  <si>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</si>
  <si>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</si>
  <si>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</si>
  <si>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</si>
  <si>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</si>
  <si>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</si>
  <si>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</si>
  <si>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</si>
  <si>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</si>
  <si>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</si>
  <si>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</si>
  <si>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</si>
  <si>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</si>
  <si>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</si>
  <si>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</si>
  <si>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</si>
  <si>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</si>
  <si>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</si>
  <si>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</si>
  <si>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</si>
  <si>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</si>
  <si>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</si>
  <si>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</si>
  <si>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</si>
  <si>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</si>
  <si>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</si>
  <si>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</si>
  <si>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</si>
  <si>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</si>
  <si>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</si>
  <si>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</si>
  <si>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</si>
  <si>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</si>
  <si>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</si>
  <si>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</si>
  <si>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</si>
  <si>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</si>
  <si>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</si>
  <si>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</si>
  <si>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</si>
  <si>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</si>
  <si>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</si>
  <si>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</si>
  <si>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</si>
  <si>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</si>
  <si>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</si>
  <si>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</si>
  <si>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</si>
  <si>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</si>
  <si>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</si>
  <si>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</si>
  <si>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</si>
  <si>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</si>
  <si>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</si>
  <si>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</si>
  <si>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</si>
  <si>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</si>
  <si>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</si>
  <si>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</si>
  <si>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</si>
  <si>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</si>
  <si>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</si>
  <si>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</si>
  <si>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</si>
  <si>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</si>
  <si>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</si>
  <si>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</si>
  <si>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</si>
  <si>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</si>
  <si>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</si>
  <si>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</si>
  <si>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</si>
  <si>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</si>
  <si>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</si>
  <si>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</si>
  <si>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</si>
  <si>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</si>
  <si>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</si>
  <si>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</si>
  <si>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</si>
  <si>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</si>
  <si>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</si>
  <si>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</si>
  <si>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</si>
  <si>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</si>
  <si>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</si>
  <si>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</si>
  <si>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</si>
  <si>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</si>
  <si>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</si>
  <si>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</si>
  <si>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</si>
  <si>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</si>
  <si>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</si>
  <si>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</si>
  <si>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</si>
  <si>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</si>
  <si>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</si>
  <si>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</si>
  <si>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</si>
  <si>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</si>
  <si>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</si>
  <si>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</si>
  <si>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</si>
  <si>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</si>
  <si>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</si>
  <si>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</si>
  <si>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</si>
  <si>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</si>
  <si>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</si>
  <si>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</si>
  <si>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</si>
  <si>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</si>
  <si>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</si>
  <si>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</si>
  <si>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</si>
  <si>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</si>
  <si>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</si>
  <si>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</si>
  <si>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</si>
  <si>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</si>
  <si>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</si>
  <si>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</si>
  <si>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</si>
  <si>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</si>
  <si>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</si>
  <si>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</si>
  <si>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</si>
  <si>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</si>
  <si>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</si>
  <si>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</si>
  <si>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</si>
  <si>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</si>
  <si>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</si>
  <si>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</si>
  <si>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</si>
  <si>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</si>
  <si>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</si>
  <si>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</si>
  <si>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</si>
  <si>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</si>
  <si>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</si>
  <si>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</si>
  <si>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</si>
  <si>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</si>
  <si>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</si>
  <si>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</si>
  <si>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</si>
  <si>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</si>
  <si>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</si>
  <si>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</si>
  <si>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</si>
  <si>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</si>
  <si>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</si>
  <si>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</si>
  <si>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</si>
  <si>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</si>
  <si>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</si>
  <si>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</si>
  <si>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</si>
  <si>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</si>
  <si>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</si>
  <si>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</si>
  <si>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</si>
  <si>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</si>
  <si>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</si>
  <si>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</si>
  <si>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</si>
  <si>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</si>
  <si>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</si>
  <si>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</si>
  <si>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</si>
  <si>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</si>
  <si>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</si>
  <si>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</si>
  <si>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</si>
  <si>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</si>
  <si>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</si>
  <si>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</si>
  <si>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</si>
  <si>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</si>
  <si>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</si>
  <si>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</si>
  <si>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</si>
  <si>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</si>
  <si>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</si>
  <si>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</si>
  <si>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</si>
  <si>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</si>
  <si>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</si>
  <si>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</si>
  <si>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</si>
  <si>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</si>
  <si>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</si>
  <si>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</si>
  <si>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</si>
  <si>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</si>
  <si>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</si>
  <si>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</si>
  <si>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</si>
  <si>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</si>
  <si>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</si>
  <si>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</si>
  <si>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</si>
  <si>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</si>
  <si>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</si>
  <si>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</si>
  <si>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</si>
  <si>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</si>
  <si>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</si>
  <si>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</si>
  <si>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</si>
  <si>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</si>
  <si>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</si>
  <si>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</si>
  <si>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</si>
  <si>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</si>
  <si>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</si>
  <si>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</si>
  <si>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</si>
  <si>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</si>
  <si>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</si>
  <si>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</si>
  <si>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</si>
  <si>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</si>
  <si>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</si>
  <si>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</si>
  <si>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</si>
  <si>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</si>
  <si>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</si>
  <si>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</si>
  <si>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</si>
  <si>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</si>
  <si>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</si>
  <si>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</si>
  <si>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</si>
  <si>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</si>
  <si>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</si>
  <si>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</si>
  <si>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</si>
  <si>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</si>
  <si>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</si>
  <si>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</si>
  <si>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</si>
  <si>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</si>
  <si>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</si>
  <si>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</si>
  <si>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</si>
  <si>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</si>
  <si>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</si>
  <si>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</si>
  <si>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</si>
  <si>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</si>
  <si>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</si>
  <si>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</si>
  <si>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</si>
  <si>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</si>
  <si>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</si>
  <si>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</si>
  <si>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</si>
  <si>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</si>
  <si>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</si>
  <si>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</si>
  <si>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</si>
  <si>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</si>
  <si>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</si>
  <si>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</si>
  <si>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</si>
  <si>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</si>
  <si>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</si>
  <si>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</si>
  <si>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</si>
  <si>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</si>
  <si>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</si>
  <si>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</si>
  <si>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</si>
  <si>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</si>
  <si>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</si>
  <si>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</si>
  <si>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</si>
  <si>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</si>
  <si>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</si>
  <si>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</si>
  <si>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</si>
  <si>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</si>
  <si>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</si>
  <si>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</si>
  <si>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</si>
  <si>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</si>
  <si>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</si>
  <si>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</si>
  <si>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</si>
  <si>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</si>
  <si>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</si>
  <si>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</si>
  <si>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</si>
  <si>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</si>
  <si>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</si>
  <si>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</si>
  <si>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</si>
  <si>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</si>
  <si>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</si>
  <si>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</si>
  <si>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</si>
  <si>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</si>
  <si>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</si>
  <si>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</si>
  <si>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</si>
  <si>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</si>
  <si>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</si>
  <si>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</si>
  <si>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</si>
  <si>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</si>
  <si>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</si>
  <si>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</si>
  <si>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</si>
  <si>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</si>
  <si>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</si>
  <si>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</si>
  <si>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</si>
  <si>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</si>
  <si>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</si>
  <si>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</si>
  <si>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</si>
  <si>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</si>
  <si>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</si>
  <si>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</si>
  <si>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</si>
  <si>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</si>
  <si>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</si>
  <si>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</si>
  <si>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</si>
  <si>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</si>
  <si>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</si>
  <si>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</si>
  <si>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</si>
  <si>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</si>
  <si>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</si>
  <si>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</si>
  <si>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</si>
  <si>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</si>
  <si>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</si>
  <si>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</si>
  <si>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</si>
  <si>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</si>
  <si>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</si>
  <si>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</si>
  <si>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</si>
  <si>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</si>
  <si>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</si>
  <si>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</si>
  <si>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</si>
  <si>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</si>
  <si>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</si>
  <si>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</si>
  <si>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</si>
  <si>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</si>
  <si>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</si>
  <si>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</si>
  <si>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</si>
  <si>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</si>
  <si>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</si>
  <si>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</si>
  <si>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</si>
  <si>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</si>
  <si>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</si>
  <si>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</si>
  <si>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</si>
  <si>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</si>
  <si>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</si>
  <si>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</si>
  <si>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</si>
  <si>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</si>
  <si>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</si>
  <si>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</si>
  <si>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</si>
  <si>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</si>
  <si>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</si>
  <si>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</si>
  <si>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</si>
  <si>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</si>
  <si>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</si>
  <si>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</si>
  <si>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</si>
  <si>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</si>
  <si>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</si>
  <si>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</si>
  <si>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</si>
  <si>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</si>
  <si>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</si>
  <si>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</si>
  <si>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</si>
  <si>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</si>
  <si>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</si>
  <si>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</si>
  <si>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</si>
  <si>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</si>
  <si>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</si>
  <si>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</si>
  <si>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</si>
  <si>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</si>
  <si>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</si>
  <si>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</si>
  <si>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</si>
  <si>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</si>
  <si>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</si>
  <si>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</si>
  <si>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</si>
  <si>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</si>
  <si>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</si>
  <si>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</si>
  <si>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</si>
  <si>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</si>
  <si>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</si>
  <si>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</si>
  <si>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</si>
  <si>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</si>
  <si>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</si>
  <si>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</si>
  <si>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</si>
  <si>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</si>
  <si>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</si>
  <si>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</si>
  <si>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</si>
  <si>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</si>
  <si>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</si>
  <si>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</si>
  <si>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</si>
  <si>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</si>
  <si>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</si>
  <si>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</si>
  <si>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</si>
  <si>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</si>
  <si>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</si>
  <si>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</si>
  <si>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</si>
  <si>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</si>
  <si>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</si>
  <si>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</si>
  <si>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</si>
  <si>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</si>
  <si>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</si>
  <si>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</si>
  <si>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</si>
  <si>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</si>
  <si>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</si>
  <si>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</si>
  <si>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</si>
  <si>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</si>
  <si>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</si>
  <si>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</si>
  <si>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</si>
  <si>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</si>
  <si>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</si>
  <si>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</si>
  <si>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</si>
  <si>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</si>
  <si>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</si>
  <si>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</si>
  <si>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</si>
  <si>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</si>
  <si>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</si>
  <si>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</si>
  <si>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</si>
  <si>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</si>
  <si>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</si>
  <si>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</si>
  <si>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</si>
  <si>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</si>
  <si>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</si>
  <si>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</si>
  <si>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</si>
  <si>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</si>
  <si>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</si>
  <si>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</si>
  <si>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</si>
  <si>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</si>
  <si>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</si>
  <si>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</si>
  <si>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</si>
  <si>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</si>
  <si>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</si>
  <si>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</si>
  <si>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</si>
  <si>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</si>
  <si>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</si>
  <si>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</si>
  <si>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</si>
  <si>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</si>
  <si>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</si>
  <si>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</si>
  <si>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</si>
  <si>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</si>
  <si>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</si>
  <si>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</si>
  <si>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</si>
  <si>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</si>
  <si>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</si>
  <si>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</si>
  <si>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</si>
  <si>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</si>
  <si>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</si>
  <si>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</si>
  <si>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</si>
  <si>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</si>
  <si>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</si>
  <si>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</si>
  <si>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</si>
  <si>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</si>
  <si>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</si>
  <si>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</si>
  <si>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</si>
  <si>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</si>
  <si>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</si>
  <si>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</si>
  <si>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</si>
  <si>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</si>
  <si>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</si>
  <si>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</si>
  <si>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</si>
  <si>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</si>
  <si>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</si>
  <si>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</si>
  <si>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</si>
  <si>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</si>
  <si>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</si>
  <si>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</si>
  <si>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</si>
  <si>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</si>
  <si>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</si>
  <si>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</si>
  <si>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</si>
  <si>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</si>
  <si>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</si>
  <si>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</si>
  <si>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</si>
  <si>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</si>
  <si>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</si>
  <si>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</si>
  <si>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</si>
  <si>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</si>
  <si>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</si>
  <si>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</si>
  <si>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</si>
  <si>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</si>
  <si>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</si>
  <si>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</si>
  <si>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</si>
  <si>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</si>
  <si>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</si>
  <si>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</si>
  <si>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</si>
  <si>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</si>
  <si>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</si>
  <si>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</si>
  <si>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</si>
  <si>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</si>
  <si>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</si>
  <si>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</si>
  <si>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</si>
  <si>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</si>
  <si>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</si>
  <si>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</si>
  <si>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</si>
  <si>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</si>
  <si>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</si>
  <si>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</si>
  <si>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</si>
  <si>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</si>
  <si>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</si>
  <si>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</si>
  <si>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</si>
  <si>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</si>
  <si>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</si>
  <si>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</si>
  <si>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</si>
  <si>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</si>
  <si>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</si>
  <si>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</si>
  <si>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</si>
  <si>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</si>
  <si>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</si>
  <si>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</si>
  <si>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</si>
  <si>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</si>
  <si>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</si>
  <si>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</si>
  <si>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</si>
  <si>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</si>
  <si>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</si>
  <si>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</si>
  <si>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</si>
  <si>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</si>
  <si>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</si>
  <si>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</si>
  <si>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</si>
  <si>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</si>
  <si>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</si>
  <si>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</si>
  <si>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</si>
  <si>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</si>
  <si>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</si>
  <si>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</si>
  <si>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</si>
  <si>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</si>
  <si>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</si>
  <si>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</si>
  <si>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</si>
  <si>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</si>
  <si>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</si>
  <si>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</si>
  <si>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</si>
  <si>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</si>
  <si>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</si>
  <si>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</si>
  <si>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</si>
  <si>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</si>
  <si>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</si>
  <si>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</si>
  <si>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</si>
  <si>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</si>
  <si>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</si>
  <si>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</si>
  <si>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</si>
  <si>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</si>
  <si>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</si>
  <si>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</si>
  <si>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</si>
  <si>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</si>
  <si>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</si>
  <si>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</si>
  <si>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</si>
  <si>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</si>
  <si>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</si>
  <si>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</si>
  <si>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</si>
  <si>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</si>
  <si>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</si>
  <si>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</si>
  <si>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</si>
  <si>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</si>
  <si>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</si>
  <si>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</si>
  <si>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</si>
  <si>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</si>
  <si>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</si>
  <si>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</si>
  <si>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</si>
  <si>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</si>
  <si>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</si>
  <si>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</si>
  <si>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</si>
  <si>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</si>
  <si>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</si>
  <si>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</si>
  <si>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</si>
  <si>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</si>
  <si>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</si>
  <si>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</si>
  <si>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</si>
  <si>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</si>
  <si>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</si>
  <si>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</si>
  <si>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</si>
  <si>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</si>
  <si>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</si>
  <si>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</si>
  <si>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</si>
  <si>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</si>
  <si>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</si>
  <si>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</si>
  <si>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</si>
  <si>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</si>
  <si>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</si>
  <si>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</si>
  <si>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</si>
  <si>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</si>
  <si>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</si>
  <si>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</si>
  <si>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</si>
  <si>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</si>
  <si>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</si>
  <si>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</si>
  <si>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</si>
  <si>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</si>
  <si>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</si>
  <si>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</si>
  <si>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</si>
  <si>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</si>
  <si>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</si>
  <si>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</si>
  <si>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</si>
  <si>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</si>
  <si>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</si>
  <si>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</si>
  <si>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</si>
  <si>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</si>
  <si>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</si>
  <si>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</si>
  <si>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</si>
  <si>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</si>
  <si>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</si>
  <si>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</si>
  <si>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</si>
  <si>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</si>
  <si>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</si>
  <si>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</si>
  <si>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</si>
  <si>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</si>
  <si>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</si>
  <si>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</si>
  <si>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</si>
  <si>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</si>
  <si>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</si>
  <si>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</si>
  <si>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</si>
  <si>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</si>
  <si>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</si>
  <si>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</si>
  <si>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</si>
  <si>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</si>
  <si>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</si>
  <si>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</si>
  <si>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</si>
  <si>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</si>
  <si>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</si>
  <si>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</si>
  <si>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</si>
  <si>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</si>
  <si>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</si>
  <si>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</si>
  <si>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</si>
  <si>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</si>
  <si>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</si>
  <si>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</si>
  <si>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</si>
  <si>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</si>
  <si>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</si>
  <si>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</si>
  <si>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</si>
  <si>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</si>
  <si>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</si>
  <si>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</si>
  <si>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</si>
  <si>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</si>
  <si>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</si>
  <si>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</si>
  <si>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</si>
  <si>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</si>
  <si>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</si>
  <si>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</si>
  <si>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</si>
  <si>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</si>
  <si>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</si>
  <si>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</si>
  <si>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</si>
  <si>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</si>
  <si>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</si>
  <si>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</si>
  <si>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</si>
  <si>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</si>
  <si>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</si>
  <si>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</si>
  <si>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</si>
  <si>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</si>
  <si>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</si>
  <si>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</si>
  <si>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</si>
  <si>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</si>
  <si>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</si>
  <si>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</si>
  <si>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</si>
  <si>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</si>
  <si>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</si>
  <si>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</si>
  <si>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</si>
  <si>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</si>
  <si>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</si>
  <si>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</si>
  <si>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</si>
  <si>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</si>
  <si>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</si>
  <si>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</si>
  <si>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</si>
  <si>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</si>
  <si>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</si>
  <si>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</si>
  <si>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</si>
  <si>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</si>
  <si>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</si>
  <si>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</si>
  <si>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</si>
  <si>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</si>
  <si>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</si>
  <si>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</si>
  <si>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</si>
  <si>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</si>
  <si>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</si>
  <si>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</si>
  <si>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</si>
  <si>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</si>
  <si>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</si>
  <si>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</si>
  <si>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</si>
  <si>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</si>
  <si>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</si>
  <si>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</si>
  <si>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</si>
  <si>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</si>
  <si>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</si>
  <si>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</si>
  <si>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</si>
  <si>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</si>
  <si>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</si>
  <si>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</si>
  <si>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</si>
  <si>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</si>
  <si>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</si>
  <si>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</si>
  <si>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</si>
  <si>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</si>
  <si>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</si>
  <si>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</si>
  <si>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</si>
  <si>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</si>
  <si>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</si>
  <si>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</si>
  <si>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</si>
  <si>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</si>
  <si>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</si>
  <si>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</si>
  <si>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</si>
  <si>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</si>
  <si>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</si>
  <si>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</si>
  <si>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</si>
  <si>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</si>
  <si>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</si>
  <si>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</si>
  <si>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</si>
  <si>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</si>
  <si>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</si>
  <si>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</si>
  <si>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</si>
  <si>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</si>
  <si>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</si>
  <si>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</si>
  <si>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</si>
  <si>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</si>
  <si>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</si>
  <si>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</si>
  <si>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</si>
  <si>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</si>
  <si>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</si>
  <si>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</si>
  <si>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</si>
  <si>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</si>
  <si>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</si>
  <si>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</si>
  <si>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</si>
  <si>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</si>
  <si>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</si>
  <si>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</si>
  <si>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</si>
  <si>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</si>
  <si>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</si>
  <si>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</si>
  <si>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</si>
  <si>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</si>
  <si>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</si>
  <si>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</si>
  <si>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</si>
  <si>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</si>
  <si>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</si>
  <si>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</si>
  <si>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</si>
  <si>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</si>
  <si>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</si>
  <si>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</si>
  <si>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</si>
  <si>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</si>
  <si>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</si>
  <si>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</si>
  <si>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</si>
  <si>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</si>
  <si>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</si>
  <si>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</si>
  <si>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</si>
  <si>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</si>
  <si>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</si>
  <si>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</si>
  <si>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</si>
  <si>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</si>
  <si>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</si>
  <si>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</si>
  <si>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</si>
  <si>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</si>
  <si>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</si>
  <si>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</si>
  <si>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</si>
  <si>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</si>
  <si>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</si>
  <si>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</si>
  <si>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</si>
  <si>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</si>
  <si>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</si>
  <si>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</si>
  <si>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</si>
  <si>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</si>
  <si>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</si>
  <si>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</si>
  <si>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</si>
  <si>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</si>
  <si>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</si>
  <si>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</si>
  <si>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</si>
  <si>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</si>
  <si>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</si>
  <si>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</si>
  <si>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</si>
  <si>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</si>
  <si>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</si>
  <si>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</si>
  <si>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</si>
  <si>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</si>
  <si>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</si>
  <si>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</si>
  <si>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</si>
  <si>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</si>
  <si>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</si>
  <si>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</si>
  <si>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</si>
  <si>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</si>
  <si>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</si>
  <si>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</si>
  <si>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</si>
  <si>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</si>
  <si>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</si>
  <si>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</si>
  <si>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</si>
  <si>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</si>
  <si>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</si>
  <si>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</si>
  <si>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</si>
  <si>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</si>
  <si>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</si>
  <si>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</si>
  <si>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</si>
  <si>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</si>
  <si>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</si>
  <si>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</si>
  <si>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</si>
  <si>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</si>
  <si>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</si>
  <si>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</si>
  <si>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</si>
  <si>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</si>
  <si>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</si>
  <si>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</si>
  <si>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</si>
  <si>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</si>
  <si>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</si>
  <si>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</si>
  <si>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</si>
  <si>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</si>
  <si>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</si>
  <si>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</si>
  <si>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</si>
  <si>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</si>
  <si>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</si>
  <si>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</si>
  <si>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</si>
  <si>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</si>
  <si>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</si>
  <si>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</si>
  <si>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</si>
  <si>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</si>
  <si>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</si>
  <si>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</si>
  <si>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</si>
  <si>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</si>
  <si>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</si>
  <si>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</si>
  <si>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</si>
  <si>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</si>
  <si>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</si>
  <si>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</si>
  <si>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</si>
  <si>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</si>
  <si>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</si>
  <si>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</si>
  <si>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</si>
  <si>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</si>
  <si>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</si>
  <si>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</si>
  <si>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</si>
  <si>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</si>
  <si>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</si>
  <si>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</si>
  <si>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</si>
  <si>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</si>
  <si>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</si>
  <si>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</si>
  <si>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</si>
  <si>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</si>
  <si>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</si>
  <si>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</si>
  <si>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</si>
  <si>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</si>
  <si>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</si>
  <si>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</si>
  <si>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</si>
  <si>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</si>
  <si>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</si>
  <si>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</si>
  <si>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</si>
  <si>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</si>
  <si>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</si>
  <si>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</si>
  <si>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</si>
  <si>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</si>
  <si>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</si>
  <si>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</si>
  <si>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</si>
  <si>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</si>
  <si>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</si>
  <si>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</si>
  <si>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</si>
  <si>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</si>
  <si>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</si>
  <si>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</si>
  <si>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</si>
  <si>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</si>
  <si>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</si>
  <si>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</si>
  <si>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</si>
  <si>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</si>
  <si>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</si>
  <si>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</si>
  <si>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</si>
  <si>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</si>
  <si>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</si>
  <si>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</si>
  <si>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</si>
  <si>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</si>
  <si>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</si>
  <si>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</si>
  <si>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</si>
  <si>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</si>
  <si>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</si>
  <si>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</si>
  <si>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</si>
  <si>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</si>
  <si>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</si>
  <si>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</si>
  <si>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</si>
  <si>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</si>
  <si>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</si>
  <si>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</si>
  <si>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</si>
  <si>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</si>
  <si>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</si>
  <si>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</si>
  <si>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</si>
  <si>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</si>
  <si>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</si>
  <si>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</si>
  <si>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</si>
  <si>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</si>
  <si>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</si>
  <si>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</si>
  <si>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</si>
  <si>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</si>
  <si>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</si>
  <si>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</si>
  <si>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</si>
  <si>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</si>
  <si>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</si>
  <si>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</si>
  <si>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</si>
  <si>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</si>
  <si>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</si>
  <si>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</si>
  <si>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</si>
  <si>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</si>
  <si>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</si>
  <si>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</si>
  <si>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</si>
  <si>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</si>
  <si>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</si>
  <si>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</si>
  <si>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</si>
  <si>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</si>
  <si>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</si>
  <si>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</si>
  <si>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</si>
  <si>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</si>
  <si>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</si>
  <si>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</si>
  <si>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</si>
  <si>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</si>
  <si>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</si>
  <si>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</si>
  <si>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</si>
  <si>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</si>
  <si>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</si>
  <si>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</si>
  <si>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</si>
  <si>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</si>
  <si>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</si>
  <si>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</si>
  <si>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</si>
  <si>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</si>
  <si>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</si>
  <si>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</si>
  <si>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</si>
  <si>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</si>
  <si>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</si>
  <si>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</si>
  <si>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</si>
  <si>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</si>
  <si>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</si>
  <si>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</si>
  <si>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</si>
  <si>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</si>
  <si>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</si>
  <si>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</si>
  <si>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</si>
  <si>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</si>
  <si>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</si>
  <si>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</si>
  <si>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</si>
  <si>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</si>
  <si>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</si>
  <si>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</si>
  <si>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</si>
  <si>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</si>
  <si>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</si>
  <si>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</si>
  <si>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</si>
  <si>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</si>
  <si>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</si>
  <si>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</si>
  <si>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</si>
  <si>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</si>
  <si>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</si>
  <si>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</si>
  <si>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</si>
  <si>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</si>
  <si>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</si>
  <si>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</si>
  <si>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</si>
  <si>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</si>
  <si>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</si>
  <si>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</si>
  <si>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</si>
  <si>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</si>
  <si>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</si>
  <si>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</si>
  <si>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</si>
  <si>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</si>
  <si>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</si>
  <si>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</si>
  <si>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</si>
  <si>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</si>
  <si>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</si>
  <si>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</si>
  <si>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</si>
  <si>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</si>
  <si>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</si>
  <si>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</si>
  <si>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</si>
  <si>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</si>
  <si>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</si>
  <si>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</si>
  <si>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</si>
  <si>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</si>
  <si>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</si>
  <si>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</si>
  <si>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</si>
  <si>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</si>
  <si>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</si>
  <si>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</si>
  <si>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</si>
  <si>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</si>
  <si>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</si>
  <si>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</si>
  <si>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</si>
  <si>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</si>
  <si>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</si>
  <si>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</si>
  <si>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</si>
  <si>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</si>
  <si>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</si>
  <si>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</si>
  <si>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</si>
  <si>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</si>
  <si>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</si>
  <si>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</si>
  <si>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</si>
  <si>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</si>
  <si>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</si>
  <si>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</si>
  <si>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</si>
  <si>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</si>
  <si>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</si>
  <si>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</si>
  <si>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</si>
  <si>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</si>
  <si>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</si>
  <si>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</si>
  <si>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</si>
  <si>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</si>
  <si>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</si>
  <si>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</si>
  <si>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</si>
  <si>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</si>
  <si>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</si>
  <si>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</si>
  <si>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</si>
  <si>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</si>
  <si>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</si>
  <si>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</si>
  <si>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</si>
  <si>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</si>
  <si>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</si>
  <si>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</si>
  <si>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</si>
  <si>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</si>
  <si>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</si>
  <si>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</si>
  <si>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</si>
  <si>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</si>
  <si>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</si>
  <si>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</si>
  <si>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</si>
  <si>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</si>
  <si>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</si>
  <si>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</si>
  <si>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</si>
  <si>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</si>
  <si>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</si>
  <si>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</si>
  <si>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</si>
  <si>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</si>
  <si>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</si>
  <si>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</si>
  <si>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</si>
  <si>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</si>
  <si>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</si>
  <si>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</si>
  <si>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</si>
  <si>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</si>
  <si>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</si>
  <si>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</si>
  <si>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</si>
  <si>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</si>
  <si>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</si>
  <si>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</si>
  <si>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</si>
  <si>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</si>
  <si>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</si>
  <si>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</si>
  <si>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</si>
  <si>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</si>
  <si>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</si>
  <si>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</si>
  <si>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</si>
  <si>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</si>
  <si>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</si>
  <si>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</si>
  <si>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</si>
  <si>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</si>
  <si>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</si>
  <si>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</si>
  <si>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</si>
  <si>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</si>
  <si>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</si>
  <si>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</si>
  <si>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</si>
  <si>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</si>
  <si>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</si>
  <si>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</si>
  <si>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</si>
  <si>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</si>
  <si>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</si>
  <si>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</si>
  <si>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</si>
  <si>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</si>
  <si>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</si>
  <si>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</si>
  <si>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</si>
  <si>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</si>
  <si>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</si>
  <si>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</si>
  <si>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</si>
  <si>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</si>
  <si>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</si>
  <si>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</si>
  <si>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</si>
  <si>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</si>
  <si>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</si>
  <si>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</si>
  <si>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</si>
  <si>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</si>
  <si>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</si>
  <si>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</si>
  <si>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</si>
  <si>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</si>
  <si>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</si>
  <si>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</si>
  <si>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</si>
  <si>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</si>
  <si>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</si>
  <si>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</si>
  <si>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</si>
  <si>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</si>
  <si>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</si>
  <si>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</si>
  <si>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</si>
  <si>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</si>
  <si>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</si>
  <si>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</si>
  <si>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</si>
  <si>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</si>
  <si>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</si>
  <si>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</si>
  <si>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</si>
  <si>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</si>
  <si>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</si>
  <si>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</si>
  <si>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</si>
  <si>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</si>
  <si>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</si>
  <si>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</si>
  <si>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</si>
  <si>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</si>
  <si>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</si>
  <si>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</si>
  <si>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</si>
  <si>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</si>
  <si>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</si>
  <si>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</si>
  <si>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</si>
  <si>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</si>
  <si>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</si>
  <si>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</si>
  <si>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</si>
  <si>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</si>
  <si>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</si>
  <si>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</si>
  <si>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</si>
  <si>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</si>
  <si>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</si>
  <si>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</si>
  <si>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</si>
  <si>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</si>
  <si>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</si>
  <si>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</si>
  <si>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</si>
  <si>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</si>
  <si>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</si>
  <si>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</si>
  <si>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</si>
  <si>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</si>
  <si>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</si>
  <si>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</si>
  <si>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</si>
  <si>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</si>
  <si>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</si>
  <si>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</si>
  <si>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</si>
  <si>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</si>
  <si>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</si>
  <si>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</si>
  <si>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</si>
  <si>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</si>
  <si>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</si>
  <si>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</si>
  <si>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</si>
  <si>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</si>
  <si>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</si>
  <si>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</si>
  <si>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</si>
  <si>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</si>
  <si>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</si>
  <si>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</si>
  <si>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</si>
  <si>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</si>
  <si>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</si>
  <si>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</si>
  <si>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</si>
  <si>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</si>
  <si>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</si>
  <si>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</si>
  <si>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</si>
  <si>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</si>
  <si>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</si>
  <si>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</si>
  <si>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</si>
  <si>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</si>
  <si>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</si>
  <si>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</si>
  <si>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</si>
  <si>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</si>
  <si>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</si>
  <si>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</si>
  <si>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</si>
  <si>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</si>
  <si>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</si>
  <si>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</si>
  <si>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</si>
  <si>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</si>
  <si>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</si>
  <si>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</si>
  <si>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</si>
  <si>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</si>
  <si>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</si>
  <si>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</si>
  <si>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</si>
  <si>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</si>
  <si>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</si>
  <si>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</si>
  <si>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</si>
  <si>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</si>
  <si>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</si>
  <si>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</si>
  <si>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</si>
  <si>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</si>
  <si>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</si>
  <si>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</si>
  <si>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</si>
  <si>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</si>
  <si>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</si>
  <si>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</si>
  <si>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</si>
  <si>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</si>
  <si>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</si>
  <si>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</si>
  <si>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</si>
  <si>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</si>
  <si>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</si>
  <si>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</si>
  <si>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</si>
  <si>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</si>
  <si>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</si>
  <si>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</si>
  <si>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</si>
  <si>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</si>
  <si>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</si>
  <si>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</si>
  <si>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</si>
  <si>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</si>
  <si>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</si>
  <si>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</si>
  <si>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</si>
  <si>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</si>
  <si>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</si>
  <si>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</si>
  <si>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</si>
  <si>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</si>
  <si>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</si>
  <si>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</si>
  <si>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</si>
  <si>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</si>
  <si>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</si>
  <si>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</si>
  <si>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</si>
  <si>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</si>
  <si>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</si>
  <si>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</si>
  <si>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</si>
  <si>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</si>
  <si>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</si>
  <si>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</si>
  <si>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</si>
  <si>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</si>
  <si>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</si>
  <si>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</si>
  <si>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</si>
  <si>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</si>
  <si>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</si>
  <si>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</si>
  <si>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</si>
  <si>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</si>
  <si>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</si>
  <si>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</si>
  <si>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</si>
  <si>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</si>
  <si>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</si>
  <si>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</si>
  <si>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</si>
  <si>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</si>
  <si>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</si>
  <si>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</si>
  <si>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</si>
  <si>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</si>
  <si>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</si>
  <si>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</si>
  <si>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</si>
  <si>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</si>
  <si>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</si>
  <si>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</si>
  <si>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</si>
  <si>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</si>
  <si>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</si>
  <si>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</si>
  <si>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</si>
  <si>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</si>
  <si>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</si>
  <si>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</si>
  <si>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</si>
  <si>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</si>
  <si>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</si>
  <si>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</si>
  <si>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</si>
  <si>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</si>
  <si>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</si>
  <si>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</si>
  <si>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</si>
  <si>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</si>
  <si>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</si>
  <si>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</si>
  <si>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</si>
  <si>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</si>
  <si>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</si>
  <si>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</si>
  <si>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</si>
  <si>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</si>
  <si>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</si>
  <si>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</si>
  <si>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</si>
  <si>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</si>
  <si>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</si>
  <si>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</si>
  <si>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</si>
  <si>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</si>
  <si>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</si>
  <si>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</si>
  <si>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</si>
  <si>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</si>
  <si>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</si>
  <si>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</si>
  <si>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</si>
  <si>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</si>
  <si>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</si>
  <si>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</si>
  <si>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</si>
  <si>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</si>
  <si>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</si>
  <si>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</si>
  <si>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</si>
  <si>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</si>
  <si>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</si>
  <si>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</si>
  <si>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</si>
  <si>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</si>
  <si>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</si>
  <si>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</si>
  <si>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</si>
  <si>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</si>
  <si>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</si>
  <si>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</si>
  <si>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</si>
  <si>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</si>
  <si>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</si>
  <si>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</si>
  <si>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</si>
  <si>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</si>
  <si>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</si>
  <si>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</si>
  <si>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</si>
  <si>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</si>
  <si>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</si>
  <si>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</si>
  <si>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</si>
  <si>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</si>
  <si>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</si>
  <si>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</si>
  <si>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</si>
  <si>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</si>
  <si>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</si>
  <si>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</si>
  <si>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</si>
  <si>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</si>
  <si>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</si>
  <si>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</si>
  <si>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</si>
  <si>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</si>
  <si>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</si>
  <si>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</si>
  <si>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</si>
  <si>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</si>
  <si>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</si>
  <si>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</si>
  <si>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</si>
  <si>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</si>
  <si>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</si>
  <si>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</si>
  <si>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</si>
  <si>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</si>
  <si>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</si>
  <si>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</si>
  <si>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</si>
  <si>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</si>
  <si>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</si>
  <si>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</si>
  <si>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</si>
  <si>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</si>
  <si>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</si>
  <si>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</si>
  <si>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</si>
  <si>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</si>
  <si>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</si>
  <si>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</si>
  <si>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</si>
  <si>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</si>
  <si>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</si>
  <si>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</si>
  <si>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</si>
  <si>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</si>
  <si>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</si>
  <si>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</si>
  <si>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</si>
  <si>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</si>
  <si>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</si>
  <si>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</si>
  <si>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</si>
  <si>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</si>
  <si>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</si>
  <si>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</si>
  <si>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</si>
  <si>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</si>
  <si>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</si>
  <si>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</si>
  <si>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</si>
  <si>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</si>
  <si>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</si>
  <si>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</si>
  <si>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</si>
  <si>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</si>
  <si>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</si>
  <si>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</si>
  <si>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</si>
  <si>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</si>
  <si>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</si>
  <si>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</si>
  <si>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</si>
  <si>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</si>
  <si>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</si>
  <si>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</si>
  <si>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</si>
  <si>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</si>
  <si>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</si>
  <si>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</si>
  <si>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</si>
  <si>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</si>
  <si>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</si>
  <si>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</si>
  <si>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</si>
  <si>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</si>
  <si>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</si>
  <si>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</si>
  <si>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</si>
  <si>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</si>
  <si>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</si>
  <si>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</si>
  <si>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</si>
  <si>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</si>
  <si>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</si>
  <si>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</si>
  <si>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</si>
  <si>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</si>
  <si>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</si>
  <si>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</si>
  <si>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</si>
  <si>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</si>
  <si>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</si>
  <si>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</si>
  <si>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</si>
  <si>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</si>
  <si>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</si>
  <si>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</si>
  <si>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</si>
  <si>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</si>
  <si>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</si>
  <si>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</si>
  <si>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</si>
  <si>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</si>
  <si>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</si>
  <si>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</si>
  <si>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</si>
  <si>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</si>
  <si>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</si>
  <si>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</si>
  <si>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</si>
  <si>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</si>
  <si>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</si>
  <si>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</si>
  <si>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</si>
  <si>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</si>
  <si>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</si>
  <si>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</si>
  <si>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</si>
  <si>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</si>
  <si>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</si>
  <si>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</si>
  <si>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</si>
  <si>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</si>
  <si>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</si>
  <si>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</si>
  <si>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</si>
  <si>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</si>
  <si>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</si>
  <si>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</si>
  <si>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</si>
  <si>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</si>
  <si>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</si>
  <si>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</si>
  <si>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</si>
  <si>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</si>
  <si>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</si>
  <si>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</si>
  <si>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</si>
  <si>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</si>
  <si>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</si>
  <si>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</si>
  <si>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</si>
  <si>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</si>
  <si>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</si>
  <si>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</si>
  <si>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</si>
  <si>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</si>
  <si>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</si>
  <si>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</si>
  <si>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</si>
  <si>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</si>
  <si>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</si>
  <si>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</si>
  <si>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</si>
  <si>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</si>
  <si>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</si>
  <si>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</si>
  <si>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</si>
  <si>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</si>
  <si>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</si>
  <si>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</si>
  <si>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</si>
  <si>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</si>
  <si>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</si>
  <si>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</si>
  <si>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</si>
  <si>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</si>
  <si>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</si>
  <si>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</si>
  <si>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</si>
  <si>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</si>
  <si>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</si>
  <si>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</si>
  <si>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</si>
  <si>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</si>
  <si>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</si>
  <si>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</si>
  <si>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</si>
  <si>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</si>
  <si>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</si>
  <si>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</si>
  <si>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</si>
  <si>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</si>
  <si>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</si>
  <si>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</si>
  <si>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</si>
  <si>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</si>
  <si>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</si>
  <si>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</si>
  <si>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</si>
  <si>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</si>
  <si>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</si>
  <si>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</si>
  <si>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</si>
  <si>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</si>
  <si>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</si>
  <si>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</si>
  <si>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</si>
  <si>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</si>
  <si>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</si>
  <si>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</si>
  <si>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</si>
  <si>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</si>
  <si>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</si>
  <si>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</si>
  <si>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</si>
  <si>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</si>
  <si>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</si>
  <si>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</si>
  <si>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</si>
  <si>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</si>
  <si>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</si>
  <si>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</si>
  <si>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</si>
  <si>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</si>
  <si>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</si>
  <si>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</si>
  <si>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</si>
  <si>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</si>
  <si>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</si>
  <si>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</si>
  <si>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</si>
  <si>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</si>
  <si>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</si>
  <si>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</si>
  <si>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</si>
  <si>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</si>
  <si>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</si>
  <si>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</si>
  <si>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</si>
  <si>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</si>
  <si>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</si>
  <si>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</si>
  <si>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</si>
  <si>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</si>
  <si>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</si>
  <si>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</si>
  <si>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</si>
  <si>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</si>
  <si>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</si>
  <si>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</si>
  <si>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</si>
  <si>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</si>
  <si>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</si>
  <si>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</si>
  <si>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</si>
  <si>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</si>
  <si>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</si>
  <si>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</si>
  <si>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</si>
  <si>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</si>
  <si>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</si>
  <si>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</si>
  <si>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</si>
  <si>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</si>
  <si>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</si>
  <si>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</si>
  <si>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</si>
  <si>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</si>
  <si>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</si>
  <si>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</si>
  <si>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</si>
  <si>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</si>
  <si>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</si>
  <si>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</si>
  <si>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</si>
  <si>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</si>
  <si>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</si>
  <si>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</si>
  <si>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</si>
  <si>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</si>
  <si>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</si>
  <si>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</si>
  <si>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</si>
  <si>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</si>
  <si>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</si>
  <si>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</si>
  <si>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</si>
  <si>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</si>
  <si>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</si>
  <si>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</si>
  <si>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</si>
  <si>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</si>
  <si>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</si>
  <si>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</si>
  <si>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</si>
  <si>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</si>
  <si>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</si>
  <si>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</si>
  <si>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</si>
  <si>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</si>
  <si>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</si>
  <si>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</si>
  <si>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</si>
  <si>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</si>
  <si>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</si>
  <si>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</si>
  <si>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</si>
  <si>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</si>
  <si>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</si>
  <si>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</si>
  <si>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</si>
  <si>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</si>
  <si>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</si>
  <si>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</si>
  <si>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</si>
  <si>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</si>
  <si>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</si>
  <si>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</si>
  <si>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</si>
  <si>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</si>
  <si>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</si>
  <si>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</si>
  <si>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</si>
  <si>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</si>
  <si>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</si>
  <si>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</si>
  <si>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</si>
  <si>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</si>
  <si>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</si>
  <si>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</si>
  <si>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</si>
  <si>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</si>
  <si>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</si>
  <si>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</si>
  <si>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</si>
  <si>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</si>
  <si>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</si>
  <si>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</si>
  <si>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</si>
  <si>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</si>
  <si>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</si>
  <si>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</si>
  <si>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</si>
  <si>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</si>
  <si>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</si>
  <si>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</si>
  <si>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</si>
  <si>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</si>
  <si>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</si>
  <si>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</si>
  <si>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</si>
  <si>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</si>
  <si>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</si>
  <si>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</si>
  <si>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</si>
  <si>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</si>
  <si>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</si>
  <si>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</si>
  <si>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</si>
  <si>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</si>
  <si>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</si>
  <si>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</si>
  <si>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</si>
  <si>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</si>
  <si>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</si>
  <si>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</si>
  <si>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</si>
  <si>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</si>
  <si>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</si>
  <si>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</si>
  <si>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</si>
  <si>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</si>
  <si>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</si>
  <si>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</si>
  <si>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</si>
  <si>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</si>
  <si>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</si>
  <si>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</si>
  <si>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</si>
  <si>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</si>
  <si>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</si>
  <si>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</si>
  <si>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</si>
  <si>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</si>
  <si>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</si>
  <si>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</si>
  <si>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</si>
  <si>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</si>
  <si>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</si>
  <si>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</si>
  <si>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</si>
  <si>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</si>
  <si>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</si>
  <si>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</si>
  <si>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</si>
  <si>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</si>
  <si>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</si>
  <si>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</si>
  <si>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</si>
  <si>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</si>
  <si>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</si>
  <si>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</si>
  <si>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</si>
  <si>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</si>
  <si>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</si>
  <si>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</si>
  <si>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</si>
  <si>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</si>
  <si>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</si>
  <si>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</si>
  <si>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</si>
  <si>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</si>
  <si>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</si>
  <si>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</si>
  <si>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</si>
  <si>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</si>
  <si>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</si>
  <si>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</si>
  <si>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</si>
  <si>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</si>
  <si>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</si>
  <si>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</si>
  <si>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</si>
  <si>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</si>
  <si>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</si>
  <si>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</si>
  <si>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</si>
  <si>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</si>
  <si>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</si>
  <si>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</si>
  <si>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</si>
  <si>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</si>
  <si>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</si>
  <si>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</si>
  <si>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</si>
  <si>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</si>
  <si>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</si>
  <si>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</si>
  <si>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</si>
  <si>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</si>
  <si>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</si>
  <si>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</si>
  <si>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</si>
  <si>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</si>
  <si>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</si>
  <si>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</si>
  <si>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</si>
  <si>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</si>
  <si>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</si>
  <si>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</si>
  <si>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</si>
  <si>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</si>
  <si>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</si>
  <si>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</si>
  <si>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</si>
  <si>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</si>
  <si>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</si>
  <si>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</si>
  <si>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</si>
  <si>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</si>
  <si>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</si>
  <si>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</si>
  <si>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</si>
  <si>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</si>
  <si>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</si>
  <si>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</si>
  <si>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</si>
  <si>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</si>
  <si>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</si>
  <si>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</si>
  <si>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</si>
  <si>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</si>
  <si>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</si>
  <si>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</si>
  <si>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</si>
  <si>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</si>
  <si>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</si>
  <si>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</si>
  <si>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</si>
  <si>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</si>
  <si>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</si>
  <si>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</si>
  <si>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</si>
  <si>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</si>
  <si>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</si>
  <si>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</si>
  <si>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</si>
  <si>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</si>
  <si>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</si>
  <si>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</si>
  <si>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</si>
  <si>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</si>
  <si>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</si>
  <si>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</si>
  <si>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</si>
  <si>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</si>
  <si>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</si>
  <si>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</si>
  <si>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</si>
  <si>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</si>
  <si>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</si>
  <si>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</si>
  <si>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</si>
  <si>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</si>
  <si>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</si>
  <si>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</si>
  <si>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</si>
  <si>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</si>
  <si>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</si>
  <si>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</si>
  <si>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</si>
  <si>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</si>
  <si>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</si>
  <si>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</si>
  <si>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</si>
  <si>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</si>
  <si>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</si>
  <si>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</si>
  <si>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</si>
  <si>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</si>
  <si>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</si>
  <si>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</si>
  <si>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</si>
  <si>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</si>
  <si>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</si>
  <si>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</si>
  <si>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</si>
  <si>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</si>
  <si>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</si>
  <si>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</si>
  <si>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</si>
  <si>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</si>
  <si>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</si>
  <si>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</si>
  <si>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</si>
  <si>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</si>
  <si>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</si>
  <si>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</si>
  <si>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</si>
  <si>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</si>
  <si>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</si>
  <si>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</si>
  <si>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</si>
  <si>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</si>
  <si>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</si>
  <si>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</si>
  <si>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</si>
  <si>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</si>
  <si>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</si>
  <si>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</si>
  <si>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</si>
  <si>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</si>
  <si>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</si>
  <si>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</si>
  <si>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</si>
  <si>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</si>
  <si>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</si>
  <si>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</si>
  <si>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</si>
  <si>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</si>
  <si>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</si>
  <si>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</si>
  <si>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</si>
  <si>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</si>
  <si>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</si>
  <si>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</si>
  <si>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</si>
  <si>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</si>
  <si>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</si>
  <si>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</si>
  <si>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</si>
  <si>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</si>
  <si>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</si>
  <si>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</si>
  <si>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</si>
  <si>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</si>
  <si>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</si>
  <si>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</si>
  <si>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</si>
  <si>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</si>
  <si>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</si>
  <si>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</si>
  <si>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</si>
  <si>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</si>
  <si>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</si>
  <si>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</si>
  <si>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</si>
  <si>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</si>
  <si>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</si>
  <si>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</si>
  <si>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</si>
  <si>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</si>
  <si>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</si>
  <si>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</si>
  <si>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</si>
  <si>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</si>
  <si>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</si>
  <si>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</si>
  <si>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</si>
  <si>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</si>
  <si>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</si>
  <si>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</si>
  <si>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</si>
  <si>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</si>
  <si>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</si>
  <si>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</si>
  <si>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</si>
  <si>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</si>
  <si>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</si>
  <si>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</si>
  <si>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</si>
  <si>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</si>
  <si>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</si>
  <si>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</si>
  <si>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</si>
  <si>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</si>
  <si>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</si>
  <si>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</si>
  <si>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</si>
  <si>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</si>
  <si>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</si>
  <si>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</si>
  <si>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</si>
  <si>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</si>
  <si>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</si>
  <si>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</si>
  <si>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</si>
  <si>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</si>
  <si>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</si>
  <si>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</si>
  <si>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</si>
  <si>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</si>
  <si>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</si>
  <si>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</si>
  <si>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</si>
  <si>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</si>
  <si>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</si>
  <si>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</si>
  <si>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</si>
  <si>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</si>
  <si>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</si>
  <si>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</si>
  <si>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</si>
  <si>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</si>
  <si>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</si>
  <si>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</si>
  <si>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</si>
  <si>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</si>
  <si>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</si>
  <si>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</si>
  <si>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</si>
  <si>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</si>
  <si>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</si>
  <si>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</si>
  <si>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</si>
  <si>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</si>
  <si>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</si>
  <si>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</si>
  <si>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</si>
  <si>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</si>
  <si>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</si>
  <si>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</si>
  <si>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</si>
  <si>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</si>
  <si>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</si>
  <si>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</si>
  <si>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</si>
  <si>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</si>
  <si>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</si>
  <si>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</si>
  <si>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</si>
  <si>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</si>
  <si>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</si>
  <si>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</si>
  <si>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</si>
  <si>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</si>
  <si>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</si>
  <si>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</si>
  <si>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</si>
  <si>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</si>
  <si>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</si>
  <si>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</si>
  <si>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</si>
  <si>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</si>
  <si>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</si>
  <si>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</si>
  <si>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</si>
  <si>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</si>
  <si>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</si>
  <si>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</si>
  <si>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</si>
  <si>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</si>
  <si>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</si>
  <si>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</si>
  <si>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</si>
  <si>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</si>
  <si>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</si>
  <si>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</si>
  <si>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</si>
  <si>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</si>
  <si>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</si>
  <si>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</si>
  <si>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</si>
  <si>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</si>
  <si>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</si>
  <si>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</si>
  <si>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</si>
  <si>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</si>
  <si>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</si>
  <si>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</si>
  <si>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</si>
  <si>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</si>
  <si>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</si>
  <si>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</si>
  <si>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</si>
  <si>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</si>
  <si>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</si>
  <si>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</si>
  <si>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</si>
  <si>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</si>
  <si>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</si>
  <si>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</si>
  <si>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</si>
  <si>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</si>
  <si>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</si>
  <si>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</si>
  <si>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</si>
  <si>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</si>
  <si>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</si>
  <si>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</si>
  <si>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</si>
  <si>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</si>
  <si>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</si>
  <si>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</si>
  <si>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</si>
  <si>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</si>
  <si>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</si>
  <si>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</si>
  <si>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</si>
  <si>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</si>
  <si>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</si>
  <si>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</si>
  <si>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</si>
  <si>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</si>
  <si>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</si>
  <si>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</si>
  <si>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</si>
  <si>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</si>
  <si>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</si>
  <si>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</si>
  <si>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</si>
  <si>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</si>
  <si>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</si>
  <si>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</si>
  <si>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</si>
  <si>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</si>
  <si>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</si>
  <si>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</si>
  <si>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</si>
  <si>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</si>
  <si>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</si>
  <si>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</si>
  <si>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</si>
  <si>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</si>
  <si>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</si>
  <si>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</si>
  <si>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</si>
  <si>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</si>
  <si>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</si>
  <si>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</si>
  <si>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</si>
  <si>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</si>
  <si>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</si>
  <si>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</si>
  <si>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</si>
  <si>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</si>
  <si>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</si>
  <si>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</si>
  <si>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</si>
  <si>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</si>
  <si>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</si>
  <si>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</si>
  <si>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</si>
  <si>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</si>
  <si>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</si>
  <si>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</si>
  <si>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</si>
  <si>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</si>
  <si>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</si>
  <si>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</si>
  <si>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</si>
  <si>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</si>
  <si>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</si>
  <si>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</si>
  <si>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</si>
  <si>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</si>
  <si>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</si>
  <si>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</si>
  <si>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</si>
  <si>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</si>
  <si>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</si>
  <si>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</si>
  <si>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</si>
  <si>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</si>
  <si>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</si>
  <si>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</si>
  <si>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</si>
  <si>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</si>
  <si>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</si>
  <si>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</si>
  <si>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</si>
  <si>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</si>
  <si>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</si>
  <si>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</si>
  <si>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</si>
  <si>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</si>
  <si>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</si>
  <si>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</si>
  <si>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</si>
  <si>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</si>
  <si>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</si>
  <si>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</si>
  <si>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</si>
  <si>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</si>
  <si>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</si>
  <si>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</si>
  <si>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</si>
  <si>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</si>
  <si>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</si>
  <si>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</si>
  <si>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</si>
  <si>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</si>
  <si>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</si>
  <si>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</si>
  <si>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</si>
  <si>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</si>
  <si>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</si>
  <si>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</si>
  <si>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</si>
  <si>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</si>
  <si>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</si>
  <si>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</si>
  <si>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</si>
  <si>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</si>
  <si>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</si>
  <si>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</si>
  <si>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</si>
  <si>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</si>
  <si>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</si>
  <si>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</si>
  <si>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</si>
  <si>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</si>
  <si>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</si>
  <si>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</si>
  <si>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</si>
  <si>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</si>
  <si>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</si>
  <si>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</si>
  <si>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</si>
  <si>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</si>
  <si>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</si>
  <si>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</si>
  <si>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</si>
  <si>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</si>
  <si>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</si>
  <si>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</si>
  <si>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</si>
  <si>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</si>
  <si>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</si>
  <si>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</si>
  <si>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</si>
  <si>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</si>
  <si>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</si>
  <si>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</si>
  <si>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</si>
  <si>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</si>
  <si>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</si>
  <si>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</si>
  <si>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</si>
  <si>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</si>
  <si>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</si>
  <si>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</si>
  <si>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</si>
  <si>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</si>
  <si>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</si>
  <si>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</si>
  <si>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</si>
  <si>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</si>
  <si>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</si>
  <si>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</si>
  <si>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</si>
  <si>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</si>
  <si>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</si>
  <si>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</si>
  <si>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</si>
  <si>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</si>
  <si>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</si>
  <si>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</si>
  <si>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</si>
  <si>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</si>
  <si>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</si>
  <si>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</si>
  <si>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</si>
  <si>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</si>
  <si>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</si>
  <si>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</si>
  <si>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</si>
  <si>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</si>
  <si>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</si>
  <si>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</si>
  <si>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</si>
  <si>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</si>
  <si>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</si>
  <si>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</si>
  <si>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</si>
  <si>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</si>
  <si>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</si>
  <si>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</si>
  <si>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</si>
  <si>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</si>
  <si>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</si>
  <si>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</si>
  <si>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</si>
  <si>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</si>
  <si>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</si>
  <si>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</si>
  <si>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</si>
  <si>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</si>
  <si>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</si>
  <si>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</si>
  <si>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</si>
  <si>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</si>
  <si>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</si>
  <si>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</si>
  <si>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</si>
  <si>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</si>
  <si>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</si>
  <si>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</si>
  <si>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</si>
  <si>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</si>
  <si>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</si>
  <si>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</si>
  <si>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</si>
  <si>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</si>
  <si>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</si>
  <si>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</si>
  <si>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</si>
  <si>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</si>
  <si>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</si>
  <si>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</si>
  <si>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</si>
  <si>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</si>
  <si>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</si>
  <si>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</si>
  <si>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</si>
  <si>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</si>
  <si>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</si>
  <si>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</si>
  <si>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</si>
  <si>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</si>
  <si>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</si>
  <si>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</si>
  <si>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</si>
  <si>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</si>
  <si>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</si>
  <si>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</si>
  <si>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</si>
  <si>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</si>
  <si>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</si>
  <si>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</si>
  <si>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</si>
  <si>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</si>
  <si>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</si>
  <si>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</si>
  <si>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</si>
  <si>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</si>
  <si>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</si>
  <si>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</si>
  <si>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</si>
  <si>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</si>
  <si>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</si>
  <si>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</si>
  <si>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</si>
  <si>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</si>
  <si>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</si>
  <si>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</si>
  <si>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</si>
  <si>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</si>
  <si>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</si>
  <si>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</si>
  <si>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</si>
  <si>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</si>
  <si>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</si>
  <si>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</si>
  <si>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</si>
  <si>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</si>
  <si>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</si>
  <si>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</si>
  <si>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</si>
  <si>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</si>
  <si>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</si>
  <si>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</si>
  <si>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</si>
  <si>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</si>
  <si>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</si>
  <si>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</si>
  <si>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</si>
  <si>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</si>
  <si>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</si>
  <si>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</si>
  <si>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</si>
  <si>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</si>
  <si>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</si>
  <si>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</si>
  <si>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</si>
  <si>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</si>
  <si>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</si>
  <si>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</si>
  <si>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</si>
  <si>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</si>
  <si>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</si>
  <si>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</si>
  <si>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</si>
  <si>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</si>
  <si>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</si>
  <si>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</si>
  <si>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</si>
  <si>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</si>
  <si>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</si>
  <si>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</si>
  <si>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</si>
  <si>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</si>
  <si>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</si>
  <si>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</si>
  <si>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</si>
  <si>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</si>
  <si>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</si>
  <si>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</si>
  <si>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</si>
  <si>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</si>
  <si>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</si>
  <si>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</si>
  <si>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</si>
  <si>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</si>
  <si>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</si>
  <si>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</si>
  <si>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</si>
  <si>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</si>
  <si>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</si>
  <si>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</si>
  <si>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</si>
  <si>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</si>
  <si>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</si>
  <si>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</si>
  <si>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</si>
  <si>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</si>
  <si>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</si>
  <si>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</si>
  <si>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</si>
  <si>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</si>
  <si>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</si>
  <si>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</si>
  <si>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</si>
  <si>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</si>
  <si>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</si>
  <si>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</si>
  <si>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</si>
  <si>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</si>
  <si>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</si>
  <si>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</si>
  <si>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</si>
  <si>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</si>
  <si>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</si>
  <si>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</si>
  <si>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</si>
  <si>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</si>
  <si>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</si>
  <si>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</si>
  <si>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</si>
  <si>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</si>
  <si>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</si>
  <si>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</si>
  <si>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</si>
  <si>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</si>
  <si>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</si>
  <si>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</si>
  <si>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</si>
  <si>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</si>
  <si>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</si>
  <si>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</si>
  <si>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</si>
  <si>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</si>
  <si>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</si>
  <si>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</si>
  <si>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</si>
  <si>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</si>
  <si>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</si>
  <si>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</si>
  <si>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</si>
  <si>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</si>
  <si>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</si>
  <si>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</si>
  <si>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</si>
  <si>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</si>
  <si>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</si>
  <si>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</si>
  <si>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</si>
  <si>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</si>
  <si>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</si>
  <si>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</si>
  <si>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</si>
  <si>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</si>
  <si>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</si>
  <si>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</si>
  <si>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</si>
  <si>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</si>
  <si>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</si>
  <si>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</si>
  <si>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</si>
  <si>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</si>
  <si>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</si>
  <si>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</si>
  <si>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</si>
  <si>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</si>
  <si>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</si>
  <si>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</si>
  <si>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</si>
  <si>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</si>
  <si>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</si>
  <si>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</si>
  <si>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</si>
  <si>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</si>
  <si>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</si>
  <si>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</si>
  <si>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</si>
  <si>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</si>
  <si>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</si>
  <si>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</si>
  <si>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</si>
  <si>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</si>
  <si>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</si>
  <si>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</si>
  <si>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</si>
  <si>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</si>
  <si>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</si>
  <si>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</si>
  <si>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</si>
  <si>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</si>
  <si>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</si>
  <si>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</si>
  <si>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</si>
  <si>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</si>
  <si>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</si>
  <si>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</si>
  <si>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</si>
  <si>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</si>
  <si>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</si>
  <si>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</si>
  <si>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</si>
  <si>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</si>
  <si>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</si>
  <si>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</si>
  <si>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</si>
  <si>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</si>
  <si>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</si>
  <si>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</si>
  <si>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</si>
  <si>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</si>
  <si>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</si>
  <si>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</si>
  <si>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</si>
  <si>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</si>
  <si>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</si>
  <si>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</si>
  <si>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</si>
  <si>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</si>
  <si>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</si>
  <si>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</si>
  <si>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</si>
  <si>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</si>
  <si>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</si>
  <si>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</si>
  <si>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</si>
  <si>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</si>
  <si>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</si>
  <si>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</si>
  <si>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</si>
  <si>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</si>
  <si>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</si>
  <si>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</si>
  <si>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</si>
  <si>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</si>
  <si>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</si>
  <si>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</si>
  <si>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</si>
  <si>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</si>
  <si>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</si>
  <si>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</si>
  <si>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</si>
  <si>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</si>
  <si>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</si>
  <si>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</si>
  <si>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</si>
  <si>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</si>
  <si>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</si>
  <si>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</si>
  <si>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</si>
  <si>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</si>
  <si>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</si>
  <si>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</si>
  <si>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</si>
  <si>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</si>
  <si>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</si>
  <si>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</si>
  <si>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</si>
  <si>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</si>
  <si>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</si>
  <si>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</si>
  <si>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</si>
  <si>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</si>
  <si>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</si>
  <si>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</si>
  <si>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</si>
  <si>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</si>
  <si>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</si>
  <si>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</si>
  <si>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</si>
  <si>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</si>
  <si>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</si>
  <si>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</si>
  <si>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</si>
  <si>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</si>
  <si>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</si>
  <si>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</si>
  <si>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</si>
  <si>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</si>
  <si>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</si>
  <si>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</si>
  <si>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</si>
  <si>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</si>
  <si>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</si>
  <si>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</si>
  <si>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</si>
  <si>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</si>
  <si>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</si>
  <si>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</si>
  <si>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</si>
  <si>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</si>
  <si>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</si>
  <si>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</si>
  <si>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</si>
  <si>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</si>
  <si>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</si>
  <si>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</si>
  <si>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</si>
  <si>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</si>
  <si>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</si>
  <si>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</si>
  <si>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</si>
  <si>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</si>
  <si>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</si>
  <si>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</si>
  <si>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</si>
  <si>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</si>
  <si>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</si>
  <si>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</si>
  <si>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</si>
  <si>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</si>
  <si>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</si>
  <si>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</si>
  <si>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</si>
  <si>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</si>
  <si>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</si>
  <si>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</si>
  <si>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</si>
  <si>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</si>
  <si>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</si>
  <si>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</si>
  <si>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</si>
  <si>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</si>
  <si>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</si>
  <si>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</si>
  <si>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</si>
  <si>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</si>
  <si>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</si>
  <si>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</si>
  <si>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</si>
  <si>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</si>
  <si>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</si>
  <si>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</si>
  <si>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</si>
  <si>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</si>
  <si>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</si>
  <si>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</si>
  <si>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</si>
  <si>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</si>
  <si>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</si>
  <si>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</si>
  <si>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</si>
  <si>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</si>
  <si>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</si>
  <si>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</si>
  <si>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</si>
  <si>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</si>
  <si>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</si>
  <si>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</si>
  <si>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</si>
  <si>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</si>
  <si>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</si>
  <si>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</si>
  <si>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</si>
  <si>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</si>
  <si>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</si>
  <si>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</si>
  <si>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</si>
  <si>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</si>
  <si>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</si>
  <si>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</si>
  <si>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</si>
  <si>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</si>
  <si>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</si>
  <si>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</si>
  <si>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</si>
  <si>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</si>
  <si>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</si>
  <si>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</si>
  <si>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</si>
  <si>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</si>
  <si>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</si>
  <si>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</si>
  <si>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</si>
  <si>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</si>
  <si>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</si>
  <si>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</si>
  <si>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</si>
  <si>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</si>
  <si>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</si>
  <si>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</si>
  <si>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</si>
  <si>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</si>
  <si>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</si>
  <si>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</si>
  <si>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</si>
  <si>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</si>
  <si>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</si>
  <si>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</si>
  <si>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</si>
  <si>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</si>
  <si>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</si>
  <si>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</si>
  <si>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</si>
  <si>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</si>
  <si>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</si>
  <si>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</si>
  <si>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</si>
  <si>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</si>
  <si>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</si>
  <si>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</si>
  <si>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</si>
  <si>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</si>
  <si>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</si>
  <si>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</si>
  <si>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</si>
  <si>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</si>
  <si>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</si>
  <si>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</si>
  <si>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</si>
  <si>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</si>
  <si>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</si>
  <si>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</si>
  <si>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</si>
  <si>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</si>
  <si>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</si>
  <si>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</si>
  <si>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</si>
  <si>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</si>
  <si>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</si>
  <si>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</si>
  <si>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</si>
  <si>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</si>
  <si>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</si>
  <si>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</si>
  <si>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</si>
  <si>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</si>
  <si>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</si>
  <si>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</si>
  <si>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</si>
  <si>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</si>
  <si>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</si>
  <si>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</si>
  <si>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</si>
  <si>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</si>
  <si>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</si>
  <si>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</si>
  <si>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</si>
  <si>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</si>
  <si>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</si>
  <si>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</si>
  <si>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</si>
  <si>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</si>
  <si>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</si>
  <si>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</si>
  <si>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</si>
  <si>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</si>
  <si>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</si>
  <si>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</si>
  <si>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</si>
  <si>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</si>
  <si>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</si>
  <si>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</si>
  <si>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</si>
  <si>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</si>
  <si>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</si>
  <si>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</si>
  <si>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</si>
  <si>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</si>
  <si>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</si>
  <si>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</si>
  <si>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</si>
  <si>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</si>
  <si>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</si>
  <si>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</si>
  <si>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</si>
  <si>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</si>
  <si>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</si>
  <si>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</si>
  <si>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</si>
  <si>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</si>
  <si>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</si>
  <si>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</si>
  <si>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</si>
  <si>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</si>
  <si>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</si>
  <si>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</si>
  <si>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</si>
  <si>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</si>
  <si>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</si>
  <si>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</si>
  <si>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</si>
  <si>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</si>
  <si>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</si>
  <si>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</si>
  <si>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</si>
  <si>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</si>
  <si>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</si>
  <si>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</si>
  <si>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</si>
  <si>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</si>
  <si>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</si>
  <si>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</si>
  <si>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</si>
  <si>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</si>
  <si>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</si>
  <si>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</si>
  <si>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</si>
  <si>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</si>
  <si>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</si>
  <si>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</si>
  <si>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</si>
  <si>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</si>
  <si>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</si>
  <si>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</si>
  <si>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</si>
  <si>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</si>
  <si>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</si>
  <si>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</si>
  <si>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</si>
  <si>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</si>
  <si>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</si>
  <si>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</si>
  <si>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</si>
  <si>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</si>
  <si>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</si>
  <si>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</si>
  <si>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</si>
  <si>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</si>
  <si>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</si>
  <si>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</si>
  <si>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</si>
  <si>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</si>
  <si>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</si>
  <si>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</si>
  <si>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</si>
  <si>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</si>
  <si>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</si>
  <si>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</si>
  <si>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</si>
  <si>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</si>
  <si>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</si>
  <si>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</si>
  <si>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</si>
  <si>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</si>
  <si>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</si>
  <si>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</si>
  <si>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</si>
  <si>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</si>
  <si>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</si>
  <si>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</si>
  <si>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</si>
  <si>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</si>
  <si>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</si>
  <si>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</si>
  <si>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</si>
  <si>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</si>
  <si>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</si>
  <si>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</si>
  <si>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</si>
  <si>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</si>
  <si>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</si>
  <si>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</si>
  <si>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</si>
  <si>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</si>
  <si>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</si>
  <si>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</si>
  <si>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</si>
  <si>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</si>
  <si>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</si>
  <si>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</si>
  <si>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</si>
  <si>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</si>
  <si>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</si>
  <si>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</si>
  <si>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</si>
  <si>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</si>
  <si>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</si>
  <si>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</si>
  <si>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</si>
  <si>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</si>
  <si>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</si>
  <si>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</si>
  <si>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</si>
  <si>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</si>
  <si>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</si>
  <si>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</si>
  <si>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</si>
  <si>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</si>
  <si>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</si>
  <si>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</si>
  <si>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</si>
  <si>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</si>
  <si>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</si>
  <si>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</si>
  <si>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</si>
  <si>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</si>
  <si>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</si>
  <si>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</si>
  <si>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</si>
  <si>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</si>
  <si>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</si>
  <si>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</si>
  <si>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</si>
  <si>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</si>
  <si>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</si>
  <si>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</si>
  <si>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</si>
  <si>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</si>
  <si>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</si>
  <si>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</si>
  <si>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</si>
  <si>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</si>
  <si>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</si>
  <si>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</si>
  <si>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</si>
  <si>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</si>
  <si>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</si>
  <si>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</si>
  <si>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</si>
  <si>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</si>
  <si>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</si>
  <si>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</si>
  <si>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</si>
  <si>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</si>
  <si>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</si>
  <si>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</si>
  <si>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</si>
  <si>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</si>
  <si>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</si>
  <si>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</si>
  <si>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</si>
  <si>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</si>
  <si>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</si>
  <si>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</si>
  <si>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</si>
  <si>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</si>
  <si>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</si>
  <si>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</si>
  <si>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</si>
  <si>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</si>
  <si>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</si>
  <si>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</si>
  <si>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</si>
  <si>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</si>
  <si>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</si>
  <si>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</si>
  <si>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</si>
  <si>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</si>
  <si>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</si>
  <si>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</si>
  <si>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</si>
  <si>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</si>
  <si>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</si>
  <si>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</si>
  <si>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</si>
  <si>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</si>
  <si>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</si>
  <si>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</si>
  <si>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</si>
  <si>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</si>
  <si>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</si>
  <si>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</si>
  <si>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</si>
  <si>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</si>
  <si>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</si>
  <si>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</si>
  <si>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</si>
  <si>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</si>
  <si>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</si>
  <si>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</si>
  <si>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</si>
  <si>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</si>
  <si>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</si>
  <si>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</si>
  <si>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</si>
  <si>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</si>
  <si>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</si>
  <si>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</si>
  <si>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</si>
  <si>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</si>
  <si>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</si>
  <si>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</si>
  <si>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</si>
  <si>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</si>
  <si>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</si>
  <si>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</si>
  <si>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</si>
  <si>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</si>
  <si>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</si>
  <si>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</si>
  <si>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</si>
  <si>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</si>
  <si>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</si>
  <si>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</si>
  <si>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</si>
  <si>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</si>
  <si>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</si>
  <si>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</si>
  <si>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</si>
  <si>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</si>
  <si>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</si>
  <si>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</si>
  <si>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</si>
  <si>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</si>
  <si>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</si>
  <si>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</si>
  <si>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</si>
  <si>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</si>
  <si>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</si>
  <si>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</si>
  <si>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</si>
  <si>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</si>
  <si>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</si>
  <si>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</si>
  <si>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</si>
  <si>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</si>
  <si>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</si>
  <si>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</si>
  <si>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</si>
  <si>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</si>
  <si>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</si>
  <si>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</si>
  <si>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</si>
  <si>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</si>
  <si>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</si>
  <si>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</si>
  <si>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</si>
  <si>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</si>
  <si>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</si>
  <si>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</si>
  <si>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</si>
  <si>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</si>
  <si>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</si>
  <si>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</si>
  <si>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</si>
  <si>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</si>
  <si>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</si>
  <si>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</si>
  <si>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</si>
  <si>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</si>
  <si>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</si>
  <si>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</si>
  <si>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</si>
  <si>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</si>
  <si>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</si>
  <si>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</si>
  <si>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</si>
  <si>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</si>
  <si>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</si>
  <si>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</si>
  <si>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</si>
  <si>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</si>
  <si>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</si>
  <si>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</si>
  <si>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</si>
  <si>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</si>
  <si>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</si>
  <si>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</si>
  <si>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</si>
  <si>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</si>
  <si>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</si>
  <si>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</si>
  <si>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</si>
  <si>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</si>
  <si>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</si>
  <si>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</si>
  <si>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</si>
  <si>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</si>
  <si>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</si>
  <si>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</si>
  <si>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</si>
  <si>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</si>
  <si>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</si>
  <si>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</si>
  <si>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</si>
  <si>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</si>
  <si>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</si>
  <si>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</si>
  <si>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</si>
  <si>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</si>
  <si>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</si>
  <si>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</si>
  <si>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</si>
  <si>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</si>
  <si>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</si>
  <si>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</si>
  <si>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</si>
  <si>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</si>
  <si>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</si>
  <si>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</si>
  <si>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</si>
  <si>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</si>
  <si>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</si>
  <si>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</si>
  <si>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</si>
  <si>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</si>
  <si>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</si>
  <si>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</si>
  <si>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</si>
  <si>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</si>
  <si>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</si>
  <si>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</si>
  <si>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</si>
  <si>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</si>
  <si>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</si>
  <si>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</si>
  <si>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</si>
  <si>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</si>
  <si>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</si>
  <si>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</si>
  <si>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</si>
  <si>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</si>
  <si>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</si>
  <si>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</si>
  <si>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</si>
  <si>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</si>
  <si>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</si>
  <si>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</si>
  <si>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</si>
  <si>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</si>
  <si>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</si>
  <si>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</si>
  <si>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</si>
  <si>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</si>
  <si>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</si>
  <si>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</si>
  <si>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</si>
  <si>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</si>
  <si>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</si>
  <si>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</si>
  <si>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</si>
  <si>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</si>
  <si>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</si>
  <si>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</si>
  <si>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</si>
  <si>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</si>
  <si>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</si>
  <si>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</si>
  <si>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</si>
  <si>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</si>
  <si>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</si>
  <si>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</si>
  <si>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</si>
  <si>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</si>
  <si>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</si>
  <si>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</si>
  <si>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</si>
  <si>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</si>
  <si>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</si>
  <si>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</si>
  <si>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</si>
  <si>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</si>
  <si>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</si>
  <si>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</si>
  <si>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</si>
  <si>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</si>
  <si>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</si>
  <si>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</si>
  <si>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</si>
  <si>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</si>
  <si>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</si>
  <si>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</si>
  <si>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</si>
  <si>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</si>
  <si>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</si>
  <si>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</si>
  <si>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</si>
  <si>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</si>
  <si>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</si>
  <si>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</si>
  <si>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</si>
  <si>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</si>
  <si>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</si>
  <si>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</si>
  <si>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</si>
  <si>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</si>
  <si>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</si>
  <si>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</si>
  <si>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</si>
  <si>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</si>
  <si>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</si>
  <si>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</si>
  <si>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</si>
  <si>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</si>
  <si>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</si>
  <si>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</si>
  <si>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</si>
  <si>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</si>
  <si>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</si>
  <si>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</si>
  <si>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</si>
  <si>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</si>
  <si>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</si>
  <si>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</si>
  <si>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</si>
  <si>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</si>
  <si>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</si>
  <si>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</si>
  <si>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</si>
  <si>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</si>
  <si>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</si>
  <si>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</si>
  <si>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</si>
  <si>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</si>
  <si>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</si>
  <si>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</si>
  <si>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</si>
  <si>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</si>
  <si>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</si>
  <si>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</si>
  <si>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</si>
  <si>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</si>
  <si>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</si>
  <si>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</si>
  <si>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</si>
  <si>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</si>
  <si>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</si>
  <si>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</si>
  <si>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</si>
  <si>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</si>
  <si>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</si>
  <si>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</si>
  <si>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</si>
  <si>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</si>
  <si>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</si>
  <si>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</si>
  <si>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</si>
  <si>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</si>
  <si>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</si>
  <si>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</si>
  <si>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</si>
  <si>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</si>
  <si>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</si>
  <si>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</si>
  <si>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</si>
  <si>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</si>
  <si>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</si>
  <si>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</si>
  <si>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</si>
  <si>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</si>
  <si>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</si>
  <si>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</si>
  <si>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</si>
  <si>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</si>
  <si>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</si>
  <si>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</si>
  <si>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</si>
  <si>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</si>
  <si>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</si>
  <si>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</si>
  <si>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</si>
  <si>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</si>
  <si>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</si>
  <si>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</si>
  <si>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</si>
  <si>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</si>
  <si>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</si>
  <si>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</si>
  <si>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</si>
  <si>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</si>
  <si>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</si>
  <si>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</si>
  <si>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</si>
  <si>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</si>
  <si>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</si>
  <si>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</si>
  <si>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</si>
  <si>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</si>
  <si>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</si>
  <si>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</si>
  <si>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</si>
  <si>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</si>
  <si>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</si>
  <si>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</si>
  <si>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</si>
  <si>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</si>
  <si>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</si>
  <si>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</si>
  <si>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</si>
  <si>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</si>
  <si>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</si>
  <si>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</si>
  <si>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</si>
  <si>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</si>
  <si>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</si>
  <si>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</si>
  <si>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</si>
  <si>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</si>
  <si>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</si>
  <si>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</si>
  <si>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</si>
  <si>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</si>
  <si>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</si>
  <si>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</si>
  <si>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</si>
  <si>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</si>
  <si>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</si>
  <si>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</si>
  <si>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</si>
  <si>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</si>
  <si>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</si>
  <si>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</si>
  <si>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</si>
  <si>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</si>
  <si>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</si>
  <si>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</si>
  <si>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</si>
  <si>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</si>
  <si>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</si>
  <si>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</si>
  <si>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</si>
  <si>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</si>
  <si>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</si>
  <si>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</si>
  <si>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</si>
  <si>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</si>
  <si>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</si>
  <si>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</si>
  <si>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</si>
  <si>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</si>
  <si>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</si>
  <si>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</si>
  <si>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</si>
  <si>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</si>
  <si>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</si>
  <si>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</si>
  <si>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</si>
  <si>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</si>
  <si>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</si>
  <si>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</si>
  <si>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</si>
  <si>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</si>
  <si>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</si>
  <si>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</si>
  <si>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</si>
  <si>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</si>
  <si>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</si>
  <si>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</si>
  <si>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</si>
  <si>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</si>
  <si>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</si>
  <si>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</si>
  <si>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</si>
  <si>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</si>
  <si>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</si>
  <si>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</si>
  <si>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</si>
  <si>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</si>
  <si>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</si>
  <si>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</si>
  <si>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</si>
  <si>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</si>
  <si>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</si>
  <si>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</si>
  <si>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</si>
  <si>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</si>
  <si>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</si>
  <si>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</si>
  <si>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</si>
  <si>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</si>
  <si>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</si>
  <si>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</si>
  <si>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</si>
  <si>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</si>
  <si>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</si>
  <si>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</si>
  <si>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</si>
  <si>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</si>
  <si>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</si>
  <si>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</si>
  <si>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</si>
  <si>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</si>
  <si>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</si>
  <si>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</si>
  <si>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</si>
  <si>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</si>
  <si>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</si>
  <si>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</si>
  <si>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</si>
  <si>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</si>
  <si>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</si>
  <si>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</si>
  <si>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</si>
  <si>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</si>
  <si>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</si>
  <si>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</si>
  <si>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</si>
  <si>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</si>
  <si>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</si>
  <si>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</si>
  <si>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</si>
  <si>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</si>
  <si>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</si>
  <si>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</si>
  <si>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</si>
  <si>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</si>
  <si>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</si>
  <si>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</si>
  <si>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</si>
  <si>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</si>
  <si>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</si>
  <si>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</si>
  <si>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</si>
  <si>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</si>
  <si>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</si>
  <si>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</si>
  <si>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</si>
  <si>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</si>
  <si>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</si>
  <si>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</si>
  <si>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</si>
  <si>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</si>
  <si>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</si>
  <si>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</si>
  <si>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</si>
  <si>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</si>
  <si>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</si>
  <si>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</si>
  <si>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</si>
  <si>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</si>
  <si>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</si>
  <si>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</si>
  <si>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</si>
  <si>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</si>
  <si>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</si>
  <si>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</si>
  <si>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</si>
  <si>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</si>
  <si>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</si>
  <si>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</si>
  <si>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</si>
  <si>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</si>
  <si>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</si>
  <si>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</si>
  <si>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</si>
  <si>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</si>
  <si>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</si>
  <si>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</si>
  <si>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</si>
  <si>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</si>
  <si>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</si>
  <si>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</si>
  <si>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</si>
  <si>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</si>
  <si>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</si>
  <si>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</si>
  <si>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</si>
  <si>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</si>
  <si>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</si>
  <si>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</si>
  <si>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</si>
  <si>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</si>
  <si>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</si>
  <si>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</si>
  <si>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</si>
  <si>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</si>
  <si>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</si>
  <si>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</si>
  <si>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</si>
  <si>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</si>
  <si>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</si>
  <si>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</si>
  <si>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</si>
  <si>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</si>
  <si>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</si>
  <si>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</si>
  <si>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</si>
  <si>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</si>
  <si>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</si>
  <si>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</si>
  <si>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</si>
  <si>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</si>
  <si>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</si>
  <si>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</si>
  <si>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</si>
  <si>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</si>
  <si>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</si>
  <si>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</si>
  <si>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</si>
  <si>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</si>
  <si>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</si>
  <si>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</si>
  <si>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</si>
  <si>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</si>
  <si>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</si>
  <si>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</si>
  <si>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</si>
  <si>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</si>
  <si>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</si>
  <si>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</si>
  <si>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</si>
  <si>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</si>
  <si>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</si>
  <si>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</si>
  <si>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</si>
  <si>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</si>
  <si>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</si>
  <si>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</si>
  <si>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</si>
  <si>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</si>
  <si>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</si>
  <si>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</si>
  <si>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</si>
  <si>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</si>
  <si>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</si>
  <si>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</si>
  <si>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</si>
  <si>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</si>
  <si>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</si>
  <si>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</si>
  <si>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</si>
  <si>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</si>
  <si>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</si>
  <si>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</si>
  <si>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</si>
  <si>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</si>
  <si>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</si>
  <si>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</si>
  <si>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</si>
  <si>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</si>
  <si>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</si>
  <si>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</si>
  <si>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</si>
  <si>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</si>
  <si>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</si>
  <si>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</si>
  <si>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</si>
  <si>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</si>
  <si>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</si>
  <si>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</si>
  <si>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</si>
  <si>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</si>
  <si>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</si>
  <si>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</si>
  <si>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</si>
  <si>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</si>
  <si>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</si>
  <si>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</si>
  <si>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</si>
  <si>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</si>
  <si>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</si>
  <si>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</si>
  <si>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</si>
  <si>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</si>
  <si>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</si>
  <si>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</si>
  <si>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</si>
  <si>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</si>
  <si>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</si>
  <si>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</si>
  <si>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</si>
  <si>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</si>
  <si>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</si>
  <si>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</si>
  <si>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</si>
  <si>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</si>
  <si>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</si>
  <si>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</si>
  <si>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</si>
  <si>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</si>
  <si>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</si>
  <si>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</si>
  <si>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</si>
  <si>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</si>
  <si>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</si>
  <si>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</si>
  <si>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</si>
  <si>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</si>
  <si>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</si>
  <si>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</si>
  <si>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</si>
  <si>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</si>
  <si>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</si>
  <si>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</si>
  <si>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</si>
  <si>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</si>
  <si>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</si>
  <si>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</si>
  <si>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</si>
  <si>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</si>
  <si>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</si>
  <si>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</si>
  <si>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</si>
  <si>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</si>
  <si>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</si>
  <si>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</si>
  <si>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</si>
  <si>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</si>
  <si>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</si>
  <si>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</si>
  <si>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</si>
  <si>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</si>
  <si>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</si>
  <si>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</si>
  <si>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</si>
  <si>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</si>
  <si>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</si>
  <si>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</si>
  <si>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</si>
  <si>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</si>
  <si>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</si>
  <si>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</si>
  <si>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</si>
  <si>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</si>
  <si>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</si>
  <si>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</si>
  <si>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</si>
  <si>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</si>
  <si>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</si>
  <si>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</si>
  <si>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</si>
  <si>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</si>
  <si>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</si>
  <si>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</si>
  <si>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</si>
  <si>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</si>
  <si>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</si>
  <si>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</si>
  <si>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</si>
  <si>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</si>
  <si>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</si>
  <si>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</si>
  <si>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</si>
  <si>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</si>
  <si>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</si>
  <si>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</si>
  <si>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</si>
  <si>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</si>
  <si>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</si>
  <si>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</si>
  <si>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</si>
  <si>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</si>
  <si>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</si>
  <si>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</si>
  <si>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</si>
  <si>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</si>
  <si>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</si>
  <si>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</si>
  <si>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</si>
  <si>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</si>
  <si>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</si>
  <si>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</si>
  <si>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</si>
  <si>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</si>
  <si>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</si>
  <si>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</si>
  <si>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</si>
  <si>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</si>
  <si>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</si>
  <si>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</si>
  <si>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</si>
  <si>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</si>
  <si>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</si>
  <si>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</si>
  <si>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</si>
  <si>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</si>
  <si>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</si>
  <si>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</si>
  <si>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</si>
  <si>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</si>
  <si>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</si>
  <si>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</si>
  <si>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</si>
  <si>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</si>
  <si>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</si>
  <si>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</si>
  <si>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</si>
  <si>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</si>
  <si>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</si>
  <si>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</si>
  <si>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</si>
  <si>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</si>
  <si>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</si>
  <si>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</si>
  <si>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</si>
  <si>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</si>
  <si>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</si>
  <si>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</si>
  <si>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</si>
  <si>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</si>
  <si>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</si>
  <si>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</si>
  <si>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</si>
  <si>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</si>
  <si>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</si>
  <si>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</si>
  <si>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</si>
  <si>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</si>
  <si>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</si>
  <si>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</si>
  <si>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</si>
  <si>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</si>
  <si>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</si>
  <si>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</si>
  <si>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</si>
  <si>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</si>
  <si>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</si>
  <si>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</si>
  <si>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</si>
  <si>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</si>
  <si>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</si>
  <si>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</si>
  <si>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</si>
  <si>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</si>
  <si>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</si>
  <si>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</si>
  <si>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</si>
  <si>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</si>
  <si>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</si>
  <si>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</si>
  <si>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</si>
  <si>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</si>
  <si>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</si>
  <si>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</si>
  <si>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</si>
  <si>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</si>
  <si>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</si>
  <si>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</si>
  <si>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</si>
  <si>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</si>
  <si>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</si>
  <si>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</si>
  <si>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</si>
  <si>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</si>
  <si>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</si>
  <si>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</si>
  <si>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</si>
  <si>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</si>
  <si>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</si>
  <si>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</si>
  <si>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</si>
  <si>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</si>
  <si>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</si>
  <si>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</si>
  <si>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</si>
  <si>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</si>
  <si>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</si>
  <si>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</si>
  <si>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</si>
  <si>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</si>
  <si>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</si>
  <si>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</si>
  <si>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</si>
  <si>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</si>
  <si>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</si>
  <si>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</si>
  <si>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</si>
  <si>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</si>
  <si>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</si>
  <si>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</si>
  <si>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</si>
  <si>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</si>
  <si>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</si>
  <si>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</si>
  <si>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</si>
  <si>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</si>
  <si>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</si>
  <si>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</si>
  <si>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</si>
  <si>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</si>
  <si>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</si>
  <si>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</si>
  <si>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</si>
  <si>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</si>
  <si>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</si>
  <si>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</si>
  <si>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</si>
  <si>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</si>
  <si>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</si>
  <si>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</si>
  <si>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</si>
  <si>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</si>
  <si>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</si>
  <si>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</si>
  <si>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</si>
  <si>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</si>
  <si>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</si>
  <si>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</si>
  <si>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</si>
  <si>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</si>
  <si>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</si>
  <si>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</si>
  <si>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</si>
  <si>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</si>
  <si>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</si>
  <si>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</si>
  <si>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</si>
  <si>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</si>
  <si>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</si>
  <si>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</si>
  <si>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</si>
  <si>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</si>
  <si>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</si>
  <si>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</si>
  <si>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</si>
  <si>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</si>
  <si>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</si>
  <si>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</si>
  <si>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</si>
  <si>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</si>
  <si>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</si>
  <si>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</si>
  <si>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</si>
  <si>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</si>
  <si>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</si>
  <si>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</si>
  <si>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</si>
  <si>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</si>
  <si>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</si>
  <si>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</si>
  <si>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</si>
  <si>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</si>
  <si>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</si>
  <si>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</si>
  <si>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</si>
  <si>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</si>
  <si>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</si>
  <si>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</si>
  <si>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</si>
  <si>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</si>
  <si>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</si>
  <si>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</si>
  <si>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</si>
  <si>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</si>
  <si>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</si>
  <si>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</si>
  <si>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</si>
  <si>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</si>
  <si>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</si>
  <si>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</si>
  <si>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</si>
  <si>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</si>
  <si>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</si>
  <si>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</si>
  <si>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</si>
  <si>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</si>
  <si>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</si>
  <si>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</si>
  <si>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</si>
  <si>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</si>
  <si>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</si>
  <si>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</si>
  <si>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</si>
  <si>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</si>
  <si>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</si>
  <si>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</si>
  <si>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</si>
  <si>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</si>
  <si>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</si>
  <si>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</si>
  <si>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</si>
  <si>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</si>
  <si>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</si>
  <si>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</si>
  <si>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</si>
  <si>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</si>
  <si>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</si>
  <si>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</si>
  <si>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</si>
  <si>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</si>
  <si>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</si>
  <si>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</si>
  <si>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</si>
  <si>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</si>
  <si>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</si>
  <si>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</si>
  <si>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</si>
  <si>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</si>
  <si>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</si>
  <si>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</si>
  <si>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</si>
  <si>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</si>
  <si>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</si>
  <si>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</si>
  <si>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</si>
  <si>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</si>
  <si>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</si>
  <si>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</si>
  <si>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</si>
  <si>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</si>
  <si>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</si>
  <si>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</si>
  <si>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</si>
  <si>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</si>
  <si>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</si>
  <si>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</si>
  <si>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</si>
  <si>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</si>
  <si>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</si>
  <si>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</si>
  <si>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</si>
  <si>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</si>
  <si>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</si>
  <si>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</si>
  <si>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</si>
  <si>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</si>
  <si>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</si>
  <si>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</si>
  <si>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</si>
  <si>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</si>
  <si>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</si>
  <si>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</si>
  <si>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</si>
  <si>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</si>
  <si>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</si>
  <si>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</si>
  <si>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</si>
  <si>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</si>
  <si>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</si>
  <si>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</si>
  <si>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</si>
  <si>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</si>
  <si>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</si>
  <si>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</si>
  <si>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</si>
  <si>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</si>
  <si>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</si>
  <si>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</si>
  <si>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</si>
  <si>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</si>
  <si>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</si>
  <si>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</si>
  <si>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</si>
  <si>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</si>
  <si>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</si>
  <si>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</si>
  <si>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</si>
  <si>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</si>
  <si>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</si>
  <si>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</si>
  <si>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</si>
  <si>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</si>
  <si>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</si>
  <si>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</si>
  <si>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</si>
  <si>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</si>
  <si>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</si>
  <si>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</si>
  <si>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</si>
  <si>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</si>
  <si>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</si>
  <si>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</si>
  <si>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</si>
  <si>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</si>
  <si>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</si>
  <si>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</si>
  <si>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</si>
  <si>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</si>
  <si>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</si>
  <si>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</si>
  <si>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</si>
  <si>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</si>
  <si>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</si>
  <si>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</si>
  <si>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</si>
  <si>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</si>
  <si>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</si>
  <si>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</si>
  <si>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</si>
  <si>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</si>
  <si>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</si>
  <si>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</si>
  <si>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</si>
  <si>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</si>
  <si>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</si>
  <si>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</si>
  <si>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</si>
  <si>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</si>
  <si>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</si>
  <si>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</si>
  <si>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</si>
  <si>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</si>
  <si>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</si>
  <si>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</si>
  <si>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</si>
  <si>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</si>
  <si>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</si>
  <si>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</si>
  <si>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</si>
  <si>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</si>
  <si>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</si>
  <si>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</si>
  <si>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</si>
  <si>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</si>
  <si>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</si>
  <si>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</si>
  <si>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</si>
  <si>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</si>
  <si>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</si>
  <si>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</si>
  <si>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</si>
  <si>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</si>
  <si>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</si>
  <si>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</si>
  <si>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</si>
  <si>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</si>
  <si>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</si>
  <si>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</si>
  <si>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</si>
  <si>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</si>
  <si>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</si>
  <si>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</si>
  <si>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</si>
  <si>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</si>
  <si>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</si>
  <si>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</si>
  <si>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</si>
  <si>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</si>
  <si>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</si>
  <si>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</si>
  <si>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</si>
  <si>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</si>
  <si>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</si>
  <si>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</si>
  <si>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</si>
  <si>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</si>
  <si>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</si>
  <si>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</si>
  <si>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</si>
  <si>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</si>
  <si>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</si>
  <si>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</si>
  <si>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</si>
  <si>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</si>
  <si>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</si>
  <si>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</si>
  <si>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</si>
  <si>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</si>
  <si>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</si>
  <si>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</si>
  <si>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</si>
  <si>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</si>
  <si>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</si>
  <si>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</si>
  <si>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</si>
  <si>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</si>
  <si>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</si>
  <si>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</si>
  <si>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</si>
  <si>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</si>
  <si>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</si>
  <si>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</si>
  <si>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</si>
  <si>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</si>
  <si>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</si>
  <si>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</si>
  <si>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</si>
  <si>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</si>
  <si>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</si>
  <si>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</si>
  <si>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</si>
  <si>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</si>
  <si>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</si>
  <si>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</si>
  <si>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</si>
  <si>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</si>
  <si>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</si>
  <si>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</si>
  <si>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</si>
  <si>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</si>
  <si>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</si>
  <si>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</si>
  <si>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</si>
  <si>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</si>
  <si>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</si>
  <si>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</si>
  <si>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</si>
  <si>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</si>
  <si>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</si>
  <si>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</si>
  <si>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</si>
  <si>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</si>
  <si>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</si>
  <si>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</si>
  <si>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</si>
  <si>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</si>
  <si>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</si>
  <si>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</si>
  <si>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</si>
  <si>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</si>
  <si>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</si>
  <si>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</si>
  <si>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</si>
  <si>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</si>
  <si>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</si>
  <si>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</si>
  <si>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</si>
  <si>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</si>
  <si>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</si>
  <si>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</si>
  <si>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</si>
  <si>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</si>
  <si>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</si>
  <si>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</si>
  <si>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</si>
  <si>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</si>
  <si>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</si>
  <si>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</si>
  <si>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</si>
  <si>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</si>
  <si>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</si>
  <si>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</si>
  <si>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</si>
  <si>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</si>
  <si>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</si>
  <si>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</si>
  <si>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</si>
  <si>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</si>
  <si>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</si>
  <si>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</si>
  <si>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</si>
  <si>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</si>
  <si>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</si>
  <si>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</si>
  <si>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</si>
  <si>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</si>
  <si>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</si>
  <si>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</si>
  <si>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</si>
  <si>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</si>
  <si>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</si>
  <si>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</si>
  <si>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</si>
  <si>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</si>
  <si>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</si>
  <si>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</si>
  <si>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</si>
  <si>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</si>
  <si>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</si>
  <si>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</si>
  <si>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</si>
  <si>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</si>
  <si>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</si>
  <si>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</si>
  <si>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</si>
  <si>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</si>
  <si>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</si>
  <si>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</si>
  <si>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</si>
  <si>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</si>
  <si>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</si>
  <si>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</si>
  <si>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</si>
  <si>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</si>
  <si>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</si>
  <si>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</si>
  <si>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</si>
  <si>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</si>
  <si>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</si>
  <si>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</si>
  <si>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</si>
  <si>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</si>
  <si>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</si>
  <si>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</si>
  <si>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</si>
  <si>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</si>
  <si>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</si>
  <si>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</si>
  <si>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</si>
  <si>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</si>
  <si>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</si>
  <si>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</si>
  <si>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</si>
  <si>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</si>
  <si>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</si>
  <si>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</si>
  <si>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</si>
  <si>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</si>
  <si>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</si>
  <si>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</si>
  <si>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</si>
  <si>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</si>
  <si>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</si>
  <si>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</si>
  <si>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</si>
  <si>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</si>
  <si>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</si>
  <si>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</si>
  <si>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</si>
  <si>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</si>
  <si>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</si>
  <si>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</si>
  <si>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</si>
  <si>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</si>
  <si>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</si>
  <si>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</si>
  <si>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</si>
  <si>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</si>
  <si>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</si>
  <si>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</si>
  <si>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</si>
  <si>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</si>
  <si>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</si>
  <si>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</si>
  <si>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</si>
  <si>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</si>
  <si>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</si>
  <si>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</si>
  <si>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</si>
  <si>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</si>
  <si>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</si>
  <si>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</si>
  <si>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</si>
  <si>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</si>
  <si>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</si>
  <si>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</si>
  <si>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</si>
  <si>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</si>
  <si>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</si>
  <si>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</si>
  <si>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</si>
  <si>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</si>
  <si>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</si>
  <si>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</si>
  <si>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</si>
  <si>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</si>
  <si>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</si>
  <si>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</si>
  <si>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</si>
  <si>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</si>
  <si>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</si>
  <si>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</si>
  <si>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</si>
  <si>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</si>
  <si>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</si>
  <si>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</si>
  <si>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</si>
  <si>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</si>
  <si>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</si>
  <si>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</si>
  <si>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</si>
  <si>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</si>
  <si>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</si>
  <si>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</si>
  <si>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</si>
  <si>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</si>
  <si>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</si>
  <si>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</si>
  <si>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</si>
  <si>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</si>
  <si>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</si>
  <si>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</si>
  <si>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</si>
  <si>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</si>
  <si>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</si>
  <si>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</si>
  <si>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</si>
  <si>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</si>
  <si>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</si>
  <si>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</si>
  <si>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</si>
  <si>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</si>
  <si>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</si>
  <si>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</si>
  <si>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</si>
  <si>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</si>
  <si>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</si>
  <si>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</si>
  <si>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</si>
  <si>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</si>
  <si>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</si>
  <si>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</si>
  <si>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</si>
  <si>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</si>
  <si>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</si>
  <si>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</si>
  <si>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</si>
  <si>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</si>
  <si>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</si>
  <si>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</si>
  <si>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</si>
  <si>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</si>
  <si>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</si>
  <si>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</si>
  <si>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</si>
  <si>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</si>
  <si>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</si>
  <si>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</si>
  <si>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</si>
  <si>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</si>
  <si>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</si>
  <si>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</si>
  <si>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</si>
  <si>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</si>
  <si>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</si>
  <si>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</si>
  <si>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</si>
  <si>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</si>
  <si>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</si>
  <si>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</si>
  <si>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</si>
  <si>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</si>
  <si>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</si>
  <si>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</si>
  <si>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</si>
  <si>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</si>
  <si>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</si>
  <si>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</si>
  <si>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</si>
  <si>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</si>
  <si>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</si>
  <si>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</si>
  <si>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</si>
  <si>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</si>
  <si>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</si>
  <si>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</si>
  <si>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</si>
  <si>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</si>
  <si>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</si>
  <si>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</si>
  <si>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</si>
  <si>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</si>
  <si>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</si>
  <si>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</si>
  <si>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</si>
  <si>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</si>
  <si>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</si>
  <si>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</si>
  <si>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</si>
  <si>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</si>
  <si>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</si>
  <si>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</si>
  <si>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</si>
  <si>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</si>
  <si>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</si>
  <si>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</si>
  <si>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</si>
  <si>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</si>
  <si>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</si>
  <si>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</si>
  <si>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</si>
  <si>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</si>
  <si>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</si>
  <si>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</si>
  <si>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</si>
  <si>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</si>
  <si>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</si>
  <si>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</si>
  <si>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</si>
  <si>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</si>
  <si>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</si>
  <si>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</si>
  <si>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</si>
  <si>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</si>
  <si>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</si>
  <si>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</si>
  <si>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</si>
  <si>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</si>
  <si>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</si>
  <si>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</si>
  <si>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</si>
  <si>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</si>
  <si>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</si>
  <si>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</si>
  <si>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</si>
  <si>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</si>
  <si>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</si>
  <si>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</si>
  <si>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</si>
  <si>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</si>
  <si>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</si>
  <si>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</si>
  <si>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</si>
  <si>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</si>
  <si>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</si>
  <si>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</si>
  <si>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</si>
  <si>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</si>
  <si>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</si>
  <si>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</si>
  <si>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</si>
  <si>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</si>
  <si>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</si>
  <si>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</si>
  <si>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</si>
  <si>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</si>
  <si>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</si>
  <si>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</si>
  <si>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</si>
  <si>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</si>
  <si>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</si>
  <si>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</si>
  <si>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</si>
  <si>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</si>
  <si>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</si>
  <si>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</si>
  <si>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</si>
  <si>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</si>
  <si>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</si>
  <si>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</si>
  <si>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</si>
  <si>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</si>
  <si>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</si>
  <si>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</si>
  <si>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</si>
  <si>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</si>
  <si>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</si>
  <si>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</si>
  <si>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</si>
  <si>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</si>
  <si>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</si>
  <si>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</si>
  <si>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</si>
  <si>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</si>
  <si>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</si>
  <si>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</si>
  <si>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</si>
  <si>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</si>
  <si>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</si>
  <si>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</si>
  <si>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</si>
  <si>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</si>
  <si>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</si>
  <si>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</si>
  <si>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</si>
  <si>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</si>
  <si>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</si>
  <si>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</si>
  <si>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</si>
  <si>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</si>
  <si>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</si>
  <si>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</si>
  <si>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</si>
  <si>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</si>
  <si>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</si>
  <si>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</si>
  <si>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</si>
  <si>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</si>
  <si>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</si>
  <si>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</si>
  <si>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</si>
  <si>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</si>
  <si>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</si>
  <si>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</si>
  <si>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</si>
  <si>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</si>
  <si>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</si>
  <si>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</si>
  <si>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</si>
  <si>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</si>
  <si>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</si>
  <si>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</si>
  <si>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</si>
  <si>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</si>
  <si>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</si>
  <si>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</si>
  <si>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</si>
  <si>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</si>
  <si>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</si>
  <si>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</si>
  <si>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</si>
  <si>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</si>
  <si>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</si>
  <si>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</si>
  <si>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</si>
  <si>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</si>
  <si>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</si>
  <si>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</si>
  <si>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</si>
  <si>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</si>
  <si>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</si>
  <si>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</si>
  <si>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</si>
  <si>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</si>
  <si>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</si>
  <si>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</si>
  <si>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</si>
  <si>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</si>
  <si>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</si>
  <si>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</si>
  <si>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</si>
  <si>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</si>
  <si>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</si>
  <si>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</si>
  <si>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</si>
  <si>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</si>
  <si>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</si>
  <si>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</si>
  <si>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</si>
  <si>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</si>
  <si>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</si>
  <si>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</si>
  <si>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</si>
  <si>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</si>
  <si>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</si>
  <si>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</si>
  <si>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</si>
  <si>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</si>
  <si>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</si>
  <si>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</si>
  <si>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</si>
  <si>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</si>
  <si>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</si>
  <si>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</si>
  <si>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</si>
  <si>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</si>
  <si>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</si>
  <si>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</si>
  <si>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</si>
  <si>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</si>
  <si>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</si>
  <si>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</si>
  <si>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</si>
  <si>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</si>
  <si>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</si>
  <si>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</si>
  <si>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</si>
  <si>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</si>
  <si>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</si>
  <si>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</si>
  <si>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</si>
  <si>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</si>
  <si>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</si>
  <si>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</si>
  <si>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</si>
  <si>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</si>
  <si>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</si>
  <si>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</si>
  <si>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</si>
  <si>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</si>
  <si>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</si>
  <si>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</si>
  <si>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</si>
  <si>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</si>
  <si>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</si>
  <si>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</si>
  <si>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</si>
  <si>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</si>
  <si>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</si>
  <si>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</si>
  <si>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</si>
  <si>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</si>
  <si>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</si>
  <si>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</si>
  <si>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</si>
  <si>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</si>
  <si>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</si>
  <si>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</si>
  <si>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</si>
  <si>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</si>
  <si>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</si>
  <si>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</si>
  <si>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</si>
  <si>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</si>
  <si>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</si>
  <si>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</si>
  <si>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</si>
  <si>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</si>
  <si>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</si>
  <si>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</si>
  <si>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</si>
  <si>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</si>
  <si>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</si>
  <si>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</si>
  <si>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</si>
  <si>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</si>
  <si>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</si>
  <si>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</si>
  <si>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</si>
  <si>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</si>
  <si>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</si>
  <si>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</si>
  <si>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</si>
  <si>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</si>
  <si>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</si>
  <si>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</si>
  <si>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</si>
  <si>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</si>
  <si>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</si>
  <si>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</si>
  <si>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</si>
  <si>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</si>
  <si>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</si>
  <si>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</si>
  <si>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</si>
  <si>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</si>
  <si>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</si>
  <si>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</si>
  <si>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</si>
  <si>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</si>
  <si>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</si>
  <si>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</si>
  <si>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</si>
  <si>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</si>
  <si>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</si>
  <si>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</si>
  <si>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</si>
  <si>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</si>
  <si>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</si>
  <si>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</si>
  <si>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</si>
  <si>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</si>
  <si>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</si>
  <si>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</si>
  <si>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</si>
  <si>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</si>
  <si>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</si>
  <si>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</si>
  <si>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</si>
  <si>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</si>
  <si>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</si>
  <si>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</si>
  <si>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</si>
  <si>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</si>
  <si>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</si>
  <si>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</si>
  <si>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</si>
  <si>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</si>
  <si>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</si>
  <si>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</si>
  <si>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</si>
  <si>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</si>
  <si>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</si>
  <si>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</si>
  <si>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</si>
  <si>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</si>
  <si>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</si>
  <si>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</si>
  <si>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</si>
  <si>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</si>
  <si>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</si>
  <si>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</si>
  <si>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</si>
  <si>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</si>
  <si>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</si>
  <si>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</si>
  <si>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</si>
  <si>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</si>
  <si>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</si>
  <si>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</si>
  <si>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</si>
  <si>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</si>
  <si>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</si>
  <si>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</si>
  <si>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</si>
  <si>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</si>
  <si>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</si>
  <si>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</si>
  <si>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</si>
  <si>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</si>
  <si>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</si>
  <si>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</si>
  <si>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</si>
  <si>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</si>
  <si>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</si>
  <si>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</si>
  <si>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</si>
  <si>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</si>
  <si>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</si>
  <si>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</si>
  <si>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</si>
  <si>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</si>
  <si>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</si>
  <si>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</si>
  <si>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</si>
  <si>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</si>
  <si>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</si>
  <si>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</si>
  <si>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</si>
  <si>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</si>
  <si>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</si>
  <si>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</si>
  <si>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</si>
  <si>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</si>
  <si>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</si>
  <si>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</si>
  <si>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</si>
  <si>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</si>
  <si>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</si>
  <si>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</si>
  <si>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</si>
  <si>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</si>
  <si>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</si>
  <si>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</si>
  <si>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</si>
  <si>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</si>
  <si>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</si>
  <si>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</si>
  <si>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</si>
  <si>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</si>
  <si>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</si>
  <si>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</si>
  <si>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</si>
  <si>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</si>
  <si>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</si>
  <si>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</si>
  <si>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</si>
  <si>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</si>
  <si>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</si>
  <si>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</si>
  <si>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</si>
  <si>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</si>
  <si>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</si>
  <si>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</si>
  <si>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</si>
  <si>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</si>
  <si>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</si>
  <si>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</si>
  <si>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</si>
  <si>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</si>
  <si>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</si>
  <si>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</si>
  <si>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</si>
  <si>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</si>
  <si>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</si>
  <si>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</si>
  <si>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</si>
  <si>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</si>
  <si>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</si>
  <si>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</si>
  <si>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</si>
  <si>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</si>
  <si>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</si>
  <si>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</si>
  <si>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</si>
  <si>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</si>
  <si>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</si>
  <si>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</si>
  <si>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</si>
  <si>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</si>
  <si>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</si>
  <si>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</si>
  <si>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</si>
  <si>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</si>
  <si>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</si>
  <si>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</si>
  <si>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</si>
  <si>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</si>
  <si>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</si>
  <si>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</si>
  <si>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</si>
  <si>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</si>
  <si>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</si>
  <si>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</si>
  <si>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</si>
  <si>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</si>
  <si>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</si>
  <si>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</si>
  <si>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</si>
  <si>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</si>
  <si>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</si>
  <si>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</si>
  <si>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</si>
  <si>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</si>
  <si>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</si>
  <si>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</si>
  <si>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</si>
  <si>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</si>
  <si>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</si>
  <si>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</si>
  <si>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</si>
  <si>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</si>
  <si>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</si>
  <si>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</si>
  <si>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</si>
  <si>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</si>
  <si>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</si>
  <si>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</si>
  <si>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</si>
  <si>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</si>
  <si>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</si>
  <si>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</si>
  <si>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</si>
  <si>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</si>
  <si>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</si>
  <si>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</si>
  <si>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</si>
  <si>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</si>
  <si>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</si>
  <si>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</si>
  <si>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</si>
  <si>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</si>
  <si>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</si>
  <si>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</si>
  <si>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</si>
  <si>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</si>
  <si>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</si>
  <si>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</si>
  <si>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</si>
  <si>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</si>
  <si>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</si>
  <si>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</si>
  <si>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</si>
  <si>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</si>
  <si>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</si>
  <si>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</si>
  <si>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</si>
  <si>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</si>
  <si>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</si>
  <si>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</si>
  <si>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</si>
  <si>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</si>
  <si>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</si>
  <si>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</si>
  <si>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</si>
  <si>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</si>
  <si>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</si>
  <si>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</si>
  <si>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</si>
  <si>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</si>
  <si>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</si>
  <si>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</si>
  <si>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</si>
  <si>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</si>
  <si>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</si>
  <si>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</si>
  <si>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</si>
  <si>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</si>
  <si>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</si>
  <si>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</si>
  <si>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</si>
  <si>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</si>
  <si>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</si>
  <si>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</si>
  <si>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</si>
  <si>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</si>
  <si>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</si>
  <si>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</si>
  <si>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</si>
  <si>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</si>
  <si>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</si>
  <si>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</si>
  <si>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</si>
  <si>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</si>
  <si>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</si>
  <si>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</si>
  <si>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</si>
  <si>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</si>
  <si>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</si>
  <si>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</si>
  <si>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</si>
  <si>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</si>
  <si>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</si>
  <si>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</si>
  <si>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</si>
  <si>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</si>
  <si>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</si>
  <si>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</si>
  <si>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</si>
  <si>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</si>
  <si>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</si>
  <si>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</si>
  <si>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</si>
  <si>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</si>
  <si>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</si>
  <si>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</si>
  <si>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</si>
  <si>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</si>
  <si>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</si>
  <si>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</si>
  <si>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</si>
  <si>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</si>
  <si>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</si>
  <si>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</si>
  <si>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</si>
  <si>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</si>
  <si>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</si>
  <si>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</si>
  <si>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</si>
  <si>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</si>
  <si>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</si>
  <si>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</si>
  <si>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</si>
  <si>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</si>
  <si>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</si>
  <si>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</si>
  <si>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</si>
  <si>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</si>
  <si>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</si>
  <si>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</si>
  <si>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</si>
  <si>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</si>
  <si>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</si>
  <si>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</si>
  <si>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</si>
  <si>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</si>
  <si>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</si>
  <si>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</si>
  <si>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</si>
  <si>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</si>
  <si>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</si>
  <si>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</si>
  <si>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</si>
  <si>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</si>
  <si>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</si>
  <si>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</si>
  <si>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</si>
  <si>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</si>
  <si>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</si>
  <si>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</si>
  <si>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</si>
  <si>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</si>
  <si>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</si>
  <si>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</si>
  <si>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</si>
  <si>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</si>
  <si>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</si>
  <si>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</si>
  <si>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</si>
  <si>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</si>
  <si>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</si>
  <si>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</si>
  <si>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</si>
  <si>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</si>
  <si>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</si>
  <si>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</si>
  <si>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</si>
  <si>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</si>
  <si>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</si>
  <si>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</si>
  <si>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</si>
  <si>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</si>
  <si>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</si>
  <si>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</si>
  <si>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</si>
  <si>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</si>
  <si>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</si>
  <si>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</si>
  <si>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</si>
  <si>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</si>
  <si>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</si>
  <si>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</si>
  <si>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</si>
  <si>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</si>
  <si>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</si>
  <si>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</si>
  <si>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</si>
  <si>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</si>
  <si>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</si>
  <si>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</si>
  <si>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</si>
  <si>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</si>
  <si>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</si>
  <si>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</si>
  <si>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</si>
  <si>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</si>
  <si>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</si>
  <si>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</si>
  <si>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</si>
  <si>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</si>
  <si>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</si>
  <si>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</si>
  <si>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</si>
  <si>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</si>
  <si>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</si>
  <si>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</si>
  <si>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</si>
  <si>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</si>
  <si>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</si>
  <si>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</si>
  <si>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</si>
  <si>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</si>
  <si>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</si>
  <si>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</si>
  <si>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</si>
  <si>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</si>
  <si>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</si>
  <si>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</si>
  <si>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</si>
  <si>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</si>
  <si>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</si>
  <si>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</si>
  <si>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</si>
  <si>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</si>
  <si>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</si>
  <si>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</si>
  <si>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</si>
  <si>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</si>
  <si>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</si>
  <si>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</si>
  <si>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</si>
  <si>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</si>
  <si>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</si>
  <si>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</si>
  <si>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</si>
  <si>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</si>
  <si>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</si>
  <si>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</si>
  <si>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</si>
  <si>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</si>
  <si>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</si>
  <si>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</si>
  <si>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</si>
  <si>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</si>
  <si>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</si>
  <si>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</si>
  <si>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</si>
  <si>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</si>
  <si>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</si>
  <si>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</si>
  <si>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</si>
  <si>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</si>
  <si>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</si>
  <si>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</si>
  <si>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</si>
  <si>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</si>
  <si>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</si>
  <si>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</si>
  <si>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</si>
  <si>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</si>
  <si>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</si>
  <si>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</si>
  <si>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</si>
  <si>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</si>
  <si>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</si>
  <si>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</si>
  <si>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</si>
  <si>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</si>
  <si>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</si>
  <si>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</si>
  <si>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</si>
  <si>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</si>
  <si>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</si>
  <si>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</si>
  <si>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</si>
  <si>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</si>
  <si>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</si>
  <si>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</si>
  <si>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</si>
  <si>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</si>
  <si>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</si>
  <si>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</si>
  <si>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</si>
  <si>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</si>
  <si>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</si>
  <si>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</si>
  <si>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</si>
  <si>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</si>
  <si>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</si>
  <si>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</si>
  <si>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</si>
  <si>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</si>
  <si>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</si>
  <si>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</si>
  <si>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</si>
  <si>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</si>
  <si>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</si>
  <si>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</si>
  <si>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</si>
  <si>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</si>
  <si>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</si>
  <si>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</si>
  <si>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</si>
  <si>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</si>
  <si>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</si>
  <si>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</si>
  <si>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</si>
  <si>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</si>
  <si>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</si>
  <si>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</si>
  <si>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</si>
  <si>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</si>
  <si>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</si>
  <si>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</si>
  <si>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</si>
  <si>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</si>
  <si>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</si>
  <si>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</si>
  <si>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</si>
  <si>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</si>
  <si>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</si>
  <si>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</si>
  <si>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</si>
  <si>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</si>
  <si>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</si>
  <si>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</si>
  <si>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</si>
  <si>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</si>
  <si>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</si>
  <si>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</si>
  <si>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</si>
  <si>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</si>
  <si>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</si>
  <si>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</si>
  <si>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</si>
  <si>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</si>
  <si>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</si>
  <si>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</si>
  <si>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</si>
  <si>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</si>
  <si>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</si>
  <si>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</si>
  <si>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</si>
  <si>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</si>
  <si>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</si>
  <si>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</si>
  <si>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</si>
  <si>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</si>
  <si>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</si>
  <si>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</si>
  <si>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</si>
  <si>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</si>
  <si>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</si>
  <si>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</si>
  <si>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</si>
  <si>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</si>
  <si>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</si>
  <si>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</si>
  <si>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</si>
  <si>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</si>
  <si>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</si>
  <si>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</si>
  <si>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</si>
  <si>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</si>
  <si>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</si>
  <si>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</si>
  <si>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</si>
  <si>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</si>
  <si>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</si>
  <si>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</si>
  <si>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</si>
  <si>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</si>
  <si>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</si>
  <si>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</si>
  <si>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</si>
  <si>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</si>
  <si>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</si>
  <si>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</si>
  <si>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</si>
  <si>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</si>
  <si>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</si>
  <si>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</si>
  <si>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</si>
  <si>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</si>
  <si>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</si>
  <si>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</si>
  <si>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</si>
  <si>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</si>
  <si>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</si>
  <si>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</si>
  <si>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</si>
  <si>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</si>
  <si>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</si>
  <si>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</si>
  <si>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</si>
  <si>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</si>
  <si>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</si>
  <si>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</si>
  <si>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</si>
  <si>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</si>
  <si>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</si>
  <si>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</si>
  <si>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</si>
  <si>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</si>
  <si>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</si>
  <si>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</si>
  <si>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</si>
  <si>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</si>
  <si>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</si>
  <si>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</si>
  <si>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</si>
  <si>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</si>
  <si>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</si>
  <si>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</si>
  <si>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</si>
  <si>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</si>
  <si>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</si>
  <si>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</si>
  <si>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</si>
  <si>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</si>
  <si>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</si>
  <si>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</si>
  <si>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</si>
  <si>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</si>
  <si>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</si>
  <si>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</si>
  <si>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</si>
  <si>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</si>
  <si>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</si>
  <si>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</si>
  <si>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</si>
  <si>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</si>
  <si>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</si>
  <si>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</si>
  <si>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</si>
  <si>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</si>
  <si>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</si>
  <si>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</si>
  <si>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</si>
  <si>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</si>
  <si>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</si>
  <si>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</si>
  <si>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</si>
  <si>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</si>
  <si>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</si>
  <si>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</si>
  <si>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</si>
  <si>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</si>
  <si>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</si>
  <si>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</si>
  <si>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</si>
  <si>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</si>
  <si>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</si>
  <si>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</si>
  <si>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</si>
  <si>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</si>
  <si>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</si>
  <si>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</si>
  <si>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</si>
  <si>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</si>
  <si>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</si>
  <si>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</si>
  <si>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</si>
  <si>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</si>
  <si>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</si>
  <si>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</si>
  <si>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</si>
  <si>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</si>
  <si>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</si>
  <si>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</si>
  <si>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</si>
  <si>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</si>
  <si>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</si>
  <si>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</si>
  <si>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</si>
  <si>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</si>
  <si>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</si>
  <si>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</si>
  <si>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</si>
  <si>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</si>
  <si>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</si>
  <si>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</si>
  <si>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</si>
  <si>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</si>
  <si>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</si>
  <si>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</si>
  <si>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</si>
  <si>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</si>
  <si>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</si>
  <si>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</si>
  <si>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</si>
  <si>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</si>
  <si>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</si>
  <si>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</si>
  <si>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</si>
  <si>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</si>
  <si>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</si>
  <si>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</si>
  <si>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</si>
  <si>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</si>
  <si>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</si>
  <si>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</si>
  <si>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</si>
  <si>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</si>
  <si>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</si>
  <si>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</si>
  <si>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</si>
  <si>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</si>
  <si>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</si>
  <si>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</si>
  <si>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</si>
  <si>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</si>
  <si>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</si>
  <si>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</si>
  <si>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</si>
  <si>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</si>
  <si>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</si>
  <si>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</si>
  <si>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</si>
  <si>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</si>
  <si>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</si>
  <si>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</si>
  <si>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</si>
  <si>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</si>
  <si>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</si>
  <si>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</si>
  <si>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</si>
  <si>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</si>
  <si>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</si>
  <si>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</si>
  <si>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</si>
  <si>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</si>
  <si>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</si>
  <si>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</si>
  <si>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</si>
  <si>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</si>
  <si>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</si>
  <si>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</si>
  <si>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</si>
  <si>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</si>
  <si>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</si>
  <si>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</si>
  <si>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</si>
  <si>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</si>
  <si>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</si>
  <si>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</si>
  <si>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</si>
  <si>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</si>
  <si>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</si>
  <si>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</si>
  <si>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</si>
  <si>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</si>
  <si>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</si>
  <si>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</si>
  <si>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</si>
  <si>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</si>
  <si>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</si>
  <si>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</si>
  <si>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</si>
  <si>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</si>
  <si>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</si>
  <si>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</si>
  <si>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</si>
  <si>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</si>
  <si>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</si>
  <si>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</si>
  <si>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</si>
  <si>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</si>
  <si>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</si>
  <si>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</si>
  <si>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</si>
  <si>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</si>
  <si>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</si>
  <si>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</si>
  <si>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</si>
  <si>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</si>
  <si>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</si>
  <si>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</si>
  <si>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</si>
  <si>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</si>
  <si>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</si>
  <si>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</si>
  <si>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</si>
  <si>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</si>
  <si>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</si>
  <si>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</si>
  <si>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</si>
  <si>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</si>
  <si>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</si>
  <si>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</si>
  <si>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</si>
  <si>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</si>
  <si>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</si>
  <si>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</si>
  <si>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</si>
  <si>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</si>
  <si>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</si>
  <si>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</si>
  <si>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</si>
  <si>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</si>
  <si>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</si>
  <si>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</si>
  <si>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</si>
  <si>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</si>
  <si>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</si>
  <si>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</si>
  <si>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</si>
  <si>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</si>
  <si>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</si>
  <si>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</si>
  <si>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</si>
  <si>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</si>
  <si>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</si>
  <si>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</si>
  <si>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</si>
  <si>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</si>
  <si>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</si>
  <si>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</si>
  <si>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</si>
  <si>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</si>
  <si>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</si>
  <si>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</si>
  <si>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</si>
  <si>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</si>
  <si>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</si>
  <si>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</si>
  <si>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</si>
  <si>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</si>
  <si>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</si>
  <si>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</si>
  <si>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</si>
  <si>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</si>
  <si>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</si>
  <si>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</si>
  <si>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</si>
  <si>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</si>
  <si>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</si>
  <si>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</si>
  <si>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</si>
  <si>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</si>
  <si>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</si>
  <si>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</si>
  <si>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</si>
  <si>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</si>
  <si>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</si>
  <si>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</si>
  <si>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</si>
  <si>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</si>
  <si>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</si>
  <si>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</si>
  <si>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</si>
  <si>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</si>
  <si>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</si>
  <si>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</si>
  <si>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</si>
  <si>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</si>
  <si>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</si>
  <si>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</si>
  <si>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</si>
  <si>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</si>
  <si>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</si>
  <si>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</si>
  <si>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</si>
  <si>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</si>
  <si>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</si>
  <si>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</si>
  <si>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</si>
  <si>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</si>
  <si>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</si>
  <si>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</si>
  <si>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</si>
  <si>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</si>
  <si>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</si>
  <si>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</si>
  <si>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</si>
  <si>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</si>
  <si>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</si>
  <si>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</si>
  <si>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</si>
  <si>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</si>
  <si>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</si>
  <si>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</si>
  <si>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</si>
  <si>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</si>
  <si>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</si>
  <si>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</si>
  <si>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</si>
  <si>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</si>
  <si>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</si>
  <si>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</si>
  <si>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</si>
  <si>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</si>
  <si>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</si>
  <si>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</si>
  <si>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</si>
  <si>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</si>
  <si>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</si>
  <si>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</si>
  <si>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</si>
  <si>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</si>
  <si>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</si>
  <si>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</si>
  <si>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</si>
  <si>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</si>
  <si>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</si>
  <si>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</si>
  <si>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</si>
  <si>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</si>
  <si>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</si>
  <si>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</si>
  <si>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</si>
  <si>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</si>
  <si>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</si>
  <si>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</si>
  <si>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</si>
  <si>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</si>
  <si>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</si>
  <si>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</si>
  <si>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</si>
  <si>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</si>
  <si>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</si>
  <si>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</si>
  <si>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</si>
  <si>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</si>
  <si>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</si>
  <si>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</si>
  <si>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</si>
  <si>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</si>
  <si>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</si>
  <si>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</si>
  <si>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</si>
  <si>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</si>
  <si>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</si>
  <si>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</si>
  <si>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</si>
  <si>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</si>
  <si>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</si>
  <si>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</si>
  <si>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</si>
  <si>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</si>
  <si>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</si>
  <si>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</si>
  <si>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</si>
  <si>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</si>
  <si>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</si>
  <si>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</si>
  <si>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</si>
  <si>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</si>
  <si>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</si>
  <si>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</si>
  <si>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</si>
  <si>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</si>
  <si>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</si>
  <si>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</si>
  <si>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</si>
  <si>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</si>
  <si>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</si>
  <si>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</si>
  <si>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</si>
  <si>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</si>
  <si>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</si>
  <si>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</si>
  <si>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</si>
  <si>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</si>
  <si>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</si>
  <si>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</si>
  <si>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</si>
  <si>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</si>
  <si>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</si>
  <si>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</si>
  <si>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</si>
  <si>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</si>
  <si>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</si>
  <si>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</si>
  <si>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</si>
  <si>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</si>
  <si>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</si>
  <si>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</si>
  <si>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</si>
  <si>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</si>
  <si>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</si>
  <si>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</si>
  <si>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</si>
  <si>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</si>
  <si>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</si>
  <si>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</si>
  <si>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</si>
  <si>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</si>
  <si>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</si>
  <si>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</si>
  <si>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</si>
  <si>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</si>
  <si>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</si>
  <si>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</si>
  <si>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</si>
  <si>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</si>
  <si>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</si>
  <si>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</si>
  <si>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</si>
  <si>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</si>
  <si>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</si>
  <si>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</si>
  <si>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</si>
  <si>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</si>
  <si>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</si>
  <si>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</si>
  <si>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</si>
  <si>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</si>
  <si>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</si>
  <si>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</si>
  <si>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</si>
  <si>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</si>
  <si>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</si>
  <si>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</si>
  <si>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</si>
  <si>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</si>
  <si>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</si>
  <si>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</si>
  <si>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</si>
  <si>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</si>
  <si>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</si>
  <si>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</si>
  <si>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</si>
  <si>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</si>
  <si>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</si>
  <si>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</si>
  <si>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</si>
  <si>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</si>
  <si>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</si>
  <si>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</si>
  <si>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</si>
  <si>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</si>
  <si>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</si>
  <si>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</si>
  <si>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</si>
  <si>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</si>
  <si>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</si>
  <si>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</si>
  <si>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</si>
  <si>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</si>
  <si>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</si>
  <si>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</si>
  <si>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</si>
  <si>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</si>
  <si>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</si>
  <si>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</si>
  <si>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</si>
  <si>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</si>
  <si>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</si>
  <si>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</si>
  <si>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</si>
  <si>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</si>
  <si>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</si>
  <si>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</si>
  <si>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</si>
  <si>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</si>
  <si>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</si>
  <si>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</si>
  <si>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</si>
  <si>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</si>
  <si>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</si>
  <si>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</si>
  <si>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</si>
  <si>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</si>
  <si>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</si>
  <si>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</si>
  <si>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</si>
  <si>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</si>
  <si>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</si>
  <si>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</si>
  <si>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</si>
  <si>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</si>
  <si>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</si>
  <si>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</si>
  <si>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</si>
  <si>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</si>
  <si>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</si>
  <si>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</si>
  <si>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</si>
  <si>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</si>
  <si>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</si>
  <si>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</si>
  <si>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</si>
  <si>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</si>
  <si>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</si>
  <si>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</si>
  <si>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</si>
  <si>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</si>
  <si>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</si>
  <si>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</si>
  <si>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</si>
  <si>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</si>
  <si>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</si>
  <si>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</si>
  <si>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</si>
  <si>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</si>
  <si>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</si>
  <si>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</si>
  <si>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</si>
  <si>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</si>
  <si>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</si>
  <si>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</si>
  <si>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</si>
  <si>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</si>
  <si>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</si>
  <si>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</si>
  <si>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</si>
  <si>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</si>
  <si>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</si>
  <si>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</si>
  <si>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</si>
  <si>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</si>
  <si>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</si>
  <si>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</si>
  <si>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</si>
  <si>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</si>
  <si>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</si>
  <si>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</si>
  <si>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</si>
  <si>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</si>
  <si>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</si>
  <si>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</si>
  <si>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</si>
  <si>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</si>
  <si>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</si>
  <si>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</si>
  <si>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</si>
  <si>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</si>
  <si>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</si>
  <si>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</si>
  <si>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</si>
  <si>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</si>
  <si>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</si>
  <si>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</si>
  <si>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</si>
  <si>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</si>
  <si>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</si>
  <si>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</si>
  <si>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</si>
  <si>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</si>
  <si>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</si>
  <si>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</si>
  <si>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</si>
  <si>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</si>
  <si>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</si>
  <si>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</si>
  <si>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</si>
  <si>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</si>
  <si>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</si>
  <si>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</si>
  <si>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</si>
  <si>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</si>
  <si>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</si>
  <si>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</si>
  <si>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</si>
  <si>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</si>
  <si>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</si>
  <si>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</si>
  <si>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</si>
  <si>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</si>
  <si>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</si>
  <si>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</si>
  <si>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</si>
  <si>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</si>
  <si>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</si>
  <si>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</si>
  <si>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</si>
  <si>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</si>
  <si>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</si>
  <si>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</si>
  <si>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</si>
  <si>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</si>
  <si>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</si>
  <si>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t>
  </si>
  <si>
    <t>Dollar  Value per Supply</t>
  </si>
  <si>
    <t>Rank</t>
  </si>
  <si>
    <t>Price Range</t>
  </si>
  <si>
    <t>Grand Total</t>
  </si>
  <si>
    <t xml:space="preserve"> Price (USD)</t>
  </si>
  <si>
    <t>Sum of 1h Change (%)</t>
  </si>
  <si>
    <t>Row Labels</t>
  </si>
  <si>
    <t>Sum of Price (USD)</t>
  </si>
  <si>
    <t>Dollar Value per Supply</t>
  </si>
  <si>
    <t>Price(USD)</t>
  </si>
  <si>
    <t>Sum of Market Cap</t>
  </si>
  <si>
    <t>Others</t>
  </si>
  <si>
    <t>GRAND TOTAL</t>
  </si>
  <si>
    <t>Key Performance Indicator</t>
  </si>
  <si>
    <t>Total Market Capital</t>
  </si>
  <si>
    <t>Total Price of Coins</t>
  </si>
  <si>
    <t>Total Circulating Supply</t>
  </si>
  <si>
    <t>Highest Price Coin</t>
  </si>
  <si>
    <t>Highest Price</t>
  </si>
  <si>
    <t>Sum of Circulating_Supply($)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</si>
</sst>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4"/>
      <color theme="1"/>
      <name val="Calibri"/>
      <family val="2"/>
      <scheme val="minor"/>
    </font>
  </fonts>
  <fills count="3">
    <fill>
      <patternFill patternType="none"/>
    </fill>
    <fill>
      <patternFill patternType="gray125"/>
    </fill>
    <fill>
      <patternFill patternType="solid">
        <fgColor theme="7"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2" fillId="0" borderId="0" xfId="0" pivotButton="1" applyFont="1"/>
    <xf numFmtId="0" fontId="2" fillId="0" borderId="0" xfId="0" applyFont="1"/>
    <xf numFmtId="0" fontId="2" fillId="0" borderId="0" xfId="0" applyFont="1" applyAlignment="1">
      <alignment horizontal="left"/>
    </xf>
    <xf numFmtId="0" fontId="2" fillId="0" borderId="0" xfId="0" applyFont="1" applyAlignment="1">
      <alignment horizontal="left" indent="1"/>
    </xf>
  </cellXfs>
  <cellStyles count="1">
    <cellStyle name="Normal" xfId="0" builtinId="0"/>
  </cellStyles>
  <dxfs count="22">
    <dxf>
      <numFmt numFmtId="0" formatCode="General"/>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[Final_Crypto_Analysis_data.xlsx]Pivot_Charts!PivotTable1</c:name>
    <c:fmtId val="0"/>
  </c:pivotSource>
  <c:chart>
    <c:title>
      <c:tx>
        <c:rich>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reflection blurRad="6350" stA="60000" endA="900" endPos="58000" dir="5400000" sy="-100000" algn="bl" rotWithShape="0"/>
                </a:effectLst>
                <a:latin typeface="+mn-lt"/>
                <a:ea typeface="+mn-ea"/>
                <a:cs typeface="+mn-cs"/>
              </a:defRPr>
            </a:pPr>
            <a:r>
              <a:rPr lang="en-US">
                <a:ln>
                  <a:solidFill>
                    <a:schemeClr val="accent4">
                      <a:lumMod val="75000"/>
                    </a:schemeClr>
                  </a:solidFill>
                </a:ln>
                <a:solidFill>
                  <a:schemeClr val="tx1"/>
                </a:solidFill>
                <a:effectLst>
                  <a:reflection blurRad="6350" stA="60000" endA="900" endPos="58000" dir="5400000" sy="-100000" algn="bl" rotWithShape="0"/>
                </a:effectLst>
              </a:rPr>
              <a:t>Top</a:t>
            </a:r>
            <a:r>
              <a:rPr lang="en-US" baseline="0">
                <a:ln>
                  <a:solidFill>
                    <a:schemeClr val="accent4">
                      <a:lumMod val="75000"/>
                    </a:schemeClr>
                  </a:solidFill>
                </a:ln>
                <a:solidFill>
                  <a:schemeClr val="tx1"/>
                </a:solidFill>
                <a:effectLst>
                  <a:reflection blurRad="6350" stA="60000" endA="900" endPos="58000" dir="5400000" sy="-100000" algn="bl" rotWithShape="0"/>
                </a:effectLst>
              </a:rPr>
              <a:t> Ten Coins by Price</a:t>
            </a:r>
            <a:endParaRPr lang="en-US">
              <a:ln>
                <a:solidFill>
                  <a:schemeClr val="accent4">
                    <a:lumMod val="75000"/>
                  </a:schemeClr>
                </a:solidFill>
              </a:ln>
              <a:solidFill>
                <a:schemeClr val="tx1"/>
              </a:solidFill>
              <a:effectLst>
                <a:reflection blurRad="6350" stA="60000" endA="900" endPos="58000"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reflection blurRad="6350" stA="60000" endA="900" endPos="58000" dir="5400000" sy="-100000" algn="bl" rotWithShape="0"/>
              </a:effectLst>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c:f>
              <c:strCache>
                <c:ptCount val="1"/>
                <c:pt idx="0">
                  <c:v>Total</c:v>
                </c:pt>
              </c:strCache>
            </c:strRef>
          </c:tx>
          <c:spPr>
            <a:solidFill>
              <a:schemeClr val="accent4">
                <a:lumMod val="50000"/>
              </a:schemeClr>
            </a:solidFill>
            <a:ln>
              <a:noFill/>
            </a:ln>
            <a:effectLst/>
          </c:spPr>
          <c:invertIfNegative val="0"/>
          <c:cat>
            <c:strRef>
              <c:f>Pivot_Charts!$A$4:$A$14</c:f>
              <c:strCache>
                <c:ptCount val="10"/>
                <c:pt idx="0">
                  <c:v>ether.fi</c:v>
                </c:pt>
                <c:pt idx="1">
                  <c:v>Epic Chain</c:v>
                </c:pt>
                <c:pt idx="2">
                  <c:v>Aerodrome Finance</c:v>
                </c:pt>
                <c:pt idx="3">
                  <c:v>Trias Token (New)</c:v>
                </c:pt>
                <c:pt idx="4">
                  <c:v>Celestia</c:v>
                </c:pt>
                <c:pt idx="5">
                  <c:v>Napoli Fan Token</c:v>
                </c:pt>
                <c:pt idx="6">
                  <c:v>Succinct</c:v>
                </c:pt>
                <c:pt idx="7">
                  <c:v>Pirate Chain</c:v>
                </c:pt>
                <c:pt idx="8">
                  <c:v>Propy</c:v>
                </c:pt>
                <c:pt idx="9">
                  <c:v>VitaDAO</c:v>
                </c:pt>
              </c:strCache>
            </c:strRef>
          </c:cat>
          <c:val>
            <c:numRef>
              <c:f>Pivot_Charts!$B$4:$B$14</c:f>
              <c:numCache>
                <c:formatCode>General</c:formatCode>
                <c:ptCount val="10"/>
                <c:pt idx="0">
                  <c:v>0.49830000000000002</c:v>
                </c:pt>
                <c:pt idx="1">
                  <c:v>0.43240000000000001</c:v>
                </c:pt>
                <c:pt idx="2">
                  <c:v>0.39</c:v>
                </c:pt>
                <c:pt idx="3">
                  <c:v>0.3775</c:v>
                </c:pt>
                <c:pt idx="4">
                  <c:v>0.37259999999999999</c:v>
                </c:pt>
                <c:pt idx="5">
                  <c:v>0.36180000000000001</c:v>
                </c:pt>
                <c:pt idx="6">
                  <c:v>0.35220000000000001</c:v>
                </c:pt>
                <c:pt idx="7">
                  <c:v>0.34799999999999998</c:v>
                </c:pt>
                <c:pt idx="8">
                  <c:v>0.34449999999999997</c:v>
                </c:pt>
                <c:pt idx="9">
                  <c:v>0.30969999999999998</c:v>
                </c:pt>
              </c:numCache>
            </c:numRef>
          </c:val>
          <c:extLst>
            <c:ext xmlns:c16="http://schemas.microsoft.com/office/drawing/2014/chart" uri="{C3380CC4-5D6E-409C-BE32-E72D297353CC}">
              <c16:uniqueId val="{00000000-1E6F-4AFC-A890-7F2DB9D4D1BA}"/>
            </c:ext>
          </c:extLst>
        </c:ser>
        <c:dLbls>
          <c:showLegendKey val="0"/>
          <c:showVal val="0"/>
          <c:showCatName val="0"/>
          <c:showSerName val="0"/>
          <c:showPercent val="0"/>
          <c:showBubbleSize val="0"/>
        </c:dLbls>
        <c:gapWidth val="219"/>
        <c:overlap val="-27"/>
        <c:axId val="1893733072"/>
        <c:axId val="1893732592"/>
      </c:barChart>
      <c:catAx>
        <c:axId val="189373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732592"/>
        <c:crosses val="autoZero"/>
        <c:auto val="1"/>
        <c:lblAlgn val="ctr"/>
        <c:lblOffset val="100"/>
        <c:noMultiLvlLbl val="0"/>
      </c:catAx>
      <c:valAx>
        <c:axId val="189373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73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schemeClr>
        </a:gs>
        <a:gs pos="50000">
          <a:schemeClr val="accent4">
            <a:lumMod val="20000"/>
            <a:lumOff val="80000"/>
          </a:schemeClr>
        </a:gs>
        <a:gs pos="100000">
          <a:schemeClr val="bg1"/>
        </a:gs>
      </a:gsLst>
      <a:path path="circle">
        <a:fillToRect l="50000" t="50000" r="50000" b="50000"/>
      </a:path>
      <a:tileRect/>
    </a:gradFill>
    <a:ln w="9525" cap="flat" cmpd="sng" algn="ctr">
      <a:solidFill>
        <a:schemeClr val="accent4">
          <a:lumMod val="75000"/>
        </a:schemeClr>
      </a:solidFill>
      <a:round/>
    </a:ln>
    <a:effectLst>
      <a:glow rad="101600">
        <a:schemeClr val="accent4">
          <a:satMod val="175000"/>
          <a:alpha val="40000"/>
        </a:schemeClr>
      </a:glo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[Final_Crypto_Analysis_data.xlsx]Pivot_Charts!PivotTable4</c:name>
    <c:fmtId val="5"/>
  </c:pivotSource>
  <c:chart>
    <c:title>
      <c:tx>
        <c:rich>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latin typeface="+mn-lt"/>
                <a:ea typeface="+mn-ea"/>
                <a:cs typeface="+mn-cs"/>
              </a:defRPr>
            </a:pPr>
            <a:r>
              <a:rPr lang="en-US">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rPr>
              <a:t>Most change in 1Hr</a:t>
            </a:r>
          </a:p>
        </c:rich>
      </c:tx>
      <c:overlay val="0"/>
      <c:spPr>
        <a:noFill/>
        <a:ln>
          <a:noFill/>
        </a:ln>
        <a:effectLst>
          <a:softEdge rad="63500"/>
        </a:effectLst>
      </c:spPr>
      <c:txPr>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latin typeface="+mn-lt"/>
              <a:ea typeface="+mn-ea"/>
              <a:cs typeface="+mn-cs"/>
            </a:defRPr>
          </a:pPr>
          <a:endParaRPr lang="en-US"/>
        </a:p>
      </c:txPr>
    </c:title>
    <c:autoTitleDeleted val="0"/>
    <c:pivotFmts>
      <c:pivotFmt>
        <c:idx val="0"/>
        <c:spPr>
          <a:solidFill>
            <a:schemeClr val="accent4">
              <a:lumMod val="75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Pivot_Charts!$B$21</c:f>
              <c:strCache>
                <c:ptCount val="1"/>
                <c:pt idx="0">
                  <c:v>Total</c:v>
                </c:pt>
              </c:strCache>
            </c:strRef>
          </c:tx>
          <c:spPr>
            <a:solidFill>
              <a:schemeClr val="accent4">
                <a:lumMod val="75000"/>
              </a:schemeClr>
            </a:solidFill>
            <a:ln>
              <a:solidFill>
                <a:schemeClr val="accent4">
                  <a:lumMod val="50000"/>
                </a:schemeClr>
              </a:solidFill>
            </a:ln>
            <a:effectLst/>
            <a:sp3d>
              <a:contourClr>
                <a:schemeClr val="accent4">
                  <a:lumMod val="50000"/>
                </a:schemeClr>
              </a:contourClr>
            </a:sp3d>
          </c:spPr>
          <c:invertIfNegative val="0"/>
          <c:cat>
            <c:strRef>
              <c:f>Pivot_Charts!$A$22:$A$32</c:f>
              <c:strCache>
                <c:ptCount val="10"/>
                <c:pt idx="0">
                  <c:v>Beam</c:v>
                </c:pt>
                <c:pt idx="1">
                  <c:v>Bitlayer</c:v>
                </c:pt>
                <c:pt idx="2">
                  <c:v>bitsCrunch</c:v>
                </c:pt>
                <c:pt idx="3">
                  <c:v>CaptainBNB</c:v>
                </c:pt>
                <c:pt idx="4">
                  <c:v>Efinity Token</c:v>
                </c:pt>
                <c:pt idx="5">
                  <c:v>Gleec Coin</c:v>
                </c:pt>
                <c:pt idx="6">
                  <c:v>PRIZM</c:v>
                </c:pt>
                <c:pt idx="7">
                  <c:v>Rain</c:v>
                </c:pt>
                <c:pt idx="8">
                  <c:v>Verasity</c:v>
                </c:pt>
                <c:pt idx="9">
                  <c:v>VitaDAO</c:v>
                </c:pt>
              </c:strCache>
            </c:strRef>
          </c:cat>
          <c:val>
            <c:numRef>
              <c:f>Pivot_Charts!$B$22:$B$32</c:f>
              <c:numCache>
                <c:formatCode>General</c:formatCode>
                <c:ptCount val="10"/>
                <c:pt idx="0">
                  <c:v>6.5299999999999997E-2</c:v>
                </c:pt>
                <c:pt idx="1">
                  <c:v>5.0299999999999997E-2</c:v>
                </c:pt>
                <c:pt idx="2">
                  <c:v>0.1202</c:v>
                </c:pt>
                <c:pt idx="3">
                  <c:v>0.1196</c:v>
                </c:pt>
                <c:pt idx="4">
                  <c:v>0.28399999999999997</c:v>
                </c:pt>
                <c:pt idx="5">
                  <c:v>6.8400000000000002E-2</c:v>
                </c:pt>
                <c:pt idx="6">
                  <c:v>9.1300000000000006E-2</c:v>
                </c:pt>
                <c:pt idx="7">
                  <c:v>8.2500000000000004E-2</c:v>
                </c:pt>
                <c:pt idx="8">
                  <c:v>5.0900000000000001E-2</c:v>
                </c:pt>
                <c:pt idx="9">
                  <c:v>7.0699999999999999E-2</c:v>
                </c:pt>
              </c:numCache>
            </c:numRef>
          </c:val>
          <c:extLst>
            <c:ext xmlns:c16="http://schemas.microsoft.com/office/drawing/2014/chart" uri="{C3380CC4-5D6E-409C-BE32-E72D297353CC}">
              <c16:uniqueId val="{00000000-0A6E-4B18-9B06-90E4998D75A2}"/>
            </c:ext>
          </c:extLst>
        </c:ser>
        <c:dLbls>
          <c:showLegendKey val="0"/>
          <c:showVal val="0"/>
          <c:showCatName val="0"/>
          <c:showSerName val="0"/>
          <c:showPercent val="0"/>
          <c:showBubbleSize val="0"/>
        </c:dLbls>
        <c:gapWidth val="150"/>
        <c:shape val="box"/>
        <c:axId val="336888943"/>
        <c:axId val="336893263"/>
        <c:axId val="0"/>
      </c:bar3DChart>
      <c:catAx>
        <c:axId val="33688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6893263"/>
        <c:crosses val="autoZero"/>
        <c:auto val="1"/>
        <c:lblAlgn val="ctr"/>
        <c:lblOffset val="100"/>
        <c:noMultiLvlLbl val="0"/>
      </c:catAx>
      <c:valAx>
        <c:axId val="33689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68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schemeClr>
        </a:gs>
        <a:gs pos="50000">
          <a:schemeClr val="accent4">
            <a:lumMod val="20000"/>
            <a:lumOff val="80000"/>
          </a:schemeClr>
        </a:gs>
        <a:gs pos="85000">
          <a:schemeClr val="bg1"/>
        </a:gs>
      </a:gsLst>
      <a:path path="circle">
        <a:fillToRect l="50000" t="50000" r="50000" b="50000"/>
      </a:path>
      <a:tileRect/>
    </a:gradFill>
    <a:ln w="9525" cap="flat" cmpd="sng" algn="ctr">
      <a:solidFill>
        <a:schemeClr val="accent4">
          <a:lumMod val="75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[Final_Crypto_Analysis_data.xlsx]Pivot_Charts!PivotTable2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latin typeface="+mn-lt"/>
                <a:ea typeface="+mn-ea"/>
                <a:cs typeface="+mn-cs"/>
              </a:defRPr>
            </a:pPr>
            <a:r>
              <a:rPr lang="en-IN" b="1">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rPr>
              <a:t>Price</a:t>
            </a:r>
            <a:r>
              <a:rPr lang="en-IN" b="1" baseline="0">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rPr>
              <a:t> v/s Dollar Supply</a:t>
            </a:r>
            <a:endParaRPr lang="en-IN" b="1">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Pivot_Charts!$B$40</c:f>
              <c:strCache>
                <c:ptCount val="1"/>
                <c:pt idx="0">
                  <c:v>Price(USD)</c:v>
                </c:pt>
              </c:strCache>
            </c:strRef>
          </c:tx>
          <c:spPr>
            <a:solidFill>
              <a:schemeClr val="accent4">
                <a:shade val="76000"/>
              </a:schemeClr>
            </a:solidFill>
            <a:ln>
              <a:noFill/>
            </a:ln>
            <a:effectLst/>
          </c:spPr>
          <c:invertIfNegative val="0"/>
          <c:cat>
            <c:strRef>
              <c:f>Pivot_Charts!$A$41:$A$51</c:f>
              <c:strCache>
                <c:ptCount val="10"/>
                <c:pt idx="0">
                  <c:v>Celestia</c:v>
                </c:pt>
                <c:pt idx="1">
                  <c:v>dYdX (ethDYDX)</c:v>
                </c:pt>
                <c:pt idx="2">
                  <c:v>Epic Chain</c:v>
                </c:pt>
                <c:pt idx="3">
                  <c:v>ether.fi</c:v>
                </c:pt>
                <c:pt idx="4">
                  <c:v>Fusionist</c:v>
                </c:pt>
                <c:pt idx="5">
                  <c:v>Humanity Protocol</c:v>
                </c:pt>
                <c:pt idx="6">
                  <c:v>Napoli Fan Token</c:v>
                </c:pt>
                <c:pt idx="7">
                  <c:v>Propy</c:v>
                </c:pt>
                <c:pt idx="8">
                  <c:v>StakeStone</c:v>
                </c:pt>
                <c:pt idx="9">
                  <c:v>Succinct</c:v>
                </c:pt>
              </c:strCache>
            </c:strRef>
          </c:cat>
          <c:val>
            <c:numRef>
              <c:f>Pivot_Charts!$B$41:$B$51</c:f>
              <c:numCache>
                <c:formatCode>General</c:formatCode>
                <c:ptCount val="10"/>
                <c:pt idx="0">
                  <c:v>0.37259999999999999</c:v>
                </c:pt>
                <c:pt idx="1">
                  <c:v>0.13519999999999999</c:v>
                </c:pt>
                <c:pt idx="2">
                  <c:v>0.43240000000000001</c:v>
                </c:pt>
                <c:pt idx="3">
                  <c:v>0.49830000000000002</c:v>
                </c:pt>
                <c:pt idx="4">
                  <c:v>0.21460000000000001</c:v>
                </c:pt>
                <c:pt idx="5">
                  <c:v>0.13569999999999999</c:v>
                </c:pt>
                <c:pt idx="6">
                  <c:v>0.36180000000000001</c:v>
                </c:pt>
                <c:pt idx="7">
                  <c:v>0.34449999999999997</c:v>
                </c:pt>
                <c:pt idx="8">
                  <c:v>8.5000000000000006E-2</c:v>
                </c:pt>
                <c:pt idx="9">
                  <c:v>0.35220000000000001</c:v>
                </c:pt>
              </c:numCache>
            </c:numRef>
          </c:val>
          <c:extLst>
            <c:ext xmlns:c16="http://schemas.microsoft.com/office/drawing/2014/chart" uri="{C3380CC4-5D6E-409C-BE32-E72D297353CC}">
              <c16:uniqueId val="{00000000-055F-4453-8BFC-86D2F3C2C217}"/>
            </c:ext>
          </c:extLst>
        </c:ser>
        <c:ser>
          <c:idx val="1"/>
          <c:order val="1"/>
          <c:tx>
            <c:strRef>
              <c:f>Pivot_Charts!$C$40</c:f>
              <c:strCache>
                <c:ptCount val="1"/>
                <c:pt idx="0">
                  <c:v>Dollar Value per Supply</c:v>
                </c:pt>
              </c:strCache>
            </c:strRef>
          </c:tx>
          <c:spPr>
            <a:solidFill>
              <a:schemeClr val="accent4">
                <a:tint val="77000"/>
              </a:schemeClr>
            </a:solidFill>
            <a:ln>
              <a:noFill/>
            </a:ln>
            <a:effectLst/>
          </c:spPr>
          <c:invertIfNegative val="0"/>
          <c:cat>
            <c:strRef>
              <c:f>Pivot_Charts!$A$41:$A$51</c:f>
              <c:strCache>
                <c:ptCount val="10"/>
                <c:pt idx="0">
                  <c:v>Celestia</c:v>
                </c:pt>
                <c:pt idx="1">
                  <c:v>dYdX (ethDYDX)</c:v>
                </c:pt>
                <c:pt idx="2">
                  <c:v>Epic Chain</c:v>
                </c:pt>
                <c:pt idx="3">
                  <c:v>ether.fi</c:v>
                </c:pt>
                <c:pt idx="4">
                  <c:v>Fusionist</c:v>
                </c:pt>
                <c:pt idx="5">
                  <c:v>Humanity Protocol</c:v>
                </c:pt>
                <c:pt idx="6">
                  <c:v>Napoli Fan Token</c:v>
                </c:pt>
                <c:pt idx="7">
                  <c:v>Propy</c:v>
                </c:pt>
                <c:pt idx="8">
                  <c:v>StakeStone</c:v>
                </c:pt>
                <c:pt idx="9">
                  <c:v>Succinct</c:v>
                </c:pt>
              </c:strCache>
            </c:strRef>
          </c:cat>
          <c:val>
            <c:numRef>
              <c:f>Pivot_Charts!$C$41:$C$51</c:f>
              <c:numCache>
                <c:formatCode>General</c:formatCode>
                <c:ptCount val="10"/>
                <c:pt idx="0">
                  <c:v>6.5399602933940565E-2</c:v>
                </c:pt>
                <c:pt idx="1">
                  <c:v>0.21273210084033614</c:v>
                </c:pt>
                <c:pt idx="2">
                  <c:v>0.12787330357142856</c:v>
                </c:pt>
                <c:pt idx="3">
                  <c:v>7.9890189601921763E-2</c:v>
                </c:pt>
                <c:pt idx="4">
                  <c:v>0.11401440716911765</c:v>
                </c:pt>
                <c:pt idx="5">
                  <c:v>6.0106486721991703E-2</c:v>
                </c:pt>
                <c:pt idx="6">
                  <c:v>0.10874971644612476</c:v>
                </c:pt>
                <c:pt idx="7">
                  <c:v>6.9248370000000004E-2</c:v>
                </c:pt>
                <c:pt idx="8">
                  <c:v>7.2221705942395603E-2</c:v>
                </c:pt>
                <c:pt idx="9">
                  <c:v>0.18052318461538461</c:v>
                </c:pt>
              </c:numCache>
            </c:numRef>
          </c:val>
          <c:extLst>
            <c:ext xmlns:c16="http://schemas.microsoft.com/office/drawing/2014/chart" uri="{C3380CC4-5D6E-409C-BE32-E72D297353CC}">
              <c16:uniqueId val="{00000001-055F-4453-8BFC-86D2F3C2C217}"/>
            </c:ext>
          </c:extLst>
        </c:ser>
        <c:dLbls>
          <c:showLegendKey val="0"/>
          <c:showVal val="0"/>
          <c:showCatName val="0"/>
          <c:showSerName val="0"/>
          <c:showPercent val="0"/>
          <c:showBubbleSize val="0"/>
        </c:dLbls>
        <c:gapWidth val="219"/>
        <c:overlap val="-27"/>
        <c:axId val="238955887"/>
        <c:axId val="238959727"/>
      </c:barChart>
      <c:catAx>
        <c:axId val="23895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8959727"/>
        <c:crosses val="autoZero"/>
        <c:auto val="1"/>
        <c:lblAlgn val="ctr"/>
        <c:lblOffset val="100"/>
        <c:noMultiLvlLbl val="0"/>
      </c:catAx>
      <c:valAx>
        <c:axId val="23895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895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bg1"/>
        </a:gs>
        <a:gs pos="71000">
          <a:schemeClr val="accent4">
            <a:lumMod val="20000"/>
            <a:lumOff val="80000"/>
          </a:schemeClr>
        </a:gs>
        <a:gs pos="8000">
          <a:schemeClr val="accent4">
            <a:lumMod val="60000"/>
            <a:lumOff val="40000"/>
          </a:schemeClr>
        </a:gs>
        <a:gs pos="39000">
          <a:schemeClr val="accent4">
            <a:lumMod val="40000"/>
            <a:lumOff val="60000"/>
          </a:schemeClr>
        </a:gs>
      </a:gsLst>
      <a:path path="shape">
        <a:fillToRect l="50000" t="50000" r="50000" b="50000"/>
      </a:path>
      <a:tileRect/>
    </a:gradFill>
    <a:ln w="0" cap="flat" cmpd="sng" algn="ctr">
      <a:solidFill>
        <a:schemeClr val="accent4">
          <a:lumMod val="75000"/>
        </a:schemeClr>
      </a:solidFill>
      <a:round/>
    </a:ln>
    <a:effectLst>
      <a:glow rad="63500">
        <a:schemeClr val="accent4">
          <a:satMod val="175000"/>
          <a:alpha val="40000"/>
        </a:schemeClr>
      </a:glow>
      <a:outerShdw blurRad="152400" sx="101000" sy="101000" algn="ctr" rotWithShape="0">
        <a:schemeClr val="accent4">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3B1-45A0-968B-FBB07DEAB82A}"/>
              </c:ext>
            </c:extLst>
          </c:dPt>
          <c:dPt>
            <c:idx val="1"/>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3B1-45A0-968B-FBB07DEAB82A}"/>
              </c:ext>
            </c:extLst>
          </c:dPt>
          <c:dPt>
            <c:idx val="2"/>
            <c:bubble3D val="0"/>
            <c:spPr>
              <a:solidFill>
                <a:schemeClr val="accent4">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3B1-45A0-968B-FBB07DEAB82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3B1-45A0-968B-FBB07DEAB82A}"/>
              </c:ext>
            </c:extLst>
          </c:dPt>
          <c:dPt>
            <c:idx val="4"/>
            <c:bubble3D val="0"/>
            <c:spPr>
              <a:solidFill>
                <a:schemeClr val="accent4">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3B1-45A0-968B-FBB07DEAB82A}"/>
              </c:ext>
            </c:extLst>
          </c:dPt>
          <c:dPt>
            <c:idx val="5"/>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3B1-45A0-968B-FBB07DEAB82A}"/>
              </c:ext>
            </c:extLst>
          </c:dPt>
          <c:dPt>
            <c:idx val="6"/>
            <c:bubble3D val="0"/>
            <c:spPr>
              <a:solidFill>
                <a:schemeClr val="accent4">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3B1-45A0-968B-FBB07DEAB82A}"/>
              </c:ext>
            </c:extLst>
          </c:dPt>
          <c:dLbls>
            <c:spPr>
              <a:gradFill>
                <a:gsLst>
                  <a:gs pos="0">
                    <a:schemeClr val="bg1"/>
                  </a:gs>
                  <a:gs pos="81000">
                    <a:schemeClr val="accent4">
                      <a:lumMod val="20000"/>
                      <a:lumOff val="80000"/>
                    </a:schemeClr>
                  </a:gs>
                  <a:gs pos="100000">
                    <a:schemeClr val="accent4">
                      <a:lumMod val="60000"/>
                      <a:lumOff val="40000"/>
                    </a:schemeClr>
                  </a:gs>
                  <a:gs pos="91000">
                    <a:schemeClr val="accent4">
                      <a:lumMod val="40000"/>
                      <a:lumOff val="60000"/>
                    </a:schemeClr>
                  </a:gs>
                </a:gsLst>
                <a:path path="shape">
                  <a:fillToRect l="50000" t="50000" r="50000" b="50000"/>
                </a:path>
              </a:gradFill>
              <a:ln>
                <a:solidFill>
                  <a:schemeClr val="accent4">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Pivot_Charts!$X$7:$X$13</c:f>
              <c:strCache>
                <c:ptCount val="7"/>
                <c:pt idx="0">
                  <c:v>TRON</c:v>
                </c:pt>
                <c:pt idx="1">
                  <c:v>Dogecoin</c:v>
                </c:pt>
                <c:pt idx="2">
                  <c:v>Cardano</c:v>
                </c:pt>
                <c:pt idx="3">
                  <c:v>Rain</c:v>
                </c:pt>
                <c:pt idx="4">
                  <c:v>Beldex</c:v>
                </c:pt>
                <c:pt idx="5">
                  <c:v>c8ntinuum</c:v>
                </c:pt>
                <c:pt idx="6">
                  <c:v>Others</c:v>
                </c:pt>
              </c:strCache>
            </c:strRef>
          </c:cat>
          <c:val>
            <c:numRef>
              <c:f>Pivot_Charts!$Y$7:$Y$13</c:f>
              <c:numCache>
                <c:formatCode>General</c:formatCode>
                <c:ptCount val="7"/>
                <c:pt idx="0">
                  <c:v>27209546349</c:v>
                </c:pt>
                <c:pt idx="1">
                  <c:v>18030844694</c:v>
                </c:pt>
                <c:pt idx="2">
                  <c:v>10707656662</c:v>
                </c:pt>
                <c:pt idx="3">
                  <c:v>3233457315</c:v>
                </c:pt>
                <c:pt idx="4">
                  <c:v>589997944</c:v>
                </c:pt>
                <c:pt idx="5">
                  <c:v>460810289</c:v>
                </c:pt>
                <c:pt idx="6">
                  <c:v>6985973325</c:v>
                </c:pt>
              </c:numCache>
            </c:numRef>
          </c:val>
          <c:extLst>
            <c:ext xmlns:c16="http://schemas.microsoft.com/office/drawing/2014/chart" uri="{C3380CC4-5D6E-409C-BE32-E72D297353CC}">
              <c16:uniqueId val="{00000000-ED1B-476A-9FBE-F2DBB7B1724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[Final_Crypto_Analysis_data.xlsx]Pivot_Charts!PivotTable1</c:name>
    <c:fmtId val="4"/>
  </c:pivotSource>
  <c:chart>
    <c:title>
      <c:tx>
        <c:rich>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reflection blurRad="6350" stA="60000" endA="900" endPos="58000" dir="5400000" sy="-100000" algn="bl" rotWithShape="0"/>
                </a:effectLst>
                <a:latin typeface="+mn-lt"/>
                <a:ea typeface="+mn-ea"/>
                <a:cs typeface="+mn-cs"/>
              </a:defRPr>
            </a:pPr>
            <a:r>
              <a:rPr lang="en-US">
                <a:ln>
                  <a:solidFill>
                    <a:schemeClr val="accent4">
                      <a:lumMod val="75000"/>
                    </a:schemeClr>
                  </a:solidFill>
                </a:ln>
                <a:solidFill>
                  <a:schemeClr val="tx1"/>
                </a:solidFill>
                <a:effectLst>
                  <a:reflection blurRad="6350" stA="60000" endA="900" endPos="58000" dir="5400000" sy="-100000" algn="bl" rotWithShape="0"/>
                </a:effectLst>
              </a:rPr>
              <a:t>Top</a:t>
            </a:r>
            <a:r>
              <a:rPr lang="en-US" baseline="0">
                <a:ln>
                  <a:solidFill>
                    <a:schemeClr val="accent4">
                      <a:lumMod val="75000"/>
                    </a:schemeClr>
                  </a:solidFill>
                </a:ln>
                <a:solidFill>
                  <a:schemeClr val="tx1"/>
                </a:solidFill>
                <a:effectLst>
                  <a:reflection blurRad="6350" stA="60000" endA="900" endPos="58000" dir="5400000" sy="-100000" algn="bl" rotWithShape="0"/>
                </a:effectLst>
              </a:rPr>
              <a:t> Ten Coins by Price</a:t>
            </a:r>
            <a:endParaRPr lang="en-US">
              <a:ln>
                <a:solidFill>
                  <a:schemeClr val="accent4">
                    <a:lumMod val="75000"/>
                  </a:schemeClr>
                </a:solidFill>
              </a:ln>
              <a:solidFill>
                <a:schemeClr val="tx1"/>
              </a:solidFill>
              <a:effectLst>
                <a:reflection blurRad="6350" stA="60000" endA="900" endPos="58000"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reflection blurRad="6350" stA="60000" endA="900" endPos="58000" dir="5400000" sy="-100000" algn="bl" rotWithShape="0"/>
              </a:effectLst>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c:f>
              <c:strCache>
                <c:ptCount val="1"/>
                <c:pt idx="0">
                  <c:v>Total</c:v>
                </c:pt>
              </c:strCache>
            </c:strRef>
          </c:tx>
          <c:spPr>
            <a:solidFill>
              <a:schemeClr val="accent4">
                <a:lumMod val="50000"/>
              </a:schemeClr>
            </a:solidFill>
            <a:ln>
              <a:noFill/>
            </a:ln>
            <a:effectLst/>
          </c:spPr>
          <c:invertIfNegative val="0"/>
          <c:cat>
            <c:strRef>
              <c:f>Pivot_Charts!$A$4:$A$14</c:f>
              <c:strCache>
                <c:ptCount val="10"/>
                <c:pt idx="0">
                  <c:v>ether.fi</c:v>
                </c:pt>
                <c:pt idx="1">
                  <c:v>Epic Chain</c:v>
                </c:pt>
                <c:pt idx="2">
                  <c:v>Aerodrome Finance</c:v>
                </c:pt>
                <c:pt idx="3">
                  <c:v>Trias Token (New)</c:v>
                </c:pt>
                <c:pt idx="4">
                  <c:v>Celestia</c:v>
                </c:pt>
                <c:pt idx="5">
                  <c:v>Napoli Fan Token</c:v>
                </c:pt>
                <c:pt idx="6">
                  <c:v>Succinct</c:v>
                </c:pt>
                <c:pt idx="7">
                  <c:v>Pirate Chain</c:v>
                </c:pt>
                <c:pt idx="8">
                  <c:v>Propy</c:v>
                </c:pt>
                <c:pt idx="9">
                  <c:v>VitaDAO</c:v>
                </c:pt>
              </c:strCache>
            </c:strRef>
          </c:cat>
          <c:val>
            <c:numRef>
              <c:f>Pivot_Charts!$B$4:$B$14</c:f>
              <c:numCache>
                <c:formatCode>General</c:formatCode>
                <c:ptCount val="10"/>
                <c:pt idx="0">
                  <c:v>0.49830000000000002</c:v>
                </c:pt>
                <c:pt idx="1">
                  <c:v>0.43240000000000001</c:v>
                </c:pt>
                <c:pt idx="2">
                  <c:v>0.39</c:v>
                </c:pt>
                <c:pt idx="3">
                  <c:v>0.3775</c:v>
                </c:pt>
                <c:pt idx="4">
                  <c:v>0.37259999999999999</c:v>
                </c:pt>
                <c:pt idx="5">
                  <c:v>0.36180000000000001</c:v>
                </c:pt>
                <c:pt idx="6">
                  <c:v>0.35220000000000001</c:v>
                </c:pt>
                <c:pt idx="7">
                  <c:v>0.34799999999999998</c:v>
                </c:pt>
                <c:pt idx="8">
                  <c:v>0.34449999999999997</c:v>
                </c:pt>
                <c:pt idx="9">
                  <c:v>0.30969999999999998</c:v>
                </c:pt>
              </c:numCache>
            </c:numRef>
          </c:val>
          <c:extLst>
            <c:ext xmlns:c16="http://schemas.microsoft.com/office/drawing/2014/chart" uri="{C3380CC4-5D6E-409C-BE32-E72D297353CC}">
              <c16:uniqueId val="{00000000-CE13-4C20-B073-EF7E981B94BD}"/>
            </c:ext>
          </c:extLst>
        </c:ser>
        <c:dLbls>
          <c:showLegendKey val="0"/>
          <c:showVal val="0"/>
          <c:showCatName val="0"/>
          <c:showSerName val="0"/>
          <c:showPercent val="0"/>
          <c:showBubbleSize val="0"/>
        </c:dLbls>
        <c:gapWidth val="219"/>
        <c:overlap val="-27"/>
        <c:axId val="1893733072"/>
        <c:axId val="1893732592"/>
      </c:barChart>
      <c:catAx>
        <c:axId val="189373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732592"/>
        <c:crosses val="autoZero"/>
        <c:auto val="1"/>
        <c:lblAlgn val="ctr"/>
        <c:lblOffset val="100"/>
        <c:noMultiLvlLbl val="0"/>
      </c:catAx>
      <c:valAx>
        <c:axId val="189373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373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schemeClr>
        </a:gs>
        <a:gs pos="50000">
          <a:schemeClr val="accent4">
            <a:lumMod val="20000"/>
            <a:lumOff val="80000"/>
          </a:schemeClr>
        </a:gs>
        <a:gs pos="100000">
          <a:schemeClr val="bg1"/>
        </a:gs>
      </a:gsLst>
      <a:path path="circle">
        <a:fillToRect l="50000" t="50000" r="50000" b="50000"/>
      </a:path>
      <a:tileRect/>
    </a:gradFill>
    <a:ln w="9525" cap="flat" cmpd="sng" algn="ctr">
      <a:solidFill>
        <a:schemeClr val="accent4">
          <a:lumMod val="75000"/>
        </a:schemeClr>
      </a:solidFill>
      <a:round/>
    </a:ln>
    <a:effectLst>
      <a:glow rad="101600">
        <a:schemeClr val="accent4">
          <a:satMod val="175000"/>
          <a:alpha val="40000"/>
        </a:schemeClr>
      </a:glo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[Final_Crypto_Analysis_data.xlsx]Pivot_Charts!PivotTable4</c:name>
    <c:fmtId val="9"/>
  </c:pivotSource>
  <c:chart>
    <c:title>
      <c:tx>
        <c:rich>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latin typeface="+mn-lt"/>
                <a:ea typeface="+mn-ea"/>
                <a:cs typeface="+mn-cs"/>
              </a:defRPr>
            </a:pPr>
            <a:r>
              <a:rPr lang="en-US">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rPr>
              <a:t>Most change in 1Hr</a:t>
            </a:r>
          </a:p>
        </c:rich>
      </c:tx>
      <c:overlay val="0"/>
      <c:spPr>
        <a:noFill/>
        <a:ln>
          <a:noFill/>
        </a:ln>
        <a:effectLst>
          <a:softEdge rad="63500"/>
        </a:effectLst>
      </c:spPr>
      <c:txPr>
        <a:bodyPr rot="0" spcFirstLastPara="1" vertOverflow="ellipsis" vert="horz" wrap="square" anchor="ctr" anchorCtr="1"/>
        <a:lstStyle/>
        <a:p>
          <a:pPr>
            <a:defRPr sz="1400" b="0" i="0" u="none" strike="noStrike" kern="1200" spc="0" baseline="0">
              <a:ln>
                <a:solidFill>
                  <a:schemeClr val="accent4">
                    <a:lumMod val="75000"/>
                  </a:schemeClr>
                </a:solidFill>
              </a:ln>
              <a:solidFill>
                <a:schemeClr val="tx1"/>
              </a:solidFill>
              <a:effectLst>
                <a:glow rad="63500">
                  <a:schemeClr val="accent4">
                    <a:lumMod val="75000"/>
                    <a:alpha val="40000"/>
                  </a:schemeClr>
                </a:glow>
                <a:reflection blurRad="6350" stA="60000" endA="900" endPos="58000" dir="5400000" sy="-100000" algn="bl" rotWithShape="0"/>
              </a:effectLst>
              <a:latin typeface="+mn-lt"/>
              <a:ea typeface="+mn-ea"/>
              <a:cs typeface="+mn-cs"/>
            </a:defRPr>
          </a:pPr>
          <a:endParaRPr lang="en-US"/>
        </a:p>
      </c:txPr>
    </c:title>
    <c:autoTitleDeleted val="0"/>
    <c:pivotFmts>
      <c:pivotFmt>
        <c:idx val="0"/>
        <c:spPr>
          <a:solidFill>
            <a:schemeClr val="accent4">
              <a:lumMod val="75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Pivot_Charts!$B$21</c:f>
              <c:strCache>
                <c:ptCount val="1"/>
                <c:pt idx="0">
                  <c:v>Total</c:v>
                </c:pt>
              </c:strCache>
            </c:strRef>
          </c:tx>
          <c:spPr>
            <a:solidFill>
              <a:schemeClr val="accent4">
                <a:lumMod val="75000"/>
              </a:schemeClr>
            </a:solidFill>
            <a:ln>
              <a:solidFill>
                <a:schemeClr val="accent4">
                  <a:lumMod val="50000"/>
                </a:schemeClr>
              </a:solidFill>
            </a:ln>
            <a:effectLst/>
            <a:sp3d>
              <a:contourClr>
                <a:schemeClr val="accent4">
                  <a:lumMod val="50000"/>
                </a:schemeClr>
              </a:contourClr>
            </a:sp3d>
          </c:spPr>
          <c:invertIfNegative val="0"/>
          <c:cat>
            <c:strRef>
              <c:f>Pivot_Charts!$A$22:$A$32</c:f>
              <c:strCache>
                <c:ptCount val="10"/>
                <c:pt idx="0">
                  <c:v>Beam</c:v>
                </c:pt>
                <c:pt idx="1">
                  <c:v>Bitlayer</c:v>
                </c:pt>
                <c:pt idx="2">
                  <c:v>bitsCrunch</c:v>
                </c:pt>
                <c:pt idx="3">
                  <c:v>CaptainBNB</c:v>
                </c:pt>
                <c:pt idx="4">
                  <c:v>Efinity Token</c:v>
                </c:pt>
                <c:pt idx="5">
                  <c:v>Gleec Coin</c:v>
                </c:pt>
                <c:pt idx="6">
                  <c:v>PRIZM</c:v>
                </c:pt>
                <c:pt idx="7">
                  <c:v>Rain</c:v>
                </c:pt>
                <c:pt idx="8">
                  <c:v>Verasity</c:v>
                </c:pt>
                <c:pt idx="9">
                  <c:v>VitaDAO</c:v>
                </c:pt>
              </c:strCache>
            </c:strRef>
          </c:cat>
          <c:val>
            <c:numRef>
              <c:f>Pivot_Charts!$B$22:$B$32</c:f>
              <c:numCache>
                <c:formatCode>General</c:formatCode>
                <c:ptCount val="10"/>
                <c:pt idx="0">
                  <c:v>6.5299999999999997E-2</c:v>
                </c:pt>
                <c:pt idx="1">
                  <c:v>5.0299999999999997E-2</c:v>
                </c:pt>
                <c:pt idx="2">
                  <c:v>0.1202</c:v>
                </c:pt>
                <c:pt idx="3">
                  <c:v>0.1196</c:v>
                </c:pt>
                <c:pt idx="4">
                  <c:v>0.28399999999999997</c:v>
                </c:pt>
                <c:pt idx="5">
                  <c:v>6.8400000000000002E-2</c:v>
                </c:pt>
                <c:pt idx="6">
                  <c:v>9.1300000000000006E-2</c:v>
                </c:pt>
                <c:pt idx="7">
                  <c:v>8.2500000000000004E-2</c:v>
                </c:pt>
                <c:pt idx="8">
                  <c:v>5.0900000000000001E-2</c:v>
                </c:pt>
                <c:pt idx="9">
                  <c:v>7.0699999999999999E-2</c:v>
                </c:pt>
              </c:numCache>
            </c:numRef>
          </c:val>
          <c:extLst>
            <c:ext xmlns:c16="http://schemas.microsoft.com/office/drawing/2014/chart" uri="{C3380CC4-5D6E-409C-BE32-E72D297353CC}">
              <c16:uniqueId val="{00000000-0A47-4B27-A0EE-3CA7E23CDA8B}"/>
            </c:ext>
          </c:extLst>
        </c:ser>
        <c:dLbls>
          <c:showLegendKey val="0"/>
          <c:showVal val="0"/>
          <c:showCatName val="0"/>
          <c:showSerName val="0"/>
          <c:showPercent val="0"/>
          <c:showBubbleSize val="0"/>
        </c:dLbls>
        <c:gapWidth val="150"/>
        <c:shape val="box"/>
        <c:axId val="336888943"/>
        <c:axId val="336893263"/>
        <c:axId val="0"/>
      </c:bar3DChart>
      <c:catAx>
        <c:axId val="33688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6893263"/>
        <c:crosses val="autoZero"/>
        <c:auto val="1"/>
        <c:lblAlgn val="ctr"/>
        <c:lblOffset val="100"/>
        <c:noMultiLvlLbl val="0"/>
      </c:catAx>
      <c:valAx>
        <c:axId val="33689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688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schemeClr>
        </a:gs>
        <a:gs pos="50000">
          <a:schemeClr val="accent4">
            <a:lumMod val="20000"/>
            <a:lumOff val="80000"/>
          </a:schemeClr>
        </a:gs>
        <a:gs pos="85000">
          <a:schemeClr val="bg1"/>
        </a:gs>
      </a:gsLst>
      <a:path path="circle">
        <a:fillToRect l="50000" t="50000" r="50000" b="50000"/>
      </a:path>
      <a:tileRect/>
    </a:gradFill>
    <a:ln w="9525" cap="flat" cmpd="sng" algn="ctr">
      <a:solidFill>
        <a:schemeClr val="accent4">
          <a:lumMod val="75000"/>
        </a:schemeClr>
      </a:solidFill>
      <a:round/>
    </a:ln>
    <a:effectLst>
      <a:glow rad="1016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[Final_Crypto_Analysis_data.xlsx]Pivot_Charts!PivotTable2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latin typeface="+mn-lt"/>
                <a:ea typeface="+mn-ea"/>
                <a:cs typeface="+mn-cs"/>
              </a:defRPr>
            </a:pPr>
            <a:r>
              <a:rPr lang="en-IN" b="1">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rPr>
              <a:t>Price</a:t>
            </a:r>
            <a:r>
              <a:rPr lang="en-IN" b="1" baseline="0">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rPr>
              <a:t> v/s Dollar Supply</a:t>
            </a:r>
            <a:endParaRPr lang="en-IN" b="1">
              <a:solidFill>
                <a:schemeClr val="accent4">
                  <a:lumMod val="50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glow rad="101600">
                  <a:schemeClr val="accent4">
                    <a:satMod val="175000"/>
                    <a:alpha val="40000"/>
                  </a:schemeClr>
                </a:glow>
                <a:outerShdw blurRad="50800" dist="38100" dir="18900000" algn="bl" rotWithShape="0">
                  <a:prstClr val="black">
                    <a:alpha val="40000"/>
                  </a:prstClr>
                </a:outerShdw>
                <a:reflection blurRad="6350" stA="60000" endA="900" endPos="60000" dist="29997" dir="5400000" sy="-100000" algn="bl" rotWithShape="0"/>
              </a:effectLst>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Pivot_Charts!$B$40</c:f>
              <c:strCache>
                <c:ptCount val="1"/>
                <c:pt idx="0">
                  <c:v>Price(USD)</c:v>
                </c:pt>
              </c:strCache>
            </c:strRef>
          </c:tx>
          <c:spPr>
            <a:solidFill>
              <a:schemeClr val="accent4">
                <a:shade val="76000"/>
              </a:schemeClr>
            </a:solidFill>
            <a:ln>
              <a:noFill/>
            </a:ln>
            <a:effectLst/>
          </c:spPr>
          <c:invertIfNegative val="0"/>
          <c:cat>
            <c:strRef>
              <c:f>Pivot_Charts!$A$41:$A$51</c:f>
              <c:strCache>
                <c:ptCount val="10"/>
                <c:pt idx="0">
                  <c:v>Celestia</c:v>
                </c:pt>
                <c:pt idx="1">
                  <c:v>dYdX (ethDYDX)</c:v>
                </c:pt>
                <c:pt idx="2">
                  <c:v>Epic Chain</c:v>
                </c:pt>
                <c:pt idx="3">
                  <c:v>ether.fi</c:v>
                </c:pt>
                <c:pt idx="4">
                  <c:v>Fusionist</c:v>
                </c:pt>
                <c:pt idx="5">
                  <c:v>Humanity Protocol</c:v>
                </c:pt>
                <c:pt idx="6">
                  <c:v>Napoli Fan Token</c:v>
                </c:pt>
                <c:pt idx="7">
                  <c:v>Propy</c:v>
                </c:pt>
                <c:pt idx="8">
                  <c:v>StakeStone</c:v>
                </c:pt>
                <c:pt idx="9">
                  <c:v>Succinct</c:v>
                </c:pt>
              </c:strCache>
            </c:strRef>
          </c:cat>
          <c:val>
            <c:numRef>
              <c:f>Pivot_Charts!$B$41:$B$51</c:f>
              <c:numCache>
                <c:formatCode>General</c:formatCode>
                <c:ptCount val="10"/>
                <c:pt idx="0">
                  <c:v>0.37259999999999999</c:v>
                </c:pt>
                <c:pt idx="1">
                  <c:v>0.13519999999999999</c:v>
                </c:pt>
                <c:pt idx="2">
                  <c:v>0.43240000000000001</c:v>
                </c:pt>
                <c:pt idx="3">
                  <c:v>0.49830000000000002</c:v>
                </c:pt>
                <c:pt idx="4">
                  <c:v>0.21460000000000001</c:v>
                </c:pt>
                <c:pt idx="5">
                  <c:v>0.13569999999999999</c:v>
                </c:pt>
                <c:pt idx="6">
                  <c:v>0.36180000000000001</c:v>
                </c:pt>
                <c:pt idx="7">
                  <c:v>0.34449999999999997</c:v>
                </c:pt>
                <c:pt idx="8">
                  <c:v>8.5000000000000006E-2</c:v>
                </c:pt>
                <c:pt idx="9">
                  <c:v>0.35220000000000001</c:v>
                </c:pt>
              </c:numCache>
            </c:numRef>
          </c:val>
          <c:extLst>
            <c:ext xmlns:c16="http://schemas.microsoft.com/office/drawing/2014/chart" uri="{C3380CC4-5D6E-409C-BE32-E72D297353CC}">
              <c16:uniqueId val="{00000000-2999-4CA6-8900-E7F3B52B166D}"/>
            </c:ext>
          </c:extLst>
        </c:ser>
        <c:ser>
          <c:idx val="1"/>
          <c:order val="1"/>
          <c:tx>
            <c:strRef>
              <c:f>Pivot_Charts!$C$40</c:f>
              <c:strCache>
                <c:ptCount val="1"/>
                <c:pt idx="0">
                  <c:v>Dollar Value per Supply</c:v>
                </c:pt>
              </c:strCache>
            </c:strRef>
          </c:tx>
          <c:spPr>
            <a:solidFill>
              <a:schemeClr val="accent4">
                <a:tint val="77000"/>
              </a:schemeClr>
            </a:solidFill>
            <a:ln>
              <a:noFill/>
            </a:ln>
            <a:effectLst/>
          </c:spPr>
          <c:invertIfNegative val="0"/>
          <c:cat>
            <c:strRef>
              <c:f>Pivot_Charts!$A$41:$A$51</c:f>
              <c:strCache>
                <c:ptCount val="10"/>
                <c:pt idx="0">
                  <c:v>Celestia</c:v>
                </c:pt>
                <c:pt idx="1">
                  <c:v>dYdX (ethDYDX)</c:v>
                </c:pt>
                <c:pt idx="2">
                  <c:v>Epic Chain</c:v>
                </c:pt>
                <c:pt idx="3">
                  <c:v>ether.fi</c:v>
                </c:pt>
                <c:pt idx="4">
                  <c:v>Fusionist</c:v>
                </c:pt>
                <c:pt idx="5">
                  <c:v>Humanity Protocol</c:v>
                </c:pt>
                <c:pt idx="6">
                  <c:v>Napoli Fan Token</c:v>
                </c:pt>
                <c:pt idx="7">
                  <c:v>Propy</c:v>
                </c:pt>
                <c:pt idx="8">
                  <c:v>StakeStone</c:v>
                </c:pt>
                <c:pt idx="9">
                  <c:v>Succinct</c:v>
                </c:pt>
              </c:strCache>
            </c:strRef>
          </c:cat>
          <c:val>
            <c:numRef>
              <c:f>Pivot_Charts!$C$41:$C$51</c:f>
              <c:numCache>
                <c:formatCode>General</c:formatCode>
                <c:ptCount val="10"/>
                <c:pt idx="0">
                  <c:v>6.5399602933940565E-2</c:v>
                </c:pt>
                <c:pt idx="1">
                  <c:v>0.21273210084033614</c:v>
                </c:pt>
                <c:pt idx="2">
                  <c:v>0.12787330357142856</c:v>
                </c:pt>
                <c:pt idx="3">
                  <c:v>7.9890189601921763E-2</c:v>
                </c:pt>
                <c:pt idx="4">
                  <c:v>0.11401440716911765</c:v>
                </c:pt>
                <c:pt idx="5">
                  <c:v>6.0106486721991703E-2</c:v>
                </c:pt>
                <c:pt idx="6">
                  <c:v>0.10874971644612476</c:v>
                </c:pt>
                <c:pt idx="7">
                  <c:v>6.9248370000000004E-2</c:v>
                </c:pt>
                <c:pt idx="8">
                  <c:v>7.2221705942395603E-2</c:v>
                </c:pt>
                <c:pt idx="9">
                  <c:v>0.18052318461538461</c:v>
                </c:pt>
              </c:numCache>
            </c:numRef>
          </c:val>
          <c:extLst>
            <c:ext xmlns:c16="http://schemas.microsoft.com/office/drawing/2014/chart" uri="{C3380CC4-5D6E-409C-BE32-E72D297353CC}">
              <c16:uniqueId val="{00000001-2999-4CA6-8900-E7F3B52B166D}"/>
            </c:ext>
          </c:extLst>
        </c:ser>
        <c:dLbls>
          <c:showLegendKey val="0"/>
          <c:showVal val="0"/>
          <c:showCatName val="0"/>
          <c:showSerName val="0"/>
          <c:showPercent val="0"/>
          <c:showBubbleSize val="0"/>
        </c:dLbls>
        <c:gapWidth val="219"/>
        <c:overlap val="-27"/>
        <c:axId val="238955887"/>
        <c:axId val="238959727"/>
      </c:barChart>
      <c:catAx>
        <c:axId val="23895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8959727"/>
        <c:crosses val="autoZero"/>
        <c:auto val="1"/>
        <c:lblAlgn val="ctr"/>
        <c:lblOffset val="100"/>
        <c:noMultiLvlLbl val="0"/>
      </c:catAx>
      <c:valAx>
        <c:axId val="23895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3895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bg1"/>
        </a:gs>
        <a:gs pos="71000">
          <a:schemeClr val="accent4">
            <a:lumMod val="20000"/>
            <a:lumOff val="80000"/>
          </a:schemeClr>
        </a:gs>
        <a:gs pos="8000">
          <a:schemeClr val="accent4">
            <a:lumMod val="60000"/>
            <a:lumOff val="40000"/>
          </a:schemeClr>
        </a:gs>
        <a:gs pos="39000">
          <a:schemeClr val="accent4">
            <a:lumMod val="40000"/>
            <a:lumOff val="60000"/>
          </a:schemeClr>
        </a:gs>
      </a:gsLst>
      <a:path path="shape">
        <a:fillToRect l="50000" t="50000" r="50000" b="50000"/>
      </a:path>
      <a:tileRect/>
    </a:gradFill>
    <a:ln w="0" cap="flat" cmpd="sng" algn="ctr">
      <a:solidFill>
        <a:schemeClr val="accent4">
          <a:lumMod val="75000"/>
        </a:schemeClr>
      </a:solidFill>
      <a:round/>
    </a:ln>
    <a:effectLst>
      <a:glow rad="63500">
        <a:schemeClr val="accent4">
          <a:satMod val="175000"/>
          <a:alpha val="40000"/>
        </a:schemeClr>
      </a:glow>
      <a:outerShdw blurRad="152400" sx="101000" sy="101000" algn="ctr" rotWithShape="0">
        <a:schemeClr val="accent4">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4">
                  <a:tint val="4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38-4649-B316-6EEF48859A6A}"/>
              </c:ext>
            </c:extLst>
          </c:dPt>
          <c:dPt>
            <c:idx val="1"/>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38-4649-B316-6EEF48859A6A}"/>
              </c:ext>
            </c:extLst>
          </c:dPt>
          <c:dPt>
            <c:idx val="2"/>
            <c:bubble3D val="0"/>
            <c:spPr>
              <a:solidFill>
                <a:schemeClr val="accent4">
                  <a:tint val="8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38-4649-B316-6EEF48859A6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38-4649-B316-6EEF48859A6A}"/>
              </c:ext>
            </c:extLst>
          </c:dPt>
          <c:dPt>
            <c:idx val="4"/>
            <c:bubble3D val="0"/>
            <c:spPr>
              <a:solidFill>
                <a:schemeClr val="accent4">
                  <a:shade val="82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738-4649-B316-6EEF48859A6A}"/>
              </c:ext>
            </c:extLst>
          </c:dPt>
          <c:dPt>
            <c:idx val="5"/>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738-4649-B316-6EEF48859A6A}"/>
              </c:ext>
            </c:extLst>
          </c:dPt>
          <c:dPt>
            <c:idx val="6"/>
            <c:bubble3D val="0"/>
            <c:spPr>
              <a:solidFill>
                <a:schemeClr val="accent4">
                  <a:shade val="4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38-4649-B316-6EEF48859A6A}"/>
              </c:ext>
            </c:extLst>
          </c:dPt>
          <c:dLbls>
            <c:spPr>
              <a:gradFill>
                <a:gsLst>
                  <a:gs pos="0">
                    <a:schemeClr val="bg1"/>
                  </a:gs>
                  <a:gs pos="81000">
                    <a:schemeClr val="accent4">
                      <a:lumMod val="20000"/>
                      <a:lumOff val="80000"/>
                    </a:schemeClr>
                  </a:gs>
                  <a:gs pos="100000">
                    <a:schemeClr val="accent4">
                      <a:lumMod val="60000"/>
                      <a:lumOff val="40000"/>
                    </a:schemeClr>
                  </a:gs>
                  <a:gs pos="91000">
                    <a:schemeClr val="accent4">
                      <a:lumMod val="40000"/>
                      <a:lumOff val="60000"/>
                    </a:schemeClr>
                  </a:gs>
                </a:gsLst>
                <a:path path="shape">
                  <a:fillToRect l="50000" t="50000" r="50000" b="50000"/>
                </a:path>
              </a:gradFill>
              <a:ln>
                <a:solidFill>
                  <a:schemeClr val="accent4">
                    <a:lumMod val="50000"/>
                  </a:schemeClr>
                </a:solid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Pivot_Charts!$X$7:$X$13</c:f>
              <c:strCache>
                <c:ptCount val="7"/>
                <c:pt idx="0">
                  <c:v>TRON</c:v>
                </c:pt>
                <c:pt idx="1">
                  <c:v>Dogecoin</c:v>
                </c:pt>
                <c:pt idx="2">
                  <c:v>Cardano</c:v>
                </c:pt>
                <c:pt idx="3">
                  <c:v>Rain</c:v>
                </c:pt>
                <c:pt idx="4">
                  <c:v>Beldex</c:v>
                </c:pt>
                <c:pt idx="5">
                  <c:v>c8ntinuum</c:v>
                </c:pt>
                <c:pt idx="6">
                  <c:v>Others</c:v>
                </c:pt>
              </c:strCache>
            </c:strRef>
          </c:cat>
          <c:val>
            <c:numRef>
              <c:f>Pivot_Charts!$Y$7:$Y$13</c:f>
              <c:numCache>
                <c:formatCode>General</c:formatCode>
                <c:ptCount val="7"/>
                <c:pt idx="0">
                  <c:v>27209546349</c:v>
                </c:pt>
                <c:pt idx="1">
                  <c:v>18030844694</c:v>
                </c:pt>
                <c:pt idx="2">
                  <c:v>10707656662</c:v>
                </c:pt>
                <c:pt idx="3">
                  <c:v>3233457315</c:v>
                </c:pt>
                <c:pt idx="4">
                  <c:v>589997944</c:v>
                </c:pt>
                <c:pt idx="5">
                  <c:v>460810289</c:v>
                </c:pt>
                <c:pt idx="6">
                  <c:v>6985973325</c:v>
                </c:pt>
              </c:numCache>
            </c:numRef>
          </c:val>
          <c:extLst>
            <c:ext xmlns:c16="http://schemas.microsoft.com/office/drawing/2014/chart" uri="{C3380CC4-5D6E-409C-BE32-E72D297353CC}">
              <c16:uniqueId val="{0000000E-E738-4649-B316-6EEF48859A6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188806</xdr:colOff>
      <xdr:row>1</xdr:row>
      <xdr:rowOff>100753</xdr:rowOff>
    </xdr:from>
    <xdr:to>
      <xdr:col>10</xdr:col>
      <xdr:colOff>546946</xdr:colOff>
      <xdr:row>15</xdr:row>
      <xdr:rowOff>93133</xdr:rowOff>
    </xdr:to>
    <xdr:graphicFrame macro="">
      <xdr:nvGraphicFramePr>
        <xdr:cNvPr id="2" name="Chart 1">
          <a:extLst>
            <a:ext uri="{FF2B5EF4-FFF2-40B4-BE49-F238E27FC236}">
              <a16:creationId xmlns:a16="http://schemas.microsoft.com/office/drawing/2014/main" id="{B19DDA7E-C006-F663-46C3-E4003513E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284352</xdr:colOff>
      <xdr:row>11</xdr:row>
      <xdr:rowOff>16214</xdr:rowOff>
    </xdr:from>
    <xdr:to>
      <xdr:col>15</xdr:col>
      <xdr:colOff>518808</xdr:colOff>
      <xdr:row>27</xdr:row>
      <xdr:rowOff>145916</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DEECF42C-C992-36A7-EE2B-9DEE4EDB6634}"/>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10352480" y="1977959"/>
              <a:ext cx="3347307" cy="2983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233257</xdr:colOff>
      <xdr:row>19</xdr:row>
      <xdr:rowOff>24977</xdr:rowOff>
    </xdr:from>
    <xdr:to>
      <xdr:col>10</xdr:col>
      <xdr:colOff>538057</xdr:colOff>
      <xdr:row>33</xdr:row>
      <xdr:rowOff>44027</xdr:rowOff>
    </xdr:to>
    <xdr:graphicFrame macro="">
      <xdr:nvGraphicFramePr>
        <xdr:cNvPr id="4" name="Chart 3">
          <a:extLst>
            <a:ext uri="{FF2B5EF4-FFF2-40B4-BE49-F238E27FC236}">
              <a16:creationId xmlns:a16="http://schemas.microsoft.com/office/drawing/2014/main" id="{898974A7-4C69-F7F8-DBA5-F2A9C3049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216568</xdr:colOff>
      <xdr:row>37</xdr:row>
      <xdr:rowOff>32084</xdr:rowOff>
    </xdr:from>
    <xdr:to>
      <xdr:col>10</xdr:col>
      <xdr:colOff>521368</xdr:colOff>
      <xdr:row>52</xdr:row>
      <xdr:rowOff>8021</xdr:rowOff>
    </xdr:to>
    <xdr:graphicFrame macro="">
      <xdr:nvGraphicFramePr>
        <xdr:cNvPr id="5" name="Chart 4">
          <a:extLst>
            <a:ext uri="{FF2B5EF4-FFF2-40B4-BE49-F238E27FC236}">
              <a16:creationId xmlns:a16="http://schemas.microsoft.com/office/drawing/2014/main" id="{5A666D72-36BD-EABC-D1BD-9763C0A76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37378</xdr:colOff>
      <xdr:row>14</xdr:row>
      <xdr:rowOff>173415</xdr:rowOff>
    </xdr:from>
    <xdr:to>
      <xdr:col>29</xdr:col>
      <xdr:colOff>210767</xdr:colOff>
      <xdr:row>32</xdr:row>
      <xdr:rowOff>162126</xdr:rowOff>
    </xdr:to>
    <xdr:graphicFrame macro="">
      <xdr:nvGraphicFramePr>
        <xdr:cNvPr id="6" name="Chart 5">
          <a:extLst>
            <a:ext uri="{FF2B5EF4-FFF2-40B4-BE49-F238E27FC236}">
              <a16:creationId xmlns:a16="http://schemas.microsoft.com/office/drawing/2014/main" id="{1EF287A0-CC9A-EA49-7082-D14FE0EBA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486382</xdr:colOff>
      <xdr:row>2</xdr:row>
      <xdr:rowOff>81064</xdr:rowOff>
    </xdr:from>
    <xdr:to>
      <xdr:col>20</xdr:col>
      <xdr:colOff>583658</xdr:colOff>
      <xdr:row>9</xdr:row>
      <xdr:rowOff>145915</xdr:rowOff>
    </xdr:to>
    <xdr:sp macro="" textlink="U39">
      <xdr:nvSpPr>
        <xdr:cNvPr id="7" name="Rectangle: Rounded Corners 6">
          <a:extLst>
            <a:ext uri="{FF2B5EF4-FFF2-40B4-BE49-F238E27FC236}">
              <a16:creationId xmlns:a16="http://schemas.microsoft.com/office/drawing/2014/main" id="{25EB68A6-909D-0753-67D0-030455937904}"/>
            </a:ext>
          </a:extLst>
        </xdr:cNvPr>
        <xdr:cNvSpPr/>
      </xdr:nvSpPr>
      <xdr:spPr>
        <a:xfrm>
          <a:off x="13018850" y="437745"/>
          <a:ext cx="2561617" cy="1313234"/>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621B6F-E2F9-451C-ADC7-FF5621D9BC88}" type="TxLink">
            <a:rPr lang="en-US" sz="2400" b="1" i="0" u="none" strike="noStrike">
              <a:solidFill>
                <a:srgbClr val="000000"/>
              </a:solidFill>
              <a:latin typeface="Calibri"/>
              <a:ea typeface="Calibri"/>
              <a:cs typeface="Calibri"/>
            </a:rPr>
            <a:pPr algn="ctr"/>
            <a:t>67218286578</a:t>
          </a:fld>
          <a:endParaRPr lang="en-IN" sz="2400" b="1"/>
        </a:p>
      </xdr:txBody>
    </xdr:sp>
    <xdr:clientData/>
  </xdr:twoCellAnchor>
  <xdr:twoCellAnchor>
    <xdr:from>
      <xdr:col>17</xdr:col>
      <xdr:colOff>259406</xdr:colOff>
      <xdr:row>2</xdr:row>
      <xdr:rowOff>145914</xdr:rowOff>
    </xdr:from>
    <xdr:to>
      <xdr:col>20</xdr:col>
      <xdr:colOff>259405</xdr:colOff>
      <xdr:row>4</xdr:row>
      <xdr:rowOff>113488</xdr:rowOff>
    </xdr:to>
    <xdr:sp macro="" textlink="">
      <xdr:nvSpPr>
        <xdr:cNvPr id="8" name="TextBox 7">
          <a:extLst>
            <a:ext uri="{FF2B5EF4-FFF2-40B4-BE49-F238E27FC236}">
              <a16:creationId xmlns:a16="http://schemas.microsoft.com/office/drawing/2014/main" id="{46F6AC3F-0CBC-EDAD-8570-E6BD6CF6757F}"/>
            </a:ext>
          </a:extLst>
        </xdr:cNvPr>
        <xdr:cNvSpPr txBox="1"/>
      </xdr:nvSpPr>
      <xdr:spPr>
        <a:xfrm>
          <a:off x="13407959" y="502595"/>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Sum of Market Capital</a:t>
          </a:r>
        </a:p>
      </xdr:txBody>
    </xdr:sp>
    <xdr:clientData/>
  </xdr:twoCellAnchor>
  <xdr:twoCellAnchor>
    <xdr:from>
      <xdr:col>20</xdr:col>
      <xdr:colOff>0</xdr:colOff>
      <xdr:row>13</xdr:row>
      <xdr:rowOff>0</xdr:rowOff>
    </xdr:from>
    <xdr:to>
      <xdr:col>20</xdr:col>
      <xdr:colOff>2561617</xdr:colOff>
      <xdr:row>20</xdr:row>
      <xdr:rowOff>64851</xdr:rowOff>
    </xdr:to>
    <xdr:sp macro="" textlink="U43">
      <xdr:nvSpPr>
        <xdr:cNvPr id="10" name="Rectangle: Rounded Corners 9">
          <a:extLst>
            <a:ext uri="{FF2B5EF4-FFF2-40B4-BE49-F238E27FC236}">
              <a16:creationId xmlns:a16="http://schemas.microsoft.com/office/drawing/2014/main" id="{9F3FECA6-600D-491F-A321-17B9B70B1867}"/>
            </a:ext>
          </a:extLst>
        </xdr:cNvPr>
        <xdr:cNvSpPr/>
      </xdr:nvSpPr>
      <xdr:spPr>
        <a:xfrm>
          <a:off x="14996809" y="2318426"/>
          <a:ext cx="2561617" cy="1313234"/>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3506A1-0C71-4DA1-80B4-D07146D2E99F}" type="TxLink">
            <a:rPr lang="en-US" sz="2400" b="1" i="0" u="none" strike="noStrike">
              <a:solidFill>
                <a:srgbClr val="000000"/>
              </a:solidFill>
              <a:latin typeface="Calibri"/>
              <a:ea typeface="Calibri"/>
              <a:cs typeface="Calibri"/>
            </a:rPr>
            <a:pPr algn="ctr"/>
            <a:t>2.87558E+15</a:t>
          </a:fld>
          <a:endParaRPr lang="en-IN" sz="4800" b="1"/>
        </a:p>
      </xdr:txBody>
    </xdr:sp>
    <xdr:clientData/>
  </xdr:twoCellAnchor>
  <xdr:twoCellAnchor>
    <xdr:from>
      <xdr:col>20</xdr:col>
      <xdr:colOff>324258</xdr:colOff>
      <xdr:row>13</xdr:row>
      <xdr:rowOff>81063</xdr:rowOff>
    </xdr:from>
    <xdr:to>
      <xdr:col>20</xdr:col>
      <xdr:colOff>2302212</xdr:colOff>
      <xdr:row>15</xdr:row>
      <xdr:rowOff>32426</xdr:rowOff>
    </xdr:to>
    <xdr:sp macro="" textlink="">
      <xdr:nvSpPr>
        <xdr:cNvPr id="11" name="TextBox 10">
          <a:extLst>
            <a:ext uri="{FF2B5EF4-FFF2-40B4-BE49-F238E27FC236}">
              <a16:creationId xmlns:a16="http://schemas.microsoft.com/office/drawing/2014/main" id="{7661F74E-2571-46AB-ABF8-24F3C09A0B4B}"/>
            </a:ext>
          </a:extLst>
        </xdr:cNvPr>
        <xdr:cNvSpPr txBox="1"/>
      </xdr:nvSpPr>
      <xdr:spPr>
        <a:xfrm>
          <a:off x="15321067" y="2399489"/>
          <a:ext cx="1977954" cy="308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Circulating Supply</a:t>
          </a:r>
          <a:endParaRPr lang="en-IN" sz="1400" b="1"/>
        </a:p>
      </xdr:txBody>
    </xdr:sp>
    <xdr:clientData/>
  </xdr:twoCellAnchor>
  <xdr:twoCellAnchor>
    <xdr:from>
      <xdr:col>20</xdr:col>
      <xdr:colOff>2568102</xdr:colOff>
      <xdr:row>22</xdr:row>
      <xdr:rowOff>55124</xdr:rowOff>
    </xdr:from>
    <xdr:to>
      <xdr:col>21</xdr:col>
      <xdr:colOff>2503251</xdr:colOff>
      <xdr:row>29</xdr:row>
      <xdr:rowOff>119975</xdr:rowOff>
    </xdr:to>
    <xdr:sp macro="" textlink="U46">
      <xdr:nvSpPr>
        <xdr:cNvPr id="12" name="Rectangle: Rounded Corners 11">
          <a:extLst>
            <a:ext uri="{FF2B5EF4-FFF2-40B4-BE49-F238E27FC236}">
              <a16:creationId xmlns:a16="http://schemas.microsoft.com/office/drawing/2014/main" id="{41A0D92E-E20A-4A39-BA78-A196719D6160}"/>
            </a:ext>
          </a:extLst>
        </xdr:cNvPr>
        <xdr:cNvSpPr/>
      </xdr:nvSpPr>
      <xdr:spPr>
        <a:xfrm>
          <a:off x="17564911" y="3978613"/>
          <a:ext cx="2561617" cy="1313234"/>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A66B1F-749A-427C-B432-5EEFEB575442}" type="TxLink">
            <a:rPr lang="en-US" sz="2400" b="1" i="0" u="none" strike="noStrike">
              <a:solidFill>
                <a:srgbClr val="000000"/>
              </a:solidFill>
              <a:latin typeface="Calibri"/>
              <a:ea typeface="Calibri"/>
              <a:cs typeface="Calibri"/>
            </a:rPr>
            <a:pPr algn="ctr"/>
            <a:t>0.4983</a:t>
          </a:fld>
          <a:endParaRPr lang="en-IN" sz="4800" b="1"/>
        </a:p>
      </xdr:txBody>
    </xdr:sp>
    <xdr:clientData/>
  </xdr:twoCellAnchor>
  <xdr:twoCellAnchor>
    <xdr:from>
      <xdr:col>21</xdr:col>
      <xdr:colOff>249680</xdr:colOff>
      <xdr:row>22</xdr:row>
      <xdr:rowOff>103762</xdr:rowOff>
    </xdr:from>
    <xdr:to>
      <xdr:col>21</xdr:col>
      <xdr:colOff>2097935</xdr:colOff>
      <xdr:row>24</xdr:row>
      <xdr:rowOff>71336</xdr:rowOff>
    </xdr:to>
    <xdr:sp macro="" textlink="">
      <xdr:nvSpPr>
        <xdr:cNvPr id="13" name="TextBox 12">
          <a:extLst>
            <a:ext uri="{FF2B5EF4-FFF2-40B4-BE49-F238E27FC236}">
              <a16:creationId xmlns:a16="http://schemas.microsoft.com/office/drawing/2014/main" id="{E820BB85-D73C-4027-B039-9822603CF7D5}"/>
            </a:ext>
          </a:extLst>
        </xdr:cNvPr>
        <xdr:cNvSpPr txBox="1"/>
      </xdr:nvSpPr>
      <xdr:spPr>
        <a:xfrm>
          <a:off x="17872957" y="4027251"/>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Price</a:t>
          </a:r>
          <a:r>
            <a:rPr lang="en-IN" sz="1400" b="1" baseline="0"/>
            <a:t> of Top Coin</a:t>
          </a:r>
          <a:endParaRPr lang="en-IN" sz="1400" b="1"/>
        </a:p>
      </xdr:txBody>
    </xdr:sp>
    <xdr:clientData/>
  </xdr:twoCellAnchor>
  <xdr:twoCellAnchor>
    <xdr:from>
      <xdr:col>16</xdr:col>
      <xdr:colOff>45396</xdr:colOff>
      <xdr:row>22</xdr:row>
      <xdr:rowOff>126460</xdr:rowOff>
    </xdr:from>
    <xdr:to>
      <xdr:col>20</xdr:col>
      <xdr:colOff>142672</xdr:colOff>
      <xdr:row>30</xdr:row>
      <xdr:rowOff>12970</xdr:rowOff>
    </xdr:to>
    <xdr:sp macro="" textlink="U44">
      <xdr:nvSpPr>
        <xdr:cNvPr id="14" name="Rectangle: Rounded Corners 13">
          <a:extLst>
            <a:ext uri="{FF2B5EF4-FFF2-40B4-BE49-F238E27FC236}">
              <a16:creationId xmlns:a16="http://schemas.microsoft.com/office/drawing/2014/main" id="{622EF541-7172-4518-B6FC-3A9D6B01B454}"/>
            </a:ext>
          </a:extLst>
        </xdr:cNvPr>
        <xdr:cNvSpPr/>
      </xdr:nvSpPr>
      <xdr:spPr>
        <a:xfrm>
          <a:off x="12577864" y="4049949"/>
          <a:ext cx="2561617" cy="1313234"/>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4C31F9-72A6-4F0E-85F3-038E25A58E4E}" type="TxLink">
            <a:rPr lang="en-US" sz="2400" b="1" i="0" u="none" strike="noStrike">
              <a:solidFill>
                <a:srgbClr val="000000"/>
              </a:solidFill>
              <a:latin typeface="Calibri"/>
              <a:ea typeface="Calibri"/>
              <a:cs typeface="Calibri"/>
            </a:rPr>
            <a:pPr algn="ctr"/>
            <a:t>ether.fi</a:t>
          </a:fld>
          <a:endParaRPr lang="en-IN" sz="4800" b="1"/>
        </a:p>
      </xdr:txBody>
    </xdr:sp>
    <xdr:clientData/>
  </xdr:twoCellAnchor>
  <xdr:twoCellAnchor>
    <xdr:from>
      <xdr:col>16</xdr:col>
      <xdr:colOff>369654</xdr:colOff>
      <xdr:row>23</xdr:row>
      <xdr:rowOff>12969</xdr:rowOff>
    </xdr:from>
    <xdr:to>
      <xdr:col>19</xdr:col>
      <xdr:colOff>369654</xdr:colOff>
      <xdr:row>24</xdr:row>
      <xdr:rowOff>158884</xdr:rowOff>
    </xdr:to>
    <xdr:sp macro="" textlink="">
      <xdr:nvSpPr>
        <xdr:cNvPr id="15" name="TextBox 14">
          <a:extLst>
            <a:ext uri="{FF2B5EF4-FFF2-40B4-BE49-F238E27FC236}">
              <a16:creationId xmlns:a16="http://schemas.microsoft.com/office/drawing/2014/main" id="{6046F30C-2B06-49AF-8B8F-74C3376EEB9D}"/>
            </a:ext>
          </a:extLst>
        </xdr:cNvPr>
        <xdr:cNvSpPr txBox="1"/>
      </xdr:nvSpPr>
      <xdr:spPr>
        <a:xfrm>
          <a:off x="12902122" y="4114799"/>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Top</a:t>
          </a:r>
          <a:r>
            <a:rPr lang="en-IN" sz="1400" b="1" baseline="0"/>
            <a:t> Price Coin</a:t>
          </a:r>
          <a:endParaRPr lang="en-IN" sz="1400" b="1"/>
        </a:p>
      </xdr:txBody>
    </xdr:sp>
    <xdr:clientData/>
  </xdr:twoCellAnchor>
  <xdr:twoCellAnchor>
    <xdr:from>
      <xdr:col>20</xdr:col>
      <xdr:colOff>2354094</xdr:colOff>
      <xdr:row>2</xdr:row>
      <xdr:rowOff>51881</xdr:rowOff>
    </xdr:from>
    <xdr:to>
      <xdr:col>21</xdr:col>
      <xdr:colOff>2289243</xdr:colOff>
      <xdr:row>9</xdr:row>
      <xdr:rowOff>116732</xdr:rowOff>
    </xdr:to>
    <xdr:sp macro="" textlink="U41">
      <xdr:nvSpPr>
        <xdr:cNvPr id="16" name="Rectangle: Rounded Corners 15">
          <a:extLst>
            <a:ext uri="{FF2B5EF4-FFF2-40B4-BE49-F238E27FC236}">
              <a16:creationId xmlns:a16="http://schemas.microsoft.com/office/drawing/2014/main" id="{6097E2B9-0A5F-4F29-9907-C864D86CD14C}"/>
            </a:ext>
          </a:extLst>
        </xdr:cNvPr>
        <xdr:cNvSpPr/>
      </xdr:nvSpPr>
      <xdr:spPr>
        <a:xfrm>
          <a:off x="17350903" y="408562"/>
          <a:ext cx="2561617" cy="1313234"/>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00CF1E-4C02-4004-859C-532B349BC192}" type="TxLink">
            <a:rPr lang="en-US" sz="2400" b="1" i="0" u="none" strike="noStrike">
              <a:solidFill>
                <a:srgbClr val="000000"/>
              </a:solidFill>
              <a:latin typeface="Calibri"/>
              <a:ea typeface="Calibri"/>
              <a:cs typeface="Calibri"/>
            </a:rPr>
            <a:pPr algn="ctr"/>
            <a:t>13.3884</a:t>
          </a:fld>
          <a:endParaRPr lang="en-IN" sz="4800" b="1"/>
        </a:p>
      </xdr:txBody>
    </xdr:sp>
    <xdr:clientData/>
  </xdr:twoCellAnchor>
  <xdr:twoCellAnchor>
    <xdr:from>
      <xdr:col>21</xdr:col>
      <xdr:colOff>116735</xdr:colOff>
      <xdr:row>2</xdr:row>
      <xdr:rowOff>116731</xdr:rowOff>
    </xdr:from>
    <xdr:to>
      <xdr:col>21</xdr:col>
      <xdr:colOff>1964990</xdr:colOff>
      <xdr:row>4</xdr:row>
      <xdr:rowOff>84305</xdr:rowOff>
    </xdr:to>
    <xdr:sp macro="" textlink="">
      <xdr:nvSpPr>
        <xdr:cNvPr id="17" name="TextBox 16">
          <a:extLst>
            <a:ext uri="{FF2B5EF4-FFF2-40B4-BE49-F238E27FC236}">
              <a16:creationId xmlns:a16="http://schemas.microsoft.com/office/drawing/2014/main" id="{2D93A6ED-1A8C-49BF-A084-4F0DB9D1177F}"/>
            </a:ext>
          </a:extLst>
        </xdr:cNvPr>
        <xdr:cNvSpPr txBox="1"/>
      </xdr:nvSpPr>
      <xdr:spPr>
        <a:xfrm>
          <a:off x="17740012" y="473412"/>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Price of Coins</a:t>
          </a:r>
          <a:endParaRPr lang="en-IN" sz="14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144161</xdr:colOff>
      <xdr:row>80</xdr:row>
      <xdr:rowOff>41188</xdr:rowOff>
    </xdr:from>
    <xdr:to>
      <xdr:col>14</xdr:col>
      <xdr:colOff>41188</xdr:colOff>
      <xdr:row>109</xdr:row>
      <xdr:rowOff>82378</xdr:rowOff>
    </xdr:to>
    <xdr:graphicFrame macro="">
      <xdr:nvGraphicFramePr>
        <xdr:cNvPr id="2" name="Chart 1">
          <a:extLst>
            <a:ext uri="{FF2B5EF4-FFF2-40B4-BE49-F238E27FC236}">
              <a16:creationId xmlns:a16="http://schemas.microsoft.com/office/drawing/2014/main" id="{09752097-3AE8-4375-BB40-1FFC031D2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102976</xdr:colOff>
      <xdr:row>47</xdr:row>
      <xdr:rowOff>185349</xdr:rowOff>
    </xdr:from>
    <xdr:to>
      <xdr:col>13</xdr:col>
      <xdr:colOff>597243</xdr:colOff>
      <xdr:row>74</xdr:row>
      <xdr:rowOff>164756</xdr:rowOff>
    </xdr:to>
    <xdr:graphicFrame macro="">
      <xdr:nvGraphicFramePr>
        <xdr:cNvPr id="3" name="Chart 2">
          <a:extLst>
            <a:ext uri="{FF2B5EF4-FFF2-40B4-BE49-F238E27FC236}">
              <a16:creationId xmlns:a16="http://schemas.microsoft.com/office/drawing/2014/main" id="{4EE6059E-84D9-4DBD-B9E0-09131B3AB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144162</xdr:colOff>
      <xdr:row>80</xdr:row>
      <xdr:rowOff>61784</xdr:rowOff>
    </xdr:from>
    <xdr:to>
      <xdr:col>29</xdr:col>
      <xdr:colOff>514865</xdr:colOff>
      <xdr:row>110</xdr:row>
      <xdr:rowOff>-1</xdr:rowOff>
    </xdr:to>
    <xdr:graphicFrame macro="">
      <xdr:nvGraphicFramePr>
        <xdr:cNvPr id="4" name="Chart 3">
          <a:extLst>
            <a:ext uri="{FF2B5EF4-FFF2-40B4-BE49-F238E27FC236}">
              <a16:creationId xmlns:a16="http://schemas.microsoft.com/office/drawing/2014/main" id="{44C3E0BB-AE09-4CE0-BD7C-5A3E9C4ED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102973</xdr:colOff>
      <xdr:row>48</xdr:row>
      <xdr:rowOff>20594</xdr:rowOff>
    </xdr:from>
    <xdr:to>
      <xdr:col>29</xdr:col>
      <xdr:colOff>453080</xdr:colOff>
      <xdr:row>75</xdr:row>
      <xdr:rowOff>0</xdr:rowOff>
    </xdr:to>
    <xdr:graphicFrame macro="">
      <xdr:nvGraphicFramePr>
        <xdr:cNvPr id="5" name="Chart 4">
          <a:extLst>
            <a:ext uri="{FF2B5EF4-FFF2-40B4-BE49-F238E27FC236}">
              <a16:creationId xmlns:a16="http://schemas.microsoft.com/office/drawing/2014/main" id="{B0EC6336-8924-426D-A1AE-858B5E1D6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543958</xdr:colOff>
      <xdr:row>33</xdr:row>
      <xdr:rowOff>82378</xdr:rowOff>
    </xdr:from>
    <xdr:to>
      <xdr:col>9</xdr:col>
      <xdr:colOff>20595</xdr:colOff>
      <xdr:row>42</xdr:row>
      <xdr:rowOff>144161</xdr:rowOff>
    </xdr:to>
    <xdr:sp macro="" textlink="Pivot_Charts!U39">
      <xdr:nvSpPr>
        <xdr:cNvPr id="6" name="Rectangle: Rounded Corners 5">
          <a:extLst>
            <a:ext uri="{FF2B5EF4-FFF2-40B4-BE49-F238E27FC236}">
              <a16:creationId xmlns:a16="http://schemas.microsoft.com/office/drawing/2014/main" id="{83F8356A-6CE4-4AD2-A560-123E6F26A77B}"/>
            </a:ext>
          </a:extLst>
        </xdr:cNvPr>
        <xdr:cNvSpPr/>
      </xdr:nvSpPr>
      <xdr:spPr>
        <a:xfrm>
          <a:off x="2397472" y="6198973"/>
          <a:ext cx="3183664" cy="1729945"/>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EF4B01-BD29-4E9A-B783-CC119CA23DD9}" type="TxLink">
            <a:rPr lang="en-US" sz="2400" b="1" i="0" u="none" strike="noStrike">
              <a:solidFill>
                <a:srgbClr val="000000"/>
              </a:solidFill>
              <a:latin typeface="Calibri"/>
              <a:ea typeface="Calibri"/>
              <a:cs typeface="Calibri"/>
            </a:rPr>
            <a:pPr algn="ctr"/>
            <a:t>67218286578</a:t>
          </a:fld>
          <a:endParaRPr lang="en-IN" sz="4800" b="1"/>
        </a:p>
      </xdr:txBody>
    </xdr:sp>
    <xdr:clientData/>
  </xdr:twoCellAnchor>
  <xdr:twoCellAnchor>
    <xdr:from>
      <xdr:col>4</xdr:col>
      <xdr:colOff>603554</xdr:colOff>
      <xdr:row>34</xdr:row>
      <xdr:rowOff>32249</xdr:rowOff>
    </xdr:from>
    <xdr:to>
      <xdr:col>8</xdr:col>
      <xdr:colOff>226541</xdr:colOff>
      <xdr:row>35</xdr:row>
      <xdr:rowOff>164757</xdr:rowOff>
    </xdr:to>
    <xdr:sp macro="" textlink="">
      <xdr:nvSpPr>
        <xdr:cNvPr id="7" name="TextBox 6">
          <a:extLst>
            <a:ext uri="{FF2B5EF4-FFF2-40B4-BE49-F238E27FC236}">
              <a16:creationId xmlns:a16="http://schemas.microsoft.com/office/drawing/2014/main" id="{07FE4707-DAD8-439C-85DC-17BF181781D0}"/>
            </a:ext>
          </a:extLst>
        </xdr:cNvPr>
        <xdr:cNvSpPr txBox="1"/>
      </xdr:nvSpPr>
      <xdr:spPr>
        <a:xfrm>
          <a:off x="3074905" y="6334195"/>
          <a:ext cx="2094339" cy="3178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Sum of </a:t>
          </a:r>
          <a:r>
            <a:rPr lang="en-IN" sz="1600" b="1"/>
            <a:t>Market</a:t>
          </a:r>
          <a:r>
            <a:rPr lang="en-IN" sz="1400" b="1"/>
            <a:t> Capital</a:t>
          </a:r>
        </a:p>
      </xdr:txBody>
    </xdr:sp>
    <xdr:clientData/>
  </xdr:twoCellAnchor>
  <xdr:twoCellAnchor>
    <xdr:from>
      <xdr:col>16</xdr:col>
      <xdr:colOff>782595</xdr:colOff>
      <xdr:row>34</xdr:row>
      <xdr:rowOff>41190</xdr:rowOff>
    </xdr:from>
    <xdr:to>
      <xdr:col>18</xdr:col>
      <xdr:colOff>329514</xdr:colOff>
      <xdr:row>43</xdr:row>
      <xdr:rowOff>61784</xdr:rowOff>
    </xdr:to>
    <xdr:sp macro="" textlink="Pivot_Charts!U43">
      <xdr:nvSpPr>
        <xdr:cNvPr id="8" name="Rectangle: Rounded Corners 7">
          <a:extLst>
            <a:ext uri="{FF2B5EF4-FFF2-40B4-BE49-F238E27FC236}">
              <a16:creationId xmlns:a16="http://schemas.microsoft.com/office/drawing/2014/main" id="{14563DD4-09F2-4A31-AA8C-E9C6F89E5E4B}"/>
            </a:ext>
          </a:extLst>
        </xdr:cNvPr>
        <xdr:cNvSpPr/>
      </xdr:nvSpPr>
      <xdr:spPr>
        <a:xfrm>
          <a:off x="10668000" y="6343136"/>
          <a:ext cx="2924433" cy="1688756"/>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5958A6-3FD1-41D8-8BA6-4EA604400972}" type="TxLink">
            <a:rPr lang="en-US" sz="2400" b="1" i="0" u="none" strike="noStrike">
              <a:solidFill>
                <a:srgbClr val="000000"/>
              </a:solidFill>
              <a:latin typeface="Calibri"/>
              <a:ea typeface="Calibri"/>
              <a:cs typeface="Calibri"/>
            </a:rPr>
            <a:pPr algn="ctr"/>
            <a:t>2.87558E+15</a:t>
          </a:fld>
          <a:endParaRPr lang="en-IN" sz="8800" b="1"/>
        </a:p>
      </xdr:txBody>
    </xdr:sp>
    <xdr:clientData/>
  </xdr:twoCellAnchor>
  <xdr:twoCellAnchor>
    <xdr:from>
      <xdr:col>16</xdr:col>
      <xdr:colOff>1198608</xdr:colOff>
      <xdr:row>34</xdr:row>
      <xdr:rowOff>158007</xdr:rowOff>
    </xdr:from>
    <xdr:to>
      <xdr:col>18</xdr:col>
      <xdr:colOff>41190</xdr:colOff>
      <xdr:row>36</xdr:row>
      <xdr:rowOff>123568</xdr:rowOff>
    </xdr:to>
    <xdr:sp macro="" textlink="">
      <xdr:nvSpPr>
        <xdr:cNvPr id="9" name="TextBox 8">
          <a:extLst>
            <a:ext uri="{FF2B5EF4-FFF2-40B4-BE49-F238E27FC236}">
              <a16:creationId xmlns:a16="http://schemas.microsoft.com/office/drawing/2014/main" id="{5064A3A5-36A8-47C0-8A03-8932F069C5F1}"/>
            </a:ext>
          </a:extLst>
        </xdr:cNvPr>
        <xdr:cNvSpPr txBox="1"/>
      </xdr:nvSpPr>
      <xdr:spPr>
        <a:xfrm>
          <a:off x="11084013" y="6459953"/>
          <a:ext cx="2220096" cy="3362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a:t>
          </a:r>
          <a:r>
            <a:rPr lang="en-IN" sz="1600" b="1" baseline="0"/>
            <a:t>Circulating</a:t>
          </a:r>
          <a:r>
            <a:rPr lang="en-IN" sz="1400" b="1" baseline="0"/>
            <a:t> Supply</a:t>
          </a:r>
          <a:endParaRPr lang="en-IN" sz="1400" b="1"/>
        </a:p>
      </xdr:txBody>
    </xdr:sp>
    <xdr:clientData/>
  </xdr:twoCellAnchor>
  <xdr:twoCellAnchor>
    <xdr:from>
      <xdr:col>24</xdr:col>
      <xdr:colOff>370705</xdr:colOff>
      <xdr:row>34</xdr:row>
      <xdr:rowOff>89564</xdr:rowOff>
    </xdr:from>
    <xdr:to>
      <xdr:col>29</xdr:col>
      <xdr:colOff>82380</xdr:colOff>
      <xdr:row>43</xdr:row>
      <xdr:rowOff>82379</xdr:rowOff>
    </xdr:to>
    <xdr:sp macro="" textlink="Pivot_Charts!U46">
      <xdr:nvSpPr>
        <xdr:cNvPr id="10" name="Rectangle: Rounded Corners 9">
          <a:extLst>
            <a:ext uri="{FF2B5EF4-FFF2-40B4-BE49-F238E27FC236}">
              <a16:creationId xmlns:a16="http://schemas.microsoft.com/office/drawing/2014/main" id="{812281BA-94D5-4689-B27E-B93722F6E58A}"/>
            </a:ext>
          </a:extLst>
        </xdr:cNvPr>
        <xdr:cNvSpPr/>
      </xdr:nvSpPr>
      <xdr:spPr>
        <a:xfrm>
          <a:off x="18493948" y="6391510"/>
          <a:ext cx="2800864" cy="1660977"/>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E660AC-E330-411F-B37B-9E1AEC141A97}" type="TxLink">
            <a:rPr lang="en-US" sz="2400" b="1" i="0" u="none" strike="noStrike">
              <a:solidFill>
                <a:srgbClr val="000000"/>
              </a:solidFill>
              <a:latin typeface="Calibri"/>
              <a:ea typeface="Calibri"/>
              <a:cs typeface="Calibri"/>
            </a:rPr>
            <a:pPr algn="ctr"/>
            <a:t>0.4983</a:t>
          </a:fld>
          <a:endParaRPr lang="en-IN" sz="8800" b="1"/>
        </a:p>
      </xdr:txBody>
    </xdr:sp>
    <xdr:clientData/>
  </xdr:twoCellAnchor>
  <xdr:twoCellAnchor>
    <xdr:from>
      <xdr:col>25</xdr:col>
      <xdr:colOff>228823</xdr:colOff>
      <xdr:row>35</xdr:row>
      <xdr:rowOff>35230</xdr:rowOff>
    </xdr:from>
    <xdr:to>
      <xdr:col>28</xdr:col>
      <xdr:colOff>223564</xdr:colOff>
      <xdr:row>36</xdr:row>
      <xdr:rowOff>174133</xdr:rowOff>
    </xdr:to>
    <xdr:sp macro="" textlink="">
      <xdr:nvSpPr>
        <xdr:cNvPr id="11" name="TextBox 10">
          <a:extLst>
            <a:ext uri="{FF2B5EF4-FFF2-40B4-BE49-F238E27FC236}">
              <a16:creationId xmlns:a16="http://schemas.microsoft.com/office/drawing/2014/main" id="{CEF0DFBC-3E17-4BD7-91EA-B6F86C623B3D}"/>
            </a:ext>
          </a:extLst>
        </xdr:cNvPr>
        <xdr:cNvSpPr txBox="1"/>
      </xdr:nvSpPr>
      <xdr:spPr>
        <a:xfrm>
          <a:off x="18969904" y="6522527"/>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Price</a:t>
          </a:r>
          <a:r>
            <a:rPr lang="en-IN" sz="1400" b="1" baseline="0"/>
            <a:t> </a:t>
          </a:r>
          <a:r>
            <a:rPr lang="en-IN" sz="1600" b="1" baseline="0"/>
            <a:t>of</a:t>
          </a:r>
          <a:r>
            <a:rPr lang="en-IN" sz="1400" b="1" baseline="0"/>
            <a:t> Top Coin</a:t>
          </a:r>
          <a:endParaRPr lang="en-IN" sz="1400" b="1"/>
        </a:p>
      </xdr:txBody>
    </xdr:sp>
    <xdr:clientData/>
  </xdr:twoCellAnchor>
  <xdr:twoCellAnchor>
    <xdr:from>
      <xdr:col>20</xdr:col>
      <xdr:colOff>102974</xdr:colOff>
      <xdr:row>34</xdr:row>
      <xdr:rowOff>61784</xdr:rowOff>
    </xdr:from>
    <xdr:to>
      <xdr:col>22</xdr:col>
      <xdr:colOff>1235676</xdr:colOff>
      <xdr:row>43</xdr:row>
      <xdr:rowOff>61783</xdr:rowOff>
    </xdr:to>
    <xdr:sp macro="" textlink="Pivot_Charts!U44">
      <xdr:nvSpPr>
        <xdr:cNvPr id="12" name="Rectangle: Rounded Corners 11">
          <a:extLst>
            <a:ext uri="{FF2B5EF4-FFF2-40B4-BE49-F238E27FC236}">
              <a16:creationId xmlns:a16="http://schemas.microsoft.com/office/drawing/2014/main" id="{BD1AF098-9124-4DBB-8AA9-B9A112BD7B38}"/>
            </a:ext>
          </a:extLst>
        </xdr:cNvPr>
        <xdr:cNvSpPr/>
      </xdr:nvSpPr>
      <xdr:spPr>
        <a:xfrm>
          <a:off x="14580974" y="6363730"/>
          <a:ext cx="2800864" cy="1668161"/>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9B1CBA-B88A-40CD-889D-9AE862680CB8}" type="TxLink">
            <a:rPr lang="en-US" sz="2400" b="1" i="0" u="none" strike="noStrike">
              <a:solidFill>
                <a:srgbClr val="000000"/>
              </a:solidFill>
              <a:latin typeface="Calibri"/>
              <a:ea typeface="Calibri"/>
              <a:cs typeface="Calibri"/>
            </a:rPr>
            <a:pPr algn="ctr"/>
            <a:t>ether.fi</a:t>
          </a:fld>
          <a:endParaRPr lang="en-IN" sz="8800" b="1"/>
        </a:p>
      </xdr:txBody>
    </xdr:sp>
    <xdr:clientData/>
  </xdr:twoCellAnchor>
  <xdr:twoCellAnchor>
    <xdr:from>
      <xdr:col>21</xdr:col>
      <xdr:colOff>241878</xdr:colOff>
      <xdr:row>34</xdr:row>
      <xdr:rowOff>184561</xdr:rowOff>
    </xdr:from>
    <xdr:to>
      <xdr:col>22</xdr:col>
      <xdr:colOff>772079</xdr:colOff>
      <xdr:row>36</xdr:row>
      <xdr:rowOff>138113</xdr:rowOff>
    </xdr:to>
    <xdr:sp macro="" textlink="">
      <xdr:nvSpPr>
        <xdr:cNvPr id="13" name="TextBox 12">
          <a:extLst>
            <a:ext uri="{FF2B5EF4-FFF2-40B4-BE49-F238E27FC236}">
              <a16:creationId xmlns:a16="http://schemas.microsoft.com/office/drawing/2014/main" id="{2A8D6670-A276-483F-89F5-912A7E19E028}"/>
            </a:ext>
          </a:extLst>
        </xdr:cNvPr>
        <xdr:cNvSpPr txBox="1"/>
      </xdr:nvSpPr>
      <xdr:spPr>
        <a:xfrm>
          <a:off x="15069986" y="6486507"/>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Top</a:t>
          </a:r>
          <a:r>
            <a:rPr lang="en-IN" sz="1400" b="1" baseline="0"/>
            <a:t> Price Coin</a:t>
          </a:r>
          <a:endParaRPr lang="en-IN" sz="1400" b="1"/>
        </a:p>
      </xdr:txBody>
    </xdr:sp>
    <xdr:clientData/>
  </xdr:twoCellAnchor>
  <xdr:twoCellAnchor>
    <xdr:from>
      <xdr:col>10</xdr:col>
      <xdr:colOff>406986</xdr:colOff>
      <xdr:row>33</xdr:row>
      <xdr:rowOff>123569</xdr:rowOff>
    </xdr:from>
    <xdr:to>
      <xdr:col>15</xdr:col>
      <xdr:colOff>329514</xdr:colOff>
      <xdr:row>42</xdr:row>
      <xdr:rowOff>164757</xdr:rowOff>
    </xdr:to>
    <xdr:sp macro="" textlink="Pivot_Charts!U41">
      <xdr:nvSpPr>
        <xdr:cNvPr id="14" name="Rectangle: Rounded Corners 13">
          <a:extLst>
            <a:ext uri="{FF2B5EF4-FFF2-40B4-BE49-F238E27FC236}">
              <a16:creationId xmlns:a16="http://schemas.microsoft.com/office/drawing/2014/main" id="{E46F77F2-0F9B-4526-B2FF-D97DC17AAA33}"/>
            </a:ext>
          </a:extLst>
        </xdr:cNvPr>
        <xdr:cNvSpPr/>
      </xdr:nvSpPr>
      <xdr:spPr>
        <a:xfrm>
          <a:off x="6585364" y="6240164"/>
          <a:ext cx="3011718" cy="1709350"/>
        </a:xfrm>
        <a:prstGeom prst="roundRect">
          <a:avLst/>
        </a:prstGeom>
        <a:gradFill flip="none" rotWithShape="1">
          <a:gsLst>
            <a:gs pos="0">
              <a:schemeClr val="accent4">
                <a:tint val="66000"/>
                <a:satMod val="160000"/>
              </a:schemeClr>
            </a:gs>
            <a:gs pos="50000">
              <a:schemeClr val="accent4">
                <a:tint val="44500"/>
                <a:satMod val="160000"/>
              </a:schemeClr>
            </a:gs>
            <a:gs pos="100000">
              <a:schemeClr val="accent4">
                <a:tint val="23500"/>
                <a:satMod val="160000"/>
              </a:schemeClr>
            </a:gs>
          </a:gsLst>
          <a:path path="circle">
            <a:fillToRect l="50000" t="50000" r="50000" b="50000"/>
          </a:path>
          <a:tileRect/>
        </a:gradFill>
        <a:effectLst>
          <a:glow rad="101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308523-E7CF-4912-A07D-68ECCF1B130D}" type="TxLink">
            <a:rPr lang="en-US" sz="2400" b="1" i="0" u="none" strike="noStrike">
              <a:solidFill>
                <a:srgbClr val="000000"/>
              </a:solidFill>
              <a:latin typeface="Calibri"/>
              <a:ea typeface="Calibri"/>
              <a:cs typeface="Calibri"/>
            </a:rPr>
            <a:pPr algn="ctr"/>
            <a:t>13.3884</a:t>
          </a:fld>
          <a:endParaRPr lang="en-IN" sz="8800" b="1"/>
        </a:p>
      </xdr:txBody>
    </xdr:sp>
    <xdr:clientData/>
  </xdr:twoCellAnchor>
  <xdr:twoCellAnchor>
    <xdr:from>
      <xdr:col>11</xdr:col>
      <xdr:colOff>404797</xdr:colOff>
      <xdr:row>34</xdr:row>
      <xdr:rowOff>44255</xdr:rowOff>
    </xdr:from>
    <xdr:to>
      <xdr:col>14</xdr:col>
      <xdr:colOff>399538</xdr:colOff>
      <xdr:row>35</xdr:row>
      <xdr:rowOff>183159</xdr:rowOff>
    </xdr:to>
    <xdr:sp macro="" textlink="">
      <xdr:nvSpPr>
        <xdr:cNvPr id="15" name="TextBox 14">
          <a:extLst>
            <a:ext uri="{FF2B5EF4-FFF2-40B4-BE49-F238E27FC236}">
              <a16:creationId xmlns:a16="http://schemas.microsoft.com/office/drawing/2014/main" id="{A934668D-753C-403A-A0EC-3BB7FE8B8E6A}"/>
            </a:ext>
          </a:extLst>
        </xdr:cNvPr>
        <xdr:cNvSpPr txBox="1"/>
      </xdr:nvSpPr>
      <xdr:spPr>
        <a:xfrm>
          <a:off x="7201013" y="6346201"/>
          <a:ext cx="1848255" cy="3242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r>
            <a:rPr lang="en-IN" sz="1400" b="1" baseline="0"/>
            <a:t> Price of Coins</a:t>
          </a:r>
          <a:endParaRPr lang="en-IN" sz="1400" b="1"/>
        </a:p>
      </xdr:txBody>
    </xdr:sp>
    <xdr:clientData/>
  </xdr:twoCellAnchor>
  <xdr:twoCellAnchor editAs="oneCell">
    <xdr:from>
      <xdr:col>15</xdr:col>
      <xdr:colOff>293077</xdr:colOff>
      <xdr:row>51</xdr:row>
      <xdr:rowOff>117231</xdr:rowOff>
    </xdr:from>
    <xdr:to>
      <xdr:col>17</xdr:col>
      <xdr:colOff>1945640</xdr:colOff>
      <xdr:row>69</xdr:row>
      <xdr:rowOff>58615</xdr:rowOff>
    </xdr:to>
    <mc:AlternateContent xmlns:mc="http://schemas.openxmlformats.org/markup-compatibility/2006" xmlns:a14="http://schemas.microsoft.com/office/drawing/2010/main">
      <mc:Choice Requires="a14">
        <xdr:graphicFrame macro="">
          <xdr:nvGraphicFramePr>
            <xdr:cNvPr id="16" name="Price Range 1">
              <a:extLst>
                <a:ext uri="{FF2B5EF4-FFF2-40B4-BE49-F238E27FC236}">
                  <a16:creationId xmlns:a16="http://schemas.microsoft.com/office/drawing/2014/main" id="{F8E7C199-482F-4BDD-B9A5-465E4252EEEC}"/>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9223717" y="9185031"/>
              <a:ext cx="4380523" cy="3141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254000</xdr:colOff>
      <xdr:row>7</xdr:row>
      <xdr:rowOff>0</xdr:rowOff>
    </xdr:from>
    <xdr:to>
      <xdr:col>29</xdr:col>
      <xdr:colOff>279400</xdr:colOff>
      <xdr:row>21</xdr:row>
      <xdr:rowOff>152400</xdr:rowOff>
    </xdr:to>
    <xdr:sp macro="" textlink="">
      <xdr:nvSpPr>
        <xdr:cNvPr id="17" name="TextBox 16">
          <a:extLst>
            <a:ext uri="{FF2B5EF4-FFF2-40B4-BE49-F238E27FC236}">
              <a16:creationId xmlns:a16="http://schemas.microsoft.com/office/drawing/2014/main" id="{C06B57EB-4E9F-3E5C-7D90-A6F6FB23C053}"/>
            </a:ext>
          </a:extLst>
        </xdr:cNvPr>
        <xdr:cNvSpPr txBox="1"/>
      </xdr:nvSpPr>
      <xdr:spPr>
        <a:xfrm>
          <a:off x="2082800" y="1244600"/>
          <a:ext cx="19837400" cy="264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600" b="1">
              <a:solidFill>
                <a:schemeClr val="accent4">
                  <a:lumMod val="50000"/>
                </a:schemeClr>
              </a:solidFill>
            </a:rPr>
            <a:t>CRYPTO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yana" refreshedDate="46054.880553356481" createdVersion="8" refreshedVersion="8" minRefreshableVersion="3" recordCount="294" xr:uid="{1BF50A57-BDCB-47BD-ACA9-75E1DECD1874}">
  <cacheSource type="worksheet">
    <worksheetSource name="Cleaned_Data"/>
  </cacheSource>
  <cacheFields count="11">
    <cacheField name="Coin Name" numFmtId="0">
      <sharedItems count="294">
        <s v="CoinMarketCap 20 Index DTF"/>
        <s v="Bitcoin"/>
        <s v="Ethereum"/>
        <s v="Tether"/>
        <s v="BNB"/>
        <s v="XRP"/>
        <s v="USDC"/>
        <s v="Solana"/>
        <s v="TRON"/>
        <s v="Dogecoin"/>
        <s v="Cardano"/>
        <s v="Bitcoin Cash"/>
        <s v="Monero"/>
        <s v="Hyperliquid"/>
        <s v="UNUS SED LEO"/>
        <s v="Aerodrome Finance"/>
        <s v="JUST"/>
        <s v="Maple Finance"/>
        <s v="ether.fi"/>
        <s v="Kaia"/>
        <s v="FLOKI"/>
        <s v="AINFT"/>
        <s v="Sun [New]"/>
        <s v="Humanity Protocol"/>
        <s v="The Graph"/>
        <s v="Celestia"/>
        <s v="Trust Wallet Token"/>
        <s v="Axie Infinity"/>
        <s v="Gnosis"/>
        <s v="Bitcoin SV"/>
        <s v="Rain"/>
        <s v="Falcon USD"/>
        <s v="Jupiter Perps LP"/>
        <s v="Ondo US Dollar Yield"/>
        <s v="Usual USD"/>
        <s v="Beldex"/>
        <s v="GHO"/>
        <s v="USDai"/>
        <s v="Fasttoken"/>
        <s v="c8ntinuum"/>
        <s v="Legacy Frax Dollar"/>
        <s v="Undeads Games"/>
        <s v="Ape and Pepe"/>
        <s v="Zeebu"/>
        <s v="WeFi"/>
        <s v="XPR Network"/>
        <s v="USDH"/>
        <s v="Qubic"/>
        <s v="SushiSwap"/>
        <s v="Numeraire"/>
        <s v="Tesla tokenized stock (xStock)"/>
        <s v="GMX"/>
        <s v="aelf"/>
        <s v="VVS Finance"/>
        <s v="RedStone"/>
        <s v="Succinct"/>
        <s v="Dohrnii"/>
        <s v="Kava"/>
        <s v="MindWaveDAO"/>
        <s v="Pirate Chain"/>
        <s v="ICON"/>
        <s v="Spark"/>
        <s v="StorX Network"/>
        <s v="Pundi X (New)"/>
        <s v="Babylon"/>
        <s v="Enjin Coin"/>
        <s v="Gemini Dollar"/>
        <s v="BORA"/>
        <s v="Terra"/>
        <s v="KGeN"/>
        <s v="MobileCoin"/>
        <s v="Pax Dollar"/>
        <s v="Tornado Cash"/>
        <s v="Ontology"/>
        <s v="RateX"/>
        <s v="Orbler"/>
        <s v="Dogelon Mars"/>
        <s v="Celo Dollar"/>
        <s v="Momentum"/>
        <s v="Lumera Health"/>
        <s v="Shentu"/>
        <s v="Constellation"/>
        <s v="UNIPOLY"/>
        <s v="Bitlayer"/>
        <s v="Propy"/>
        <s v="Cyber"/>
        <s v="Lisk"/>
        <s v="MEET48"/>
        <s v="Solayer"/>
        <s v="Liquity USD"/>
        <s v="Smooth Love Potion"/>
        <s v="Chromia"/>
        <s v="Goatseus Maximus"/>
        <s v="HarryPotterObamaSonic10Inu (ERC-20)"/>
        <s v="Phala Network"/>
        <s v="Global Commercial Business"/>
        <s v="Hippo Protocol"/>
        <s v="Decimal"/>
        <s v="Adshares"/>
        <s v="Gleec Coin"/>
        <s v="Sapien"/>
        <s v="Aurora"/>
        <s v="Renzo"/>
        <s v="Solar"/>
        <s v="Torch of Liberty"/>
        <s v="Folks Finance"/>
        <s v="Wibegram"/>
        <s v="SUPERFORTUNE"/>
        <s v="Symbol"/>
        <s v="MetaMUI"/>
        <s v="StakeStone"/>
        <s v="Sharp"/>
        <s v="TROLL (SOL)"/>
        <s v="Orchid"/>
        <s v="StrikeX"/>
        <s v="FLock.io"/>
        <s v="Solend"/>
        <s v="Public Masterpiece Token"/>
        <s v="BOB (Build on Bitcoin)"/>
        <s v="Fusionist"/>
        <s v="WAR"/>
        <s v="Araracoin"/>
        <s v="Vameon"/>
        <s v="inSure DeFi"/>
        <s v="USDM"/>
        <s v="Puffer"/>
        <s v="Micron Technology Tokenized Stock (Ondo)"/>
        <s v="Vanar Chain"/>
        <s v="Moss Coin"/>
        <s v="Towns"/>
        <s v="Epic Chain"/>
        <s v="Talus"/>
        <s v="iShares Core US Aggregate Bond Tokenized ETF (Ondo)"/>
        <s v="Solv Protocol"/>
        <s v="CONX"/>
        <s v="Chainbounty"/>
        <s v="Luna by Virtuals"/>
        <s v="Scroll"/>
        <s v="AS Roma Fan Token"/>
        <s v="OpenServ"/>
        <s v="Camp Network"/>
        <s v="Ika"/>
        <s v="Phoenix"/>
        <s v="Minswap"/>
        <s v="Abelian"/>
        <s v="Autonomi"/>
        <s v="Lumia"/>
        <s v="McDull"/>
        <s v="Fuel Network"/>
        <s v="Ark of Panda"/>
        <s v="Codatta"/>
        <s v="Bluefin"/>
        <s v="dHedge DAO"/>
        <s v="Devve"/>
        <s v="PepeCoin"/>
        <s v="OORT"/>
        <s v="RSS3"/>
        <s v="Bertram The Pomeranian"/>
        <s v="Union"/>
        <s v="Joe coin"/>
        <s v="Orbiter Finance"/>
        <s v="iShares Core MSCI Emerging Markets Tokenized ETF (Ondo)"/>
        <s v="iShares Russell 1000 Growth Tokenized ETF (Ondo)"/>
        <s v="Stonks"/>
        <s v="DuckChain"/>
        <s v="Major"/>
        <s v="Diamond"/>
        <s v="NEM"/>
        <s v="ArchLoot"/>
        <s v="Marina Protocol"/>
        <s v="Quickswap [New]"/>
        <s v="sudeng"/>
        <s v="Manchester City Fan Token"/>
        <s v="StablR USD"/>
        <s v="Houdini Swap"/>
        <s v="Swarm"/>
        <s v="XBorg"/>
        <s v="Keyboard Cat"/>
        <s v="Avalon Labs (AVL)"/>
        <s v="CLV"/>
        <s v="dYdX (ethDYDX)"/>
        <s v="DeBox"/>
        <s v="Gamestop tokenized stock (xStock)"/>
        <s v="Meta tokenized stock (xStock)"/>
        <s v="Bitboard"/>
        <s v="MileVerse"/>
        <s v="Kendu"/>
        <s v="ParagonsDAO"/>
        <s v="Altura"/>
        <s v="Mythos"/>
        <s v="PRIZM"/>
        <s v="Izumi Finance"/>
        <s v="Aria Protocol"/>
        <s v="Cryptex Finance"/>
        <s v="TMX"/>
        <s v="Dynex"/>
        <s v="Not Pixel"/>
        <s v="Streamr"/>
        <s v="Immunefi"/>
        <s v="MULTIVERSE MONKEY"/>
        <s v="Fair and Free"/>
        <s v="Amazon tokenized stock (xStock)"/>
        <s v="Minima"/>
        <s v="SwissCheese"/>
        <s v="Crown by Third Time Games"/>
        <s v="VitaDAO"/>
        <s v="Tharwa"/>
        <s v="STUFF.io"/>
        <s v="Zeus Network"/>
        <s v="Yala"/>
        <s v="Mochimo"/>
        <s v="UNCX Network"/>
        <s v="trac (Ordinals)"/>
        <s v="noice"/>
        <s v="Beam"/>
        <s v="Meta Platforms Tokenized Stock (Ondo)"/>
        <s v="B-Lucky"/>
        <s v="Mastercard Tokenized Stock (Ondo)"/>
        <s v="LumiWave"/>
        <s v="SHPING"/>
        <s v="Hathor"/>
        <s v="Sovryn"/>
        <s v="LeisureMeta"/>
        <s v="Footballcoin (XFC)"/>
        <s v="NetMind Token"/>
        <s v="AOL (America Online)"/>
        <s v="Jesus Coin"/>
        <s v="Zypto"/>
        <s v="Nexera"/>
        <s v="REI Network"/>
        <s v="Verasity"/>
        <s v="zKML"/>
        <s v="Kishu Inu"/>
        <s v="McDonald's Tokenized Stock (Ondo)"/>
        <s v="DerivaDAO"/>
        <s v="Tether EURt"/>
        <s v="Handshake"/>
        <s v="Shrapnel"/>
        <s v="Vai"/>
        <s v="Toyota Tokenized Stock (Ondo)"/>
        <s v="Cere Network"/>
        <s v="Cellframe"/>
        <s v="Ethervista"/>
        <s v="Vertical AI"/>
        <s v="ArbDoge AI"/>
        <s v="CaptainBNB"/>
        <s v="OciCat"/>
        <s v="bitsCrunch"/>
        <s v="Reef"/>
        <s v="TOWER"/>
        <s v="Magpie"/>
        <s v="Napoli Fan Token"/>
        <s v="错版马"/>
        <s v="Dexsport"/>
        <s v="Vader"/>
        <s v="Luxxcoin"/>
        <s v="PLAYA3ULL GAMES"/>
        <s v="LOBO•THE•WOLF•PUP (Bitcoin)"/>
        <s v="RETARDIO"/>
        <s v="Trias Token (New)"/>
        <s v="Echo Protocol"/>
        <s v="Hydra"/>
        <s v="Amber tokenized stock (xStock)"/>
        <s v="RocketX exchange"/>
        <s v="Swash"/>
        <s v="Inspect"/>
        <s v="Solanium"/>
        <s v="Berkshire Hathaway tokenized stock (xStock)"/>
        <s v="Efinity Token"/>
        <s v="Crypton"/>
        <s v="Vexanium"/>
        <s v="Linde plc Tokenized Stock (Ondo)"/>
        <s v="catwifmask"/>
        <s v="Abbott Tokenized Stock (Ondo)"/>
        <s v="SubQuery Network"/>
        <s v="HELLO Labs"/>
        <s v="Kima Network"/>
        <s v="Cypherium"/>
        <s v="Accenture Tokenized Stock (Ondo)"/>
        <s v="Stool Prisondente"/>
        <s v="UniBot"/>
        <s v="Silencio"/>
        <s v="Fleek"/>
        <s v="修仙"/>
        <s v="StarSlax"/>
        <s v="Dejitaru Tsuka"/>
        <s v="Oracle Tokenized Stock (Ondo)"/>
        <s v="John Tsubasa Rivals"/>
        <s v="WINR Protocol"/>
        <s v="Chipotle Tokenized Stock (Ondo)"/>
        <s v="DeepBrain Chain"/>
        <s v="Zero1 Labs"/>
        <s v="AgriDex"/>
        <s v="Blocksquare Token"/>
      </sharedItems>
    </cacheField>
    <cacheField name="Symbol" numFmtId="0">
      <sharedItems count="293">
        <s v="CMC20"/>
        <s v="BTC"/>
        <s v="ETH"/>
        <s v="USDT"/>
        <s v="BNB"/>
        <s v="XRP"/>
        <s v="USDC"/>
        <s v="SOL"/>
        <s v="TRX"/>
        <s v="DOGE"/>
        <s v="ADA"/>
        <s v="BCH"/>
        <s v="XMR"/>
        <s v="HYPE"/>
        <s v="LEO"/>
        <s v="AERO"/>
        <s v="JST"/>
        <s v="SYRUP"/>
        <s v="ETHFI"/>
        <s v="KAIA"/>
        <s v="FLOKI"/>
        <s v="NFT"/>
        <s v="SUN"/>
        <s v="H"/>
        <s v="GRT"/>
        <s v="TIA"/>
        <s v="TWT"/>
        <s v="AXS"/>
        <s v="GNO"/>
        <s v="BSV"/>
        <s v="RAIN"/>
        <s v="USDf"/>
        <s v="JLP"/>
        <s v="USDY"/>
        <s v="USD0"/>
        <s v="BDX"/>
        <s v="GHO"/>
        <s v="USDAI"/>
        <s v="FTN"/>
        <s v="CTM"/>
        <s v="FRAX"/>
        <s v="UDS"/>
        <s v="APEPE"/>
        <s v="ZBU"/>
        <s v="WFI"/>
        <s v="XPR"/>
        <s v="USDH"/>
        <s v="QUBIC"/>
        <s v="SUSHI"/>
        <s v="NMR"/>
        <s v="TSLAX"/>
        <s v="GMX"/>
        <s v="ELF"/>
        <s v="VVS"/>
        <s v="RED"/>
        <s v="PROVE"/>
        <s v="DHN"/>
        <s v="KAVA"/>
        <s v="NILA"/>
        <s v="ARRR"/>
        <s v="ICX"/>
        <s v="SPK"/>
        <s v="SRX"/>
        <s v="PUNDIX"/>
        <s v="BABY"/>
        <s v="ENJ"/>
        <s v="GUSD"/>
        <s v="BORA"/>
        <s v="LUNA"/>
        <s v="KGEN"/>
        <s v="MOB"/>
        <s v="USDP"/>
        <s v="TORN"/>
        <s v="ONT"/>
        <s v="RTX"/>
        <s v="ORBR"/>
        <s v="ELON"/>
        <s v="CUSD"/>
        <s v="MMT"/>
        <s v="LUR"/>
        <s v="CTK"/>
        <s v="DAG"/>
        <s v="UNP"/>
        <s v="BTR"/>
        <s v="PRO"/>
        <s v="CYBER"/>
        <s v="LSK"/>
        <s v="IDOL"/>
        <s v="LAYER"/>
        <s v="LUSD"/>
        <s v="SLP"/>
        <s v="CHR"/>
        <s v="GOAT"/>
        <s v="BITCOIN"/>
        <s v="PHA"/>
        <s v="GCB"/>
        <s v="HP"/>
        <s v="DEL"/>
        <s v="ADS"/>
        <s v="GLEEC"/>
        <s v="SAPIEN"/>
        <s v="AURORA"/>
        <s v="REZ"/>
        <s v="SXP"/>
        <s v="LIBERTY"/>
        <s v="FOLKS"/>
        <s v="WIBE"/>
        <s v="GUA"/>
        <s v="XYM"/>
        <s v="MMUI"/>
        <s v="STO"/>
        <s v="SHARP"/>
        <s v="TROLL"/>
        <s v="OXT"/>
        <s v="STRX"/>
        <s v="FLOCK"/>
        <s v="SLND"/>
        <s v="PMT"/>
        <s v="BOB"/>
        <s v="ACE"/>
        <s v="WAR"/>
        <s v="ARARA"/>
        <s v="VON"/>
        <s v="SURE"/>
        <s v="USDM"/>
        <s v="PUFFER"/>
        <s v="MUon"/>
        <s v="VANRY"/>
        <s v="MOC"/>
        <s v="TOWNS"/>
        <s v="EPIC"/>
        <s v="US"/>
        <s v="AGGon"/>
        <s v="SOLV"/>
        <s v="XPLA"/>
        <s v="BOUNTY"/>
        <s v="SCR"/>
        <s v="ASR"/>
        <s v="SERV"/>
        <s v="CAMP"/>
        <s v="IKA"/>
        <s v="PHB"/>
        <s v="MIN"/>
        <s v="ABEL"/>
        <s v="ANT"/>
        <s v="LUMIA"/>
        <s v="MCDULL"/>
        <s v="FUEL"/>
        <s v="AOP"/>
        <s v="XNY"/>
        <s v="BLUE"/>
        <s v="DHT"/>
        <s v="DEVVE"/>
        <s v="PEPECOIN"/>
        <s v="OORT"/>
        <s v="RSS3"/>
        <s v="BERT"/>
        <s v="U"/>
        <s v="JOE"/>
        <s v="OBT"/>
        <s v="IEMGon"/>
        <s v="IWFon"/>
        <s v="STNK"/>
        <s v="DUCK"/>
        <s v="MAJOR"/>
        <s v="DMD"/>
        <s v="XEM"/>
        <s v="AL"/>
        <s v="BAY"/>
        <s v="QUICK"/>
        <s v="HIPPO"/>
        <s v="CITY"/>
        <s v="USDR"/>
        <s v="LOCK"/>
        <s v="BZZ"/>
        <s v="XBG"/>
        <s v="KEYCAT"/>
        <s v="AVL"/>
        <s v="CLV"/>
        <s v="ETHDYDX"/>
        <s v="BOX"/>
        <s v="GMEX"/>
        <s v="METAX"/>
        <s v="BB"/>
        <s v="MVC"/>
        <s v="KENDU"/>
        <s v="PDT"/>
        <s v="ALU"/>
        <s v="MYTH"/>
        <s v="PZM"/>
        <s v="IZI"/>
        <s v="ARIAIP"/>
        <s v="CTX"/>
        <s v="TMX"/>
        <s v="DNX"/>
        <s v="PX"/>
        <s v="DATA"/>
        <s v="IMU"/>
        <s v="MMON"/>
        <s v="FAIR3"/>
        <s v="AMZNX"/>
        <s v="MINIMA"/>
        <s v="SWCH"/>
        <s v="CROWN"/>
        <s v="VITA"/>
        <s v="TRWA"/>
        <s v="STUFF"/>
        <s v="ZEUS"/>
        <s v="YALA"/>
        <s v="MCM"/>
        <s v="UNCX"/>
        <s v="TRAC"/>
        <s v="NOICE"/>
        <s v="BEAM"/>
        <s v="METAon"/>
        <s v="LUCKY"/>
        <s v="MAon"/>
        <s v="LWA"/>
        <s v="SHPING"/>
        <s v="HTR"/>
        <s v="SOV"/>
        <s v="LM"/>
        <s v="XFC"/>
        <s v="NMT"/>
        <s v="AOL"/>
        <s v="JESUS"/>
        <s v="ZYPTO"/>
        <s v="NXRA"/>
        <s v="REI"/>
        <s v="VRA"/>
        <s v="ZKML"/>
        <s v="KISHU"/>
        <s v="MCDon"/>
        <s v="DDX"/>
        <s v="EURt"/>
        <s v="HNS"/>
        <s v="SHRAP"/>
        <s v="VAI"/>
        <s v="TMon"/>
        <s v="CERE"/>
        <s v="CELL"/>
        <s v="VISTA"/>
        <s v="VERTAI"/>
        <s v="AIDOGE"/>
        <s v="CaptainBNB"/>
        <s v="OCICAT"/>
        <s v="BCUT"/>
        <s v="REEF"/>
        <s v="TOWER"/>
        <s v="MGP"/>
        <s v="NAP"/>
        <s v="哭哭马"/>
        <s v="DESU"/>
        <s v="VADER"/>
        <s v="LUX"/>
        <s v="3ULL"/>
        <s v="LOBO"/>
        <s v="RETARDIO"/>
        <s v="TRIAS"/>
        <s v="ECHO"/>
        <s v="HYDRA"/>
        <s v="AMBRX"/>
        <s v="RVF"/>
        <s v="SWASH"/>
        <s v="INSP"/>
        <s v="SLIM"/>
        <s v="BRK.BX"/>
        <s v="EFI"/>
        <s v="CRP"/>
        <s v="VEX"/>
        <s v="LINon"/>
        <s v="MASK"/>
        <s v="ABTon"/>
        <s v="SQT"/>
        <s v="HELLO"/>
        <s v="KIMA"/>
        <s v="CPH"/>
        <s v="ACNon"/>
        <s v="JAILSTOOL"/>
        <s v="UNIBOT"/>
        <s v="SLC"/>
        <s v="FLK"/>
        <s v="修仙"/>
        <s v="SSLX"/>
        <s v="TSUKA"/>
        <s v="ORCLon"/>
        <s v="JOHN"/>
        <s v="WINR"/>
        <s v="CMGon"/>
        <s v="DBC"/>
        <s v="DEAI"/>
        <s v="AGRI"/>
        <s v="BST"/>
      </sharedItems>
    </cacheField>
    <cacheField name="Price (USD)" numFmtId="0">
      <sharedItems containsSemiMixedTypes="0" containsString="0" containsNumber="1" minValue="0" maxValue="81018.5"/>
    </cacheField>
    <cacheField name="1h Change (%)" numFmtId="0">
      <sharedItems containsSemiMixedTypes="0" containsString="0" containsNumber="1" minValue="0" maxValue="0.28399999999999997"/>
    </cacheField>
    <cacheField name="Market Cap" numFmtId="0">
      <sharedItems containsSemiMixedTypes="0" containsString="0" containsNumber="1" containsInteger="1" minValue="1180240" maxValue="1619311935409"/>
    </cacheField>
    <cacheField name="Volume (24h) USD" numFmtId="0">
      <sharedItems containsSemiMixedTypes="0" containsString="0" containsNumber="1" containsInteger="1" minValue="9" maxValue="114504551262"/>
    </cacheField>
    <cacheField name="Circulating Supply" numFmtId="0">
      <sharedItems/>
    </cacheField>
    <cacheField name="Circulating_Supply($)" numFmtId="0">
      <sharedItems containsString="0" containsBlank="1" containsNumber="1" minValue="3190" maxValue="999990000000000"/>
    </cacheField>
    <cacheField name="Dollar  Value per Supply" numFmtId="0">
      <sharedItems containsMixedTypes="1" containsNumber="1" minValue="3.9451443652015459E-11" maxValue="2580.2806346846846" count="293">
        <n v="82.439859851607579"/>
        <n v="2580.2806346846846"/>
        <n v="294.45657671720937"/>
        <n v="0.61770810412688137"/>
        <n v="19.557318370489881"/>
        <n v="7.1070969202958093E-2"/>
        <n v="0.21594782396859385"/>
        <n v="11.50131702984284"/>
        <n v="7.7847730968218769E-3"/>
        <n v="9.6164153020054585E-3"/>
        <n v="2.7831246753607104E-2"/>
        <n v="18.941131931931931"/>
        <n v="12.526292407809111"/>
        <n v="2.138136660376734"/>
        <n v="1.130725081101021E-3"/>
        <n v="2.7379563325444691E-2"/>
        <n v="3.6257964812712825E-3"/>
        <n v="1.4238567826086956E-2"/>
        <n v="7.9890189601921763E-2"/>
        <n v="4.1537025682182984E-3"/>
        <n v="6.1339766002098633E-6"/>
        <n v="1.4471662716627166E-8"/>
        <n v="1.1988360416666666E-3"/>
        <n v="6.0106486721991703E-2"/>
        <n v="2.0889217025257252E-3"/>
        <n v="6.5399602933940565E-2"/>
        <n v="2.9895286837575023E-2"/>
        <n v="1.0295138600959546"/>
        <n v="2.3700243346007603"/>
        <n v="0.87557447447447445"/>
        <n v="1.2652520452004001E-4"/>
        <n v="4.0719048543689318E-3"/>
        <n v="9.6234522689251353E-2"/>
        <n v="1.9113777975584944E-3"/>
        <n v="1.4342574676093501E-2"/>
        <n v="1.7047196052631579E-3"/>
        <n v="3.3805747895192385E-3"/>
        <n v="3.7681360327116785E-3"/>
        <n v="2.841703571264842E-2"/>
        <n v="3.0582643678160918E-4"/>
        <n v="6.9210400144848819E-2"/>
        <n v="4.8832224909310766E-3"/>
        <n v="1.5146183333333334E-7"/>
        <n v="1.8460180842319037E-4"/>
        <n v="4.3674936386768448E-2"/>
        <n v="9.4608694121788109E-5"/>
        <n v="0.32314231888073142"/>
        <n v="1.3408018515753323E-8"/>
        <n v="5.6698807656102919E-2"/>
        <n v="2.2855009358288769"/>
        <n v="184.70246215575415"/>
        <n v="0.74962639691714839"/>
        <n v="2.4493916591336639E-3"/>
        <n v="8.7143053960964413E-9"/>
        <n v="4.0362757268866387E-2"/>
        <n v="0.18052318461538461"/>
        <n v="9.4688342120679558E-3"/>
        <n v="4.3405629629629629E-3"/>
        <n v="3.807774455360957E-4"/>
        <n v="1.0092502930533613E-3"/>
        <n v="2.9503444444444445E-3"/>
        <n v="1.8791403862660944E-2"/>
        <n v="3.9916836678429643E-3"/>
        <n v="1.5880199705859587E-2"/>
        <n v="3.0179674911660777E-3"/>
        <n v="4.4718208333333334E-3"/>
        <n v="7.4050145409223098E-2"/>
        <n v="2.9444896330275229E-2"/>
        <n v="2.6910743964618723E-2"/>
        <n v="1.4602937274966837E-2"/>
        <n v="1.0067039669338173E-4"/>
        <n v="2.6893608074011775E-2"/>
        <n v="5.3569201520912546E-2"/>
        <n v="6.0674255560550592E-3"/>
        <n v="0.98536332533013204"/>
        <n v="1.23009900990099E-5"/>
        <n v="2.9545704900959364E-9"/>
        <n v="2.4925288326300983E-2"/>
        <n v="5.2404850801117155E-2"/>
        <n v="7.8947368421052629E-7"/>
        <n v="2.2216567933032838E-2"/>
        <n v="3.9443310104529618E-4"/>
        <n v="1.4085937143639101E-3"/>
        <n v="4.7939847094801216E-2"/>
        <n v="6.9248370000000004E-2"/>
        <n v="0.14871981308411214"/>
        <n v="4.735911519272374E-2"/>
        <n v="1.0203574038461538E-2"/>
        <n v="4.6791491606714627E-2"/>
        <n v="3.599647783974171E-4"/>
        <n v="1.1512727771679474E-4"/>
        <n v="5.149326281472447E-3"/>
        <n v="5.5005320106402125E-3"/>
        <n v="3.9487322337690917E-3"/>
        <n v="1.1077347210456251E-2"/>
        <n v="1.4583333333333332E-7"/>
        <n v="2.5652156250000001E-3"/>
        <n v="3.2508633093525183E-5"/>
        <n v="3.8123657024793388E-2"/>
        <n v="7.3818431911966984E-4"/>
        <n v="2.8419047999999999E-2"/>
        <n v="4.9991715118429425E-4"/>
        <n v="1.3625883076923077E-3"/>
        <n v="2.8641517677407812E-2"/>
        <n v="2.7485182E-2"/>
        <n v="0.54420713699753898"/>
        <n v="4.3202551521099114E-2"/>
        <n v="4.5731208000000002E-2"/>
        <n v="1.1674858044164038E-4"/>
        <n v="1.0893415084831178E-3"/>
        <n v="7.2221705942395603E-2"/>
        <n v="1.5188470149253731E-4"/>
        <n v="2.6411701105237867E-3"/>
        <n v="1.8989871742160628E-3"/>
        <n v="1.5851171105101528E-5"/>
        <n v="2.1851648043714315E-2"/>
        <n v="1.26E-5"/>
        <n v="2.4804356858787913E-3"/>
        <n v="2.7368477477477476E-3"/>
        <n v="0.11401440716911765"/>
        <n v="8.1572799999999994E-3"/>
        <n v="3.6110344827586205E-7"/>
        <n v="5.8506799999999998E-7"/>
        <n v="8.8092571855169846E-9"/>
        <n v="9.1972665303340154E-2"/>
        <n v="7.3061711042032703E-3"/>
        <n v="135.76852118766215"/>
        <n v="4.6832977777777774E-3"/>
        <n v="2.4395168906647294E-2"/>
        <n v="4.1241560885608855E-3"/>
        <n v="0.12787330357142856"/>
        <n v="6.5433040909090908E-3"/>
        <n v="8.0623772171577972"/>
        <n v="4.4140587837837838E-3"/>
        <n v="8.7807851470752719E-5"/>
        <n v="9.5058206256877845E-3"/>
        <n v="2.27106E-4"/>
        <n v="3.207776842105263E-2"/>
        <n v="0.58820947109471089"/>
        <n v="1.2880280000000001E-3"/>
        <n v="1.8606852380952381E-3"/>
        <n v="3.7886306666666666E-3"/>
        <n v="5.9079199359487591E-2"/>
        <n v="9.0171022727272729E-5"/>
        <n v="8.6639578496160033E-4"/>
        <n v="4.5824282786885249E-3"/>
        <n v="2.0392669676873146E-2"/>
        <n v="3.6064900662251655E-9"/>
        <n v="2.1633957746478873E-4"/>
        <n v="3.4763307523072088E-3"/>
        <n v="7.9813004000000003E-3"/>
        <n v="1.0651493728620296E-2"/>
        <n v="5.4644105205076327E-5"/>
        <n v="3.7571028618830359E-3"/>
        <n v="2.4473984119570296E-3"/>
        <n v="5.2852965747702586E-4"/>
        <n v="2.4190493118119508E-3"/>
        <n v="1.8268996834722884E-3"/>
        <n v="1.170930890052356E-3"/>
        <n v="2.3341799999999999E-4"/>
        <n v="6.9778769230769235E-4"/>
        <n v="5.7173949439142807E-3"/>
        <n v="3.0732735898787559E-2"/>
        <n v="0.16272771018079329"/>
        <n v="1.2753538461538462E-4"/>
        <n v="1.1749976001919847E-2"/>
        <n v="7.5997347480106104E-3"/>
        <n v="2.5084026696329257E-4"/>
        <n v="9.7327109266943294E-4"/>
        <n v="2.1149150000000002E-3"/>
        <n v="7.2571109305160503E-4"/>
        <n v="4.5686879999999998E-4"/>
        <n v="0.5759106687898089"/>
        <n v="4.8915419919246297"/>
        <n v="1.0096926974336381E-4"/>
        <n v="7.2140114068441064E-3"/>
        <n v="4.7993463778438851E-4"/>
        <n v="6.9574199999999995E-5"/>
        <n v="4.3339163780306778E-2"/>
        <n v="6.9710983606557377E-4"/>
        <n v="0.21273210084033614"/>
        <n v="3.3997556557273453E-5"/>
        <n v="1.2372104970247014E-3"/>
        <n v="1700.7314505776637"/>
        <n v="8.8912045454545461E-5"/>
        <n v="1.0579347826086957E-5"/>
        <n v="2.7061955673646699E-7"/>
        <n v="2.8052178791845893E-4"/>
        <n v="2.379519191919192E-3"/>
        <n v="2.9799888698233083E-5"/>
        <n v="6.6361556064073226E-9"/>
        <n v="1.2558547117094235E-4"/>
        <n v="6.3301231231231228E-3"/>
        <n v="0.10967865853658537"/>
        <n v="0.23008207009751858"/>
        <n v="2.3159281211779094E-3"/>
        <n v="9.8577422986388294E-5"/>
        <n v="2.2052999999999999E-3"/>
        <n v="5.0188136785982655E-2"/>
        <n v="4.9035000000000001E-5"/>
        <n v="1.0014639723875572E-4"/>
        <n v="703.31218851570964"/>
        <n v="2.0305768396703774E-4"/>
        <n v="5.4690626428898034E-2"/>
        <n v="2.7371162280701754E-5"/>
        <n v="3.2132315340909094E-2"/>
        <n v="7.886342857142857E-5"/>
        <n v="3.1316265060240964E-6"/>
        <n v="2.909871638900613E-3"/>
        <n v="5.518149090909091E-3"/>
        <n v="1.6235714285714285E-4"/>
        <n v="0.68325471698113205"/>
        <n v="1.3824809523809524E-2"/>
        <n v="1.4234665461121157E-5"/>
        <n v="5.8695854063018239E-4"/>
        <n v="406.91663286004058"/>
        <n v="1.44974E-4"/>
        <n v="662.09647239263802"/>
        <n v="4.6696923656290985E-4"/>
        <n v="7.2297807017543858E-5"/>
        <n v="2.7378932381565347E-4"/>
        <n v="2.0404186141028246E-3"/>
        <n v="2.3099999999999999E-5"/>
        <n v="1.0532307847998786E-4"/>
        <n v="9.2775485799701032E-3"/>
        <n v="1.414096404836256E-3"/>
        <n v="1.1900673623035265E-10"/>
        <n v="8.7037760053544543E-5"/>
        <n v="2.8285576923076923E-5"/>
        <n v="2.818715789473684E-4"/>
        <n v="2.9412387193811775E-5"/>
        <n v="1.92580310880829E-4"/>
        <e v="#DIV/0!"/>
        <n v="80.63145434047351"/>
        <n v="2.629359908010732E-5"/>
        <n v="9.6756459593183071E-5"/>
        <n v="1.1067829371578651E-5"/>
        <n v="4.6906249999999997E-6"/>
        <n v="2.5643290043290044E-2"/>
        <n v="6.5314009661835745E-2"/>
        <n v="1.5775757575757576E-5"/>
        <n v="1.3963868485484435E-2"/>
        <n v="0.31826399523566445"/>
        <n v="1.1198200000000001E-3"/>
        <n v="3.5155415833095172E-4"/>
        <n v="3.9451443652015459E-11"/>
        <n v="3.9102969673882439E-4"/>
        <n v="3.074821513564969E-5"/>
        <n v="1.3447528830313015E-4"/>
        <n v="1.8453439442224062E-5"/>
        <n v="0.10874971644612476"/>
        <n v="2.8071289999999998E-3"/>
        <n v="1.8601441496702959E-5"/>
        <n v="2.3176085800567857E-4"/>
        <n v="9.4497017543859654E-4"/>
        <n v="2.0136671270718232E-5"/>
        <n v="1.4180685714285714E-5"/>
        <n v="8.3288611928213432E-4"/>
        <n v="1.45182E-2"/>
        <n v="1.4278537926572861E-3"/>
        <n v="3.2012820512820513E-3"/>
        <n v="4.8258019544497915E-5"/>
        <n v="1.2893585227879177E-5"/>
        <n v="4.7720511377341802E-5"/>
        <n v="4.0509294052808257E-4"/>
        <n v="1.0629999999999999E-3"/>
        <n v="1.5047021943573668E-2"/>
        <n v="1.0585663329881486E-6"/>
        <n v="2.6425071496663489E-2"/>
        <n v="8.1184232048416114E-5"/>
        <n v="578.99573170731708"/>
        <n v="3.6147113836182323E-4"/>
        <n v="152.9418008784773"/>
        <n v="2.6909550561797754E-5"/>
        <n v="1.5909948331009597E-4"/>
        <n v="4.3860542670911022E-3"/>
        <n v="1.4693563128345737E-4"/>
        <n v="1303.0711956521739"/>
        <n v="2.369778329065301E-4"/>
        <n v="0.182315"/>
        <n v="8.2303099885189432E-6"/>
        <n v="5.2775200000000001E-2"/>
        <n v="8.0949199999999998E-4"/>
        <n v="2.5400400000000002E-5"/>
        <n v="5.6307000000000001E-5"/>
        <n v="229.71728395061729"/>
        <n v="2.5018435754189944E-4"/>
        <n v="5.2135361131376617E-6"/>
        <n v="8.2214843749999993"/>
        <n v="3.4915129151291512E-6"/>
        <n v="2.0444606445954836E-2"/>
        <n v="7.1031690140845071E-5"/>
        <n v="1.3800715796323409E-3"/>
      </sharedItems>
    </cacheField>
    <cacheField name="Rank" numFmtId="0">
      <sharedItems containsSemiMixedTypes="0" containsString="0" containsNumber="1" containsInteger="1" minValue="1" maxValue="294"/>
    </cacheField>
    <cacheField name="Price Range" numFmtId="0">
      <sharedItems count="7">
        <s v="100-10000"/>
        <s v="10000+"/>
        <s v="0.5-1"/>
        <s v="1-2"/>
        <s v="0-0.5"/>
        <s v="10-100"/>
        <s v="2-10"/>
      </sharedItems>
    </cacheField>
  </cacheFields>
  <extLst>
    <ext xmlns:x14="http://schemas.microsoft.com/office/spreadsheetml/2009/9/main" uri="{725AE2AE-9491-48be-B2B4-4EB974FC3084}">
      <x14:pivotCacheDefinition pivotCacheId="249750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x v="0"/>
    <x v="0"/>
    <n v="167.4"/>
    <n v="4.0000000000000002E-4"/>
    <n v="8124123"/>
    <n v="3999982"/>
    <s v="48.52K"/>
    <n v="48520"/>
    <x v="0"/>
    <n v="165"/>
    <x v="0"/>
  </r>
  <r>
    <x v="1"/>
    <x v="1"/>
    <n v="81018.5"/>
    <n v="4.0000000000000002E-4"/>
    <n v="1619311935409"/>
    <n v="51554007081"/>
    <s v="19.98M"/>
    <n v="19980000"/>
    <x v="1"/>
    <n v="1"/>
    <x v="1"/>
  </r>
  <r>
    <x v="2"/>
    <x v="2"/>
    <n v="2522.3200000000002"/>
    <n v="4.7000000000000002E-3"/>
    <n v="304930172193"/>
    <n v="35537964244"/>
    <s v="120.69M"/>
    <n v="120690000"/>
    <x v="2"/>
    <n v="2"/>
    <x v="0"/>
  </r>
  <r>
    <x v="3"/>
    <x v="3"/>
    <n v="0.99829999999999997"/>
    <n v="1E-4"/>
    <n v="185193421704"/>
    <n v="114504551262"/>
    <s v="185.37B"/>
    <n v="185370000000"/>
    <x v="3"/>
    <n v="3"/>
    <x v="2"/>
  </r>
  <r>
    <x v="4"/>
    <x v="4"/>
    <n v="800.34"/>
    <n v="9.2999999999999992E-3"/>
    <n v="109110349765"/>
    <n v="2666835933"/>
    <s v="136.36M"/>
    <n v="136360000"/>
    <x v="4"/>
    <n v="4"/>
    <x v="0"/>
  </r>
  <r>
    <x v="5"/>
    <x v="5"/>
    <n v="1.63"/>
    <n v="7.6E-3"/>
    <n v="99257714735"/>
    <n v="4324668476"/>
    <s v="60.85B"/>
    <n v="60850000000"/>
    <x v="5"/>
    <n v="5"/>
    <x v="3"/>
  </r>
  <r>
    <x v="6"/>
    <x v="6"/>
    <n v="1"/>
    <n v="0"/>
    <n v="70068984474"/>
    <n v="15127145069"/>
    <s v="70.05B"/>
    <n v="70050000000"/>
    <x v="6"/>
    <n v="6"/>
    <x v="2"/>
  </r>
  <r>
    <x v="7"/>
    <x v="7"/>
    <n v="108.28"/>
    <n v="8.8000000000000005E-3"/>
    <n v="61322031824"/>
    <n v="6513195834"/>
    <s v="566.3M"/>
    <n v="566300000"/>
    <x v="7"/>
    <n v="7"/>
    <x v="0"/>
  </r>
  <r>
    <x v="8"/>
    <x v="8"/>
    <n v="0.28720000000000001"/>
    <n v="6.9999999999999999E-4"/>
    <n v="27209546349"/>
    <n v="737295860"/>
    <s v="94.71B"/>
    <n v="94710000000"/>
    <x v="8"/>
    <n v="8"/>
    <x v="4"/>
  </r>
  <r>
    <x v="9"/>
    <x v="9"/>
    <n v="0.1069"/>
    <n v="2.7000000000000001E-3"/>
    <n v="18030844694"/>
    <n v="1620750635"/>
    <s v="168.54B"/>
    <n v="168540000000"/>
    <x v="9"/>
    <n v="9"/>
    <x v="4"/>
  </r>
  <r>
    <x v="10"/>
    <x v="10"/>
    <n v="0.29699999999999999"/>
    <n v="3.0000000000000001E-3"/>
    <n v="10707656662"/>
    <n v="1003038133"/>
    <s v="36.04B"/>
    <n v="36040000000"/>
    <x v="10"/>
    <n v="10"/>
    <x v="4"/>
  </r>
  <r>
    <x v="11"/>
    <x v="11"/>
    <n v="517.47"/>
    <n v="5.1000000000000004E-3"/>
    <n v="10343419742"/>
    <n v="378443816"/>
    <s v="19.98M"/>
    <n v="19980000"/>
    <x v="11"/>
    <n v="11"/>
    <x v="0"/>
  </r>
  <r>
    <x v="12"/>
    <x v="12"/>
    <n v="478.46"/>
    <n v="0.01"/>
    <n v="8826170412"/>
    <n v="230984832"/>
    <s v="18.44M"/>
    <n v="18440000"/>
    <x v="12"/>
    <n v="12"/>
    <x v="0"/>
  </r>
  <r>
    <x v="13"/>
    <x v="13"/>
    <n v="28.48"/>
    <n v="2.1499999999999998E-2"/>
    <n v="8603897117"/>
    <n v="645866941"/>
    <s v="302.07M"/>
    <n v="302070000"/>
    <x v="13"/>
    <n v="13"/>
    <x v="5"/>
  </r>
  <r>
    <x v="14"/>
    <x v="14"/>
    <n v="9.02"/>
    <n v="1.0699999999999999E-2"/>
    <n v="8317384510"/>
    <n v="1042178"/>
    <s v="921.69M"/>
    <n v="921690000"/>
    <x v="14"/>
    <n v="14"/>
    <x v="6"/>
  </r>
  <r>
    <x v="15"/>
    <x v="15"/>
    <n v="0.39"/>
    <n v="2E-3"/>
    <n v="357626461"/>
    <n v="25105143"/>
    <s v="916.93M"/>
    <n v="916930000"/>
    <x v="15"/>
    <n v="25"/>
    <x v="4"/>
  </r>
  <r>
    <x v="16"/>
    <x v="16"/>
    <n v="4.0300000000000002E-2"/>
    <n v="5.3E-3"/>
    <n v="355213012"/>
    <n v="31943267"/>
    <s v="8.81B"/>
    <n v="8810000000"/>
    <x v="16"/>
    <n v="26"/>
    <x v="4"/>
  </r>
  <r>
    <x v="17"/>
    <x v="17"/>
    <n v="0.3054"/>
    <n v="2.8E-3"/>
    <n v="353461784"/>
    <n v="16374353"/>
    <s v="1.15B"/>
    <n v="1150000000"/>
    <x v="17"/>
    <n v="27"/>
    <x v="4"/>
  </r>
  <r>
    <x v="18"/>
    <x v="18"/>
    <n v="0.49830000000000002"/>
    <n v="2.8E-3"/>
    <n v="348544163"/>
    <n v="55872003"/>
    <s v="699.36M"/>
    <n v="699360000"/>
    <x v="18"/>
    <n v="28"/>
    <x v="4"/>
  </r>
  <r>
    <x v="19"/>
    <x v="19"/>
    <n v="5.4300000000000001E-2"/>
    <n v="5.0000000000000001E-4"/>
    <n v="338276502"/>
    <n v="25877567"/>
    <s v="6.23B"/>
    <n v="6230000000"/>
    <x v="19"/>
    <n v="29"/>
    <x v="4"/>
  </r>
  <r>
    <x v="20"/>
    <x v="20"/>
    <n v="0"/>
    <n v="9.9000000000000008E-3"/>
    <n v="337158930"/>
    <n v="58456797"/>
    <s v="9.53T"/>
    <n v="9530000000000"/>
    <x v="20"/>
    <n v="30"/>
    <x v="4"/>
  </r>
  <r>
    <x v="21"/>
    <x v="21"/>
    <n v="6.3399999999999998E-2"/>
    <n v="2.3E-3"/>
    <n v="336412048"/>
    <n v="14471518"/>
    <s v="999.99T"/>
    <n v="999990000000000"/>
    <x v="21"/>
    <n v="31"/>
    <x v="4"/>
  </r>
  <r>
    <x v="22"/>
    <x v="22"/>
    <n v="1.7399999999999999E-2"/>
    <n v="3.5000000000000001E-3"/>
    <n v="333414314"/>
    <n v="23017652"/>
    <s v="19.2B"/>
    <n v="19200000000"/>
    <x v="22"/>
    <n v="32"/>
    <x v="4"/>
  </r>
  <r>
    <x v="23"/>
    <x v="23"/>
    <n v="0.13569999999999999"/>
    <n v="2.2000000000000001E-3"/>
    <n v="327345719"/>
    <n v="144856633"/>
    <s v="2.41B"/>
    <n v="2410000000"/>
    <x v="23"/>
    <n v="33"/>
    <x v="4"/>
  </r>
  <r>
    <x v="24"/>
    <x v="24"/>
    <n v="3.0499999999999999E-2"/>
    <n v="3.3E-3"/>
    <n v="326057965"/>
    <n v="22330573"/>
    <s v="10.69B"/>
    <n v="10690000000"/>
    <x v="24"/>
    <n v="34"/>
    <x v="4"/>
  </r>
  <r>
    <x v="25"/>
    <x v="25"/>
    <n v="0.37259999999999999"/>
    <n v="4.5999999999999999E-3"/>
    <n v="325625580"/>
    <n v="57153367"/>
    <s v="873.91M"/>
    <n v="873910000"/>
    <x v="25"/>
    <n v="35"/>
    <x v="4"/>
  </r>
  <r>
    <x v="26"/>
    <x v="26"/>
    <n v="0.74950000000000006"/>
    <n v="2.69E-2"/>
    <n v="322217831"/>
    <n v="12850788"/>
    <s v="429.86M"/>
    <n v="429860000"/>
    <x v="26"/>
    <n v="36"/>
    <x v="2"/>
  </r>
  <r>
    <x v="27"/>
    <x v="27"/>
    <n v="1.9"/>
    <n v="3.8E-3"/>
    <n v="321706465"/>
    <n v="173812825"/>
    <s v="168.83M"/>
    <n v="168830000"/>
    <x v="27"/>
    <n v="37"/>
    <x v="3"/>
  </r>
  <r>
    <x v="28"/>
    <x v="28"/>
    <n v="121.78"/>
    <n v="1.6999999999999999E-3"/>
    <n v="321412644"/>
    <n v="6233164"/>
    <s v="2.63M"/>
    <n v="2630000"/>
    <x v="28"/>
    <n v="38"/>
    <x v="0"/>
  </r>
  <r>
    <x v="29"/>
    <x v="29"/>
    <n v="16.079999999999998"/>
    <n v="2.8999999999999998E-3"/>
    <n v="321399923"/>
    <n v="17493978"/>
    <s v="19.98M"/>
    <n v="19980000"/>
    <x v="29"/>
    <n v="39"/>
    <x v="5"/>
  </r>
  <r>
    <x v="30"/>
    <x v="30"/>
    <n v="9.4999999999999998E-3"/>
    <n v="8.2500000000000004E-2"/>
    <n v="3233457315"/>
    <n v="42995795"/>
    <s v="339.82B"/>
    <n v="339820000000"/>
    <x v="30"/>
    <n v="15"/>
    <x v="4"/>
  </r>
  <r>
    <x v="31"/>
    <x v="31"/>
    <n v="0.99260000000000004"/>
    <n v="4.0000000000000002E-4"/>
    <n v="2049243108"/>
    <n v="8388124"/>
    <s v="2.06B"/>
    <n v="2060000000"/>
    <x v="31"/>
    <n v="16"/>
    <x v="2"/>
  </r>
  <r>
    <x v="32"/>
    <x v="32"/>
    <n v="4.2"/>
    <n v="4.5999999999999999E-3"/>
    <n v="1610130527"/>
    <n v="36815479"/>
    <s v="382.56M"/>
    <n v="382560000"/>
    <x v="32"/>
    <n v="17"/>
    <x v="6"/>
  </r>
  <r>
    <x v="33"/>
    <x v="33"/>
    <n v="1.1100000000000001"/>
    <n v="4.0000000000000002E-4"/>
    <n v="703423040"/>
    <n v="1202486"/>
    <s v="629.12M"/>
    <n v="629120000"/>
    <x v="33"/>
    <n v="18"/>
    <x v="3"/>
  </r>
  <r>
    <x v="34"/>
    <x v="34"/>
    <n v="0.99819999999999998"/>
    <n v="1E-4"/>
    <n v="590182114"/>
    <n v="8479617"/>
    <s v="591.22M"/>
    <n v="591220000"/>
    <x v="34"/>
    <n v="19"/>
    <x v="2"/>
  </r>
  <r>
    <x v="35"/>
    <x v="35"/>
    <n v="7.7600000000000002E-2"/>
    <n v="1.1000000000000001E-3"/>
    <n v="589997944"/>
    <n v="12955869"/>
    <s v="7.6B"/>
    <n v="7600000000"/>
    <x v="35"/>
    <n v="20"/>
    <x v="4"/>
  </r>
  <r>
    <x v="36"/>
    <x v="36"/>
    <n v="0.99890000000000001"/>
    <n v="2.9999999999999997E-4"/>
    <n v="507811109"/>
    <n v="1718549"/>
    <s v="508.36M"/>
    <n v="508360000"/>
    <x v="36"/>
    <n v="21"/>
    <x v="2"/>
  </r>
  <r>
    <x v="37"/>
    <x v="37"/>
    <n v="0.99980000000000002"/>
    <n v="2.0000000000000001E-4"/>
    <n v="501292387"/>
    <n v="1889155"/>
    <s v="501.35M"/>
    <n v="501350000"/>
    <x v="37"/>
    <n v="22"/>
    <x v="2"/>
  </r>
  <r>
    <x v="38"/>
    <x v="38"/>
    <n v="1.08"/>
    <n v="1.1999999999999999E-3"/>
    <n v="474148308"/>
    <n v="12397216"/>
    <s v="436.26M"/>
    <n v="436260000"/>
    <x v="38"/>
    <n v="23"/>
    <x v="3"/>
  </r>
  <r>
    <x v="39"/>
    <x v="39"/>
    <n v="0.1057"/>
    <n v="8.6999999999999994E-3"/>
    <n v="460810289"/>
    <n v="1330345"/>
    <s v="4.35B"/>
    <n v="4350000000"/>
    <x v="39"/>
    <n v="24"/>
    <x v="4"/>
  </r>
  <r>
    <x v="40"/>
    <x v="40"/>
    <n v="0.99299999999999999"/>
    <n v="1.1000000000000001E-3"/>
    <n v="274227580"/>
    <n v="19112452"/>
    <s v="276.15M"/>
    <n v="276150000"/>
    <x v="40"/>
    <n v="40"/>
    <x v="2"/>
  </r>
  <r>
    <x v="41"/>
    <x v="41"/>
    <n v="2.27"/>
    <n v="1.5E-3"/>
    <n v="225619808"/>
    <n v="484611"/>
    <s v="99.24M"/>
    <n v="99240000"/>
    <x v="41"/>
    <n v="41"/>
    <x v="6"/>
  </r>
  <r>
    <x v="42"/>
    <x v="42"/>
    <n v="5.11E-2"/>
    <n v="1E-3"/>
    <n v="224178936"/>
    <n v="31806985"/>
    <s v="210T"/>
    <n v="210000000000000"/>
    <x v="42"/>
    <n v="42"/>
    <x v="4"/>
  </r>
  <r>
    <x v="43"/>
    <x v="43"/>
    <n v="0.51959999999999995"/>
    <n v="6.7000000000000002E-3"/>
    <n v="214947624"/>
    <n v="76355"/>
    <s v="413.62M"/>
    <n v="413620000"/>
    <x v="43"/>
    <n v="43"/>
    <x v="2"/>
  </r>
  <r>
    <x v="44"/>
    <x v="44"/>
    <n v="2.5499999999999998"/>
    <n v="3.5999999999999999E-3"/>
    <n v="201136547"/>
    <n v="3432850"/>
    <s v="78.6M"/>
    <n v="78600000"/>
    <x v="44"/>
    <n v="44"/>
    <x v="6"/>
  </r>
  <r>
    <x v="45"/>
    <x v="45"/>
    <n v="2.5000000000000001E-3"/>
    <n v="1E-4"/>
    <n v="72224200"/>
    <n v="2687833"/>
    <s v="28.41B"/>
    <n v="28410000000"/>
    <x v="45"/>
    <n v="45"/>
    <x v="4"/>
  </r>
  <r>
    <x v="46"/>
    <x v="46"/>
    <n v="0.99839999999999995"/>
    <n v="2.3999999999999998E-3"/>
    <n v="72083690"/>
    <n v="23327644"/>
    <s v="72.19M"/>
    <n v="72190000"/>
    <x v="46"/>
    <n v="46"/>
    <x v="2"/>
  </r>
  <r>
    <x v="47"/>
    <x v="47"/>
    <n v="6.5299999999999997E-2"/>
    <n v="6.4999999999999997E-3"/>
    <n v="70850527"/>
    <n v="1795870"/>
    <s v="133.94T"/>
    <n v="133940000000000"/>
    <x v="47"/>
    <n v="47"/>
    <x v="4"/>
  </r>
  <r>
    <x v="48"/>
    <x v="48"/>
    <n v="0.246"/>
    <n v="3.0000000000000001E-3"/>
    <n v="70579202"/>
    <n v="16262919"/>
    <s v="286.83M"/>
    <n v="286830000"/>
    <x v="48"/>
    <n v="48"/>
    <x v="4"/>
  </r>
  <r>
    <x v="49"/>
    <x v="49"/>
    <n v="9.3800000000000008"/>
    <n v="1.9099999999999999E-2"/>
    <n v="70221607"/>
    <n v="17095547"/>
    <s v="7.48M"/>
    <n v="7480000"/>
    <x v="49"/>
    <n v="49"/>
    <x v="6"/>
  </r>
  <r>
    <x v="50"/>
    <x v="50"/>
    <n v="426.79"/>
    <n v="5.9999999999999995E-4"/>
    <n v="70206142"/>
    <n v="30381708"/>
    <s v="164.49K"/>
    <n v="164490"/>
    <x v="50"/>
    <n v="50"/>
    <x v="0"/>
  </r>
  <r>
    <x v="51"/>
    <x v="51"/>
    <n v="6.74"/>
    <n v="7.4999999999999997E-3"/>
    <n v="70062843"/>
    <n v="7781122"/>
    <s v="10.38M"/>
    <n v="10380000"/>
    <x v="51"/>
    <n v="51"/>
    <x v="6"/>
  </r>
  <r>
    <x v="52"/>
    <x v="52"/>
    <n v="8.5300000000000001E-2"/>
    <n v="7.9000000000000008E-3"/>
    <n v="69799746"/>
    <n v="2005121"/>
    <s v="818.62M"/>
    <n v="818620000"/>
    <x v="52"/>
    <n v="52"/>
    <x v="4"/>
  </r>
  <r>
    <x v="53"/>
    <x v="53"/>
    <n v="5.16E-2"/>
    <n v="4.1999999999999997E-3"/>
    <n v="69227990"/>
    <n v="379508"/>
    <s v="43.55T"/>
    <n v="43550000000000"/>
    <x v="53"/>
    <n v="53"/>
    <x v="4"/>
  </r>
  <r>
    <x v="54"/>
    <x v="54"/>
    <n v="0.22600000000000001"/>
    <n v="7.1000000000000004E-3"/>
    <n v="69207940"/>
    <n v="12355040"/>
    <s v="306.1M"/>
    <n v="306100000"/>
    <x v="54"/>
    <n v="54"/>
    <x v="4"/>
  </r>
  <r>
    <x v="55"/>
    <x v="55"/>
    <n v="0.35220000000000001"/>
    <n v="8.0000000000000002E-3"/>
    <n v="68690236"/>
    <n v="35202021"/>
    <s v="195M"/>
    <n v="195000000"/>
    <x v="55"/>
    <n v="55"/>
    <x v="4"/>
  </r>
  <r>
    <x v="56"/>
    <x v="56"/>
    <n v="4.01"/>
    <n v="3.3999999999999998E-3"/>
    <n v="68590136"/>
    <n v="161633"/>
    <s v="17.07M"/>
    <n v="17070000"/>
    <x v="56"/>
    <n v="56"/>
    <x v="6"/>
  </r>
  <r>
    <x v="57"/>
    <x v="57"/>
    <n v="6.3200000000000006E-2"/>
    <n v="1.9E-3"/>
    <n v="68467389"/>
    <n v="4687808"/>
    <s v="1.08B"/>
    <n v="1080000000"/>
    <x v="57"/>
    <n v="57"/>
    <x v="4"/>
  </r>
  <r>
    <x v="58"/>
    <x v="58"/>
    <n v="8.1000000000000003E-2"/>
    <n v="5.7000000000000002E-3"/>
    <n v="68300453"/>
    <n v="320904"/>
    <s v="842.76M"/>
    <n v="842760000"/>
    <x v="58"/>
    <n v="58"/>
    <x v="4"/>
  </r>
  <r>
    <x v="59"/>
    <x v="59"/>
    <n v="0.34799999999999998"/>
    <n v="9.1999999999999998E-3"/>
    <n v="68294996"/>
    <n v="198025"/>
    <s v="196.21M"/>
    <n v="196210000"/>
    <x v="59"/>
    <n v="59"/>
    <x v="4"/>
  </r>
  <r>
    <x v="60"/>
    <x v="60"/>
    <n v="4.5199999999999997E-2"/>
    <n v="9.2999999999999992E-3"/>
    <n v="49246411"/>
    <n v="3186372"/>
    <s v="1.08B"/>
    <n v="1080000000"/>
    <x v="60"/>
    <n v="60"/>
    <x v="4"/>
  </r>
  <r>
    <x v="61"/>
    <x v="61"/>
    <n v="2.1000000000000001E-2"/>
    <n v="2.3E-3"/>
    <n v="49149473"/>
    <n v="43783971"/>
    <s v="2.33B"/>
    <n v="2330000000"/>
    <x v="61"/>
    <n v="61"/>
    <x v="4"/>
  </r>
  <r>
    <x v="62"/>
    <x v="62"/>
    <n v="6.7199999999999996E-2"/>
    <n v="3.2000000000000002E-3"/>
    <n v="48760107"/>
    <n v="2895727"/>
    <s v="725.44M"/>
    <n v="725440000"/>
    <x v="62"/>
    <n v="62"/>
    <x v="4"/>
  </r>
  <r>
    <x v="63"/>
    <x v="63"/>
    <n v="0.18720000000000001"/>
    <n v="2E-3"/>
    <n v="48384025"/>
    <n v="4103126"/>
    <s v="258.38M"/>
    <n v="258380000"/>
    <x v="63"/>
    <n v="63"/>
    <x v="4"/>
  </r>
  <r>
    <x v="64"/>
    <x v="64"/>
    <n v="1.7000000000000001E-2"/>
    <n v="5.1000000000000004E-3"/>
    <n v="48225874"/>
    <n v="8540848"/>
    <s v="2.83B"/>
    <n v="2830000000"/>
    <x v="64"/>
    <n v="64"/>
    <x v="4"/>
  </r>
  <r>
    <x v="65"/>
    <x v="65"/>
    <n v="2.5000000000000001E-2"/>
    <n v="5.1000000000000004E-3"/>
    <n v="48159008"/>
    <n v="8585896"/>
    <s v="1.92B"/>
    <n v="1920000000"/>
    <x v="65"/>
    <n v="65"/>
    <x v="4"/>
  </r>
  <r>
    <x v="66"/>
    <x v="66"/>
    <n v="1"/>
    <n v="5.0000000000000001E-4"/>
    <n v="48149023"/>
    <n v="3564774"/>
    <s v="48.14M"/>
    <n v="48140000"/>
    <x v="66"/>
    <n v="66"/>
    <x v="2"/>
  </r>
  <r>
    <x v="67"/>
    <x v="67"/>
    <n v="4.36E-2"/>
    <n v="8.2000000000000007E-3"/>
    <n v="47961172"/>
    <n v="32094937"/>
    <s v="1.09B"/>
    <n v="1090000000"/>
    <x v="67"/>
    <n v="67"/>
    <x v="4"/>
  </r>
  <r>
    <x v="68"/>
    <x v="68"/>
    <n v="6.7500000000000004E-2"/>
    <n v="6.1999999999999998E-3"/>
    <n v="47906844"/>
    <n v="19106090"/>
    <s v="709.98M"/>
    <n v="709980000"/>
    <x v="68"/>
    <n v="68"/>
    <x v="4"/>
  </r>
  <r>
    <x v="69"/>
    <x v="69"/>
    <n v="0.22670000000000001"/>
    <n v="5.3E-3"/>
    <n v="47864197"/>
    <n v="3082388"/>
    <s v="211.08M"/>
    <n v="211080000"/>
    <x v="69"/>
    <n v="69"/>
    <x v="4"/>
  </r>
  <r>
    <x v="70"/>
    <x v="70"/>
    <n v="0.23949999999999999"/>
    <n v="1E-4"/>
    <n v="47531204"/>
    <n v="19972"/>
    <s v="198.39M"/>
    <n v="198390000"/>
    <x v="70"/>
    <n v="70"/>
    <x v="4"/>
  </r>
  <r>
    <x v="71"/>
    <x v="71"/>
    <n v="0.99839999999999995"/>
    <n v="0"/>
    <n v="47495368"/>
    <n v="1279060"/>
    <s v="47.56M"/>
    <n v="47560000"/>
    <x v="71"/>
    <n v="71"/>
    <x v="2"/>
  </r>
  <r>
    <x v="72"/>
    <x v="72"/>
    <n v="9.02"/>
    <n v="6.9999999999999999E-4"/>
    <n v="47476175"/>
    <n v="281774"/>
    <s v="5.26M"/>
    <n v="5260000"/>
    <x v="72"/>
    <n v="72"/>
    <x v="6"/>
  </r>
  <r>
    <x v="73"/>
    <x v="73"/>
    <n v="5.0700000000000002E-2"/>
    <n v="1.0999999999999999E-2"/>
    <n v="47349783"/>
    <n v="5668553"/>
    <s v="934.26M"/>
    <n v="934260000"/>
    <x v="73"/>
    <n v="73"/>
    <x v="4"/>
  </r>
  <r>
    <x v="74"/>
    <x v="74"/>
    <n v="2.8"/>
    <n v="4.5999999999999999E-3"/>
    <n v="46750473"/>
    <n v="16416153"/>
    <s v="16.66M"/>
    <n v="16660000"/>
    <x v="74"/>
    <n v="74"/>
    <x v="6"/>
  </r>
  <r>
    <x v="75"/>
    <x v="75"/>
    <n v="3.5700000000000003E-2"/>
    <n v="6.9999999999999999E-4"/>
    <n v="36217034"/>
    <n v="12424"/>
    <s v="1.01B"/>
    <n v="1010000000"/>
    <x v="75"/>
    <n v="75"/>
    <x v="4"/>
  </r>
  <r>
    <x v="76"/>
    <x v="76"/>
    <n v="7.3599999999999999E-2"/>
    <n v="6.4999999999999997E-3"/>
    <n v="36139221"/>
    <n v="2950375"/>
    <s v="998.58T"/>
    <n v="998580000000000"/>
    <x v="76"/>
    <n v="76"/>
    <x v="4"/>
  </r>
  <r>
    <x v="77"/>
    <x v="77"/>
    <n v="1"/>
    <n v="6.9999999999999999E-4"/>
    <n v="35595316"/>
    <n v="886094"/>
    <s v="35.55M"/>
    <n v="35550000"/>
    <x v="77"/>
    <n v="77"/>
    <x v="2"/>
  </r>
  <r>
    <x v="78"/>
    <x v="78"/>
    <n v="0.1736"/>
    <n v="1.5299999999999999E-2"/>
    <n v="35451336"/>
    <n v="10695306"/>
    <s v="204.09M"/>
    <n v="204090000"/>
    <x v="78"/>
    <n v="78"/>
    <x v="4"/>
  </r>
  <r>
    <x v="79"/>
    <x v="79"/>
    <n v="3.1"/>
    <n v="1E-4"/>
    <n v="35388323"/>
    <n v="9"/>
    <s v="11.4M"/>
    <n v="11400000"/>
    <x v="79"/>
    <n v="79"/>
    <x v="6"/>
  </r>
  <r>
    <x v="80"/>
    <x v="80"/>
    <n v="0.2258"/>
    <n v="8.2000000000000007E-3"/>
    <n v="35070748"/>
    <n v="3450233"/>
    <s v="155.3M"/>
    <n v="155300000"/>
    <x v="80"/>
    <n v="80"/>
    <x v="4"/>
  </r>
  <r>
    <x v="81"/>
    <x v="81"/>
    <n v="1.2200000000000001E-2"/>
    <n v="1.6999999999999999E-3"/>
    <n v="35013502"/>
    <n v="1132023"/>
    <s v="2.87B"/>
    <n v="2870000000"/>
    <x v="81"/>
    <n v="81"/>
    <x v="4"/>
  </r>
  <r>
    <x v="82"/>
    <x v="82"/>
    <n v="0.159"/>
    <n v="4.0000000000000002E-4"/>
    <n v="34862745"/>
    <n v="308806"/>
    <s v="219.23M"/>
    <n v="219230000"/>
    <x v="82"/>
    <n v="82"/>
    <x v="4"/>
  </r>
  <r>
    <x v="83"/>
    <x v="83"/>
    <n v="0.13320000000000001"/>
    <n v="5.0299999999999997E-2"/>
    <n v="34860793"/>
    <n v="12541064"/>
    <s v="261.6M"/>
    <n v="261600000.00000003"/>
    <x v="83"/>
    <n v="83"/>
    <x v="4"/>
  </r>
  <r>
    <x v="84"/>
    <x v="84"/>
    <n v="0.34449999999999997"/>
    <n v="7.7000000000000002E-3"/>
    <n v="34456917"/>
    <n v="6924837"/>
    <s v="100M"/>
    <n v="100000000"/>
    <x v="84"/>
    <n v="84"/>
    <x v="4"/>
  </r>
  <r>
    <x v="85"/>
    <x v="85"/>
    <n v="0.58430000000000004"/>
    <n v="9.5999999999999992E-3"/>
    <n v="34391010"/>
    <n v="8752161"/>
    <s v="58.85M"/>
    <n v="58850000"/>
    <x v="85"/>
    <n v="85"/>
    <x v="2"/>
  </r>
  <r>
    <x v="86"/>
    <x v="86"/>
    <n v="0.1512"/>
    <n v="2.3999999999999998E-3"/>
    <n v="34266646"/>
    <n v="10726366"/>
    <s v="226.49M"/>
    <n v="226490000"/>
    <x v="86"/>
    <n v="86"/>
    <x v="4"/>
  </r>
  <r>
    <x v="87"/>
    <x v="87"/>
    <n v="3.27E-2"/>
    <n v="4.1000000000000003E-3"/>
    <n v="34240657"/>
    <n v="10611717"/>
    <s v="1.04B"/>
    <n v="1040000000"/>
    <x v="87"/>
    <n v="87"/>
    <x v="4"/>
  </r>
  <r>
    <x v="88"/>
    <x v="88"/>
    <n v="0.10920000000000001"/>
    <n v="9.1000000000000004E-3"/>
    <n v="34159032"/>
    <n v="14634039"/>
    <s v="312.75M"/>
    <n v="312750000"/>
    <x v="88"/>
    <n v="88"/>
    <x v="4"/>
  </r>
  <r>
    <x v="89"/>
    <x v="89"/>
    <n v="0.99850000000000005"/>
    <n v="1E-3"/>
    <n v="34022741"/>
    <n v="12264"/>
    <s v="34.07M"/>
    <n v="34070000"/>
    <x v="89"/>
    <n v="89"/>
    <x v="2"/>
  </r>
  <r>
    <x v="90"/>
    <x v="90"/>
    <n v="6.9999999999999999E-4"/>
    <n v="1.52E-2"/>
    <n v="26497748"/>
    <n v="4195238"/>
    <s v="36.44B"/>
    <n v="36440000000"/>
    <x v="90"/>
    <n v="90"/>
    <x v="4"/>
  </r>
  <r>
    <x v="91"/>
    <x v="91"/>
    <n v="3.1E-2"/>
    <n v="1.6199999999999999E-2"/>
    <n v="26446153"/>
    <n v="4390985"/>
    <s v="852.73M"/>
    <n v="852730000"/>
    <x v="91"/>
    <n v="91"/>
    <x v="4"/>
  </r>
  <r>
    <x v="92"/>
    <x v="92"/>
    <n v="2.63E-2"/>
    <n v="2.7000000000000001E-3"/>
    <n v="26293151"/>
    <n v="5500422"/>
    <s v="999.98M"/>
    <n v="999980000"/>
    <x v="92"/>
    <n v="92"/>
    <x v="4"/>
  </r>
  <r>
    <x v="93"/>
    <x v="93"/>
    <n v="2.6100000000000002E-2"/>
    <n v="4.1999999999999997E-3"/>
    <n v="26067193"/>
    <n v="3947903"/>
    <s v="999.79M"/>
    <n v="999790000"/>
    <x v="93"/>
    <n v="93"/>
    <x v="4"/>
  </r>
  <r>
    <x v="94"/>
    <x v="94"/>
    <n v="3.15E-2"/>
    <n v="7.7999999999999996E-3"/>
    <n v="26047100"/>
    <n v="9153212"/>
    <s v="826.3M"/>
    <n v="826300000"/>
    <x v="94"/>
    <n v="94"/>
    <x v="4"/>
  </r>
  <r>
    <x v="95"/>
    <x v="95"/>
    <n v="2.1499999999999998E-2"/>
    <n v="1E-4"/>
    <n v="25819756"/>
    <n v="175"/>
    <s v="1.2B"/>
    <n v="1200000000"/>
    <x v="95"/>
    <n v="95"/>
    <x v="4"/>
  </r>
  <r>
    <x v="96"/>
    <x v="96"/>
    <n v="0.02"/>
    <n v="6.1999999999999998E-3"/>
    <n v="25772788"/>
    <n v="3283476"/>
    <s v="1.28B"/>
    <n v="1280000000"/>
    <x v="96"/>
    <n v="96"/>
    <x v="4"/>
  </r>
  <r>
    <x v="97"/>
    <x v="97"/>
    <n v="2.3E-3"/>
    <n v="2.0400000000000001E-2"/>
    <n v="25666043"/>
    <n v="361496"/>
    <s v="11.12B"/>
    <n v="11120000000"/>
    <x v="97"/>
    <n v="97"/>
    <x v="4"/>
  </r>
  <r>
    <x v="98"/>
    <x v="98"/>
    <n v="0.65969999999999995"/>
    <n v="3.5299999999999998E-2"/>
    <n v="25549724"/>
    <n v="1476148"/>
    <s v="38.72M"/>
    <n v="38720000"/>
    <x v="98"/>
    <n v="98"/>
    <x v="2"/>
  </r>
  <r>
    <x v="99"/>
    <x v="99"/>
    <n v="0.1404"/>
    <n v="6.8400000000000002E-2"/>
    <n v="25521804"/>
    <n v="134165"/>
    <s v="181.75M"/>
    <n v="181750000"/>
    <x v="99"/>
    <n v="99"/>
    <x v="4"/>
  </r>
  <r>
    <x v="100"/>
    <x v="100"/>
    <n v="0.1013"/>
    <n v="1.5100000000000001E-2"/>
    <n v="25347833"/>
    <n v="7104762"/>
    <s v="250M"/>
    <n v="250000000"/>
    <x v="100"/>
    <n v="100"/>
    <x v="4"/>
  </r>
  <r>
    <x v="101"/>
    <x v="101"/>
    <n v="3.7499999999999999E-2"/>
    <n v="3.0999999999999999E-3"/>
    <n v="25336130"/>
    <n v="337909"/>
    <s v="675.93M"/>
    <n v="675930000"/>
    <x v="101"/>
    <n v="101"/>
    <x v="4"/>
  </r>
  <r>
    <x v="102"/>
    <x v="102"/>
    <n v="3.8999999999999998E-3"/>
    <n v="4.7000000000000002E-3"/>
    <n v="25239683"/>
    <n v="8856824"/>
    <s v="6.5B"/>
    <n v="6500000000"/>
    <x v="102"/>
    <n v="102"/>
    <x v="4"/>
  </r>
  <r>
    <x v="103"/>
    <x v="103"/>
    <n v="3.7600000000000001E-2"/>
    <n v="8.9999999999999998E-4"/>
    <n v="25222483"/>
    <n v="19207861"/>
    <s v="670.63M"/>
    <n v="670630000"/>
    <x v="103"/>
    <n v="103"/>
    <x v="4"/>
  </r>
  <r>
    <x v="104"/>
    <x v="104"/>
    <n v="2.52E-2"/>
    <n v="4.1999999999999997E-3"/>
    <n v="25150748"/>
    <n v="27485182"/>
    <s v="1B"/>
    <n v="1000000000"/>
    <x v="104"/>
    <n v="104"/>
    <x v="4"/>
  </r>
  <r>
    <x v="105"/>
    <x v="105"/>
    <n v="1.59"/>
    <n v="3.2800000000000003E-2"/>
    <n v="19434237"/>
    <n v="6633885"/>
    <s v="12.19M"/>
    <n v="12190000"/>
    <x v="105"/>
    <n v="107"/>
    <x v="3"/>
  </r>
  <r>
    <x v="106"/>
    <x v="106"/>
    <n v="0.95660000000000001"/>
    <n v="0"/>
    <n v="19502617"/>
    <n v="880468"/>
    <s v="20.38M"/>
    <n v="20380000"/>
    <x v="106"/>
    <n v="105"/>
    <x v="2"/>
  </r>
  <r>
    <x v="107"/>
    <x v="107"/>
    <n v="0.15590000000000001"/>
    <n v="8.0999999999999996E-3"/>
    <n v="19495017"/>
    <n v="5716401"/>
    <s v="125M"/>
    <n v="125000000"/>
    <x v="107"/>
    <n v="106"/>
    <x v="4"/>
  </r>
  <r>
    <x v="108"/>
    <x v="108"/>
    <n v="3.0999999999999999E-3"/>
    <n v="1.0699999999999999E-2"/>
    <n v="19421683"/>
    <n v="740186"/>
    <s v="6.34B"/>
    <n v="6340000000"/>
    <x v="108"/>
    <n v="108"/>
    <x v="4"/>
  </r>
  <r>
    <x v="109"/>
    <x v="109"/>
    <n v="4.02E-2"/>
    <n v="0"/>
    <n v="19171542"/>
    <n v="518788"/>
    <s v="476.24M"/>
    <n v="476240000"/>
    <x v="109"/>
    <n v="109"/>
    <x v="4"/>
  </r>
  <r>
    <x v="110"/>
    <x v="110"/>
    <n v="8.5000000000000006E-2"/>
    <n v="4.4000000000000003E-3"/>
    <n v="19166206"/>
    <n v="16273717"/>
    <s v="225.33M"/>
    <n v="225330000"/>
    <x v="110"/>
    <n v="110"/>
    <x v="4"/>
  </r>
  <r>
    <x v="111"/>
    <x v="111"/>
    <n v="7.1000000000000004E-3"/>
    <n v="4.7999999999999996E-3"/>
    <n v="19147053"/>
    <n v="407051"/>
    <s v="2.68B"/>
    <n v="2680000000"/>
    <x v="111"/>
    <n v="111"/>
    <x v="4"/>
  </r>
  <r>
    <x v="112"/>
    <x v="112"/>
    <n v="1.9E-2"/>
    <n v="3.7699999999999997E-2"/>
    <n v="18974393"/>
    <n v="2638212"/>
    <s v="998.88M"/>
    <n v="998880000"/>
    <x v="112"/>
    <n v="112"/>
    <x v="4"/>
  </r>
  <r>
    <x v="113"/>
    <x v="113"/>
    <n v="1.9E-2"/>
    <n v="2.7000000000000001E-3"/>
    <n v="18924952"/>
    <n v="1893689"/>
    <s v="997.21M"/>
    <n v="997210000"/>
    <x v="113"/>
    <n v="114"/>
    <x v="4"/>
  </r>
  <r>
    <x v="114"/>
    <x v="114"/>
    <n v="2.1700000000000001E-2"/>
    <n v="6.1000000000000004E-3"/>
    <n v="18958115"/>
    <n v="13833"/>
    <s v="872.68M"/>
    <n v="872680000"/>
    <x v="114"/>
    <n v="113"/>
    <x v="4"/>
  </r>
  <r>
    <x v="115"/>
    <x v="115"/>
    <n v="6.6199999999999995E-2"/>
    <n v="6.3E-3"/>
    <n v="18909722"/>
    <n v="6238427"/>
    <s v="285.49M"/>
    <n v="285490000"/>
    <x v="115"/>
    <n v="115"/>
    <x v="4"/>
  </r>
  <r>
    <x v="116"/>
    <x v="116"/>
    <n v="0.18859999999999999"/>
    <n v="6.1999999999999998E-3"/>
    <n v="18864638"/>
    <n v="1260"/>
    <s v="100M"/>
    <n v="100000000"/>
    <x v="116"/>
    <n v="116"/>
    <x v="4"/>
  </r>
  <r>
    <x v="117"/>
    <x v="117"/>
    <n v="0.1115"/>
    <n v="2.0000000000000001E-4"/>
    <n v="18790723"/>
    <n v="417879"/>
    <s v="168.47M"/>
    <n v="168470000"/>
    <x v="117"/>
    <n v="117"/>
    <x v="4"/>
  </r>
  <r>
    <x v="118"/>
    <x v="118"/>
    <n v="8.3999999999999995E-3"/>
    <n v="0.02"/>
    <n v="18758453"/>
    <n v="6075802"/>
    <s v="2.22B"/>
    <n v="2220000000"/>
    <x v="118"/>
    <n v="118"/>
    <x v="4"/>
  </r>
  <r>
    <x v="119"/>
    <x v="119"/>
    <n v="0.21460000000000001"/>
    <n v="3.7000000000000002E-3"/>
    <n v="18688424"/>
    <n v="9923814"/>
    <s v="87.04M"/>
    <n v="87040000"/>
    <x v="119"/>
    <n v="119"/>
    <x v="4"/>
  </r>
  <r>
    <x v="120"/>
    <x v="120"/>
    <n v="1.5100000000000001E-2"/>
    <n v="4.0000000000000001E-3"/>
    <n v="15087867"/>
    <n v="8157280"/>
    <s v="1B"/>
    <n v="1000000000"/>
    <x v="120"/>
    <n v="120"/>
    <x v="4"/>
  </r>
  <r>
    <x v="121"/>
    <x v="121"/>
    <n v="4.0000000000000002E-4"/>
    <n v="8.0000000000000004E-4"/>
    <n v="15086387"/>
    <n v="13090"/>
    <s v="36.25B"/>
    <n v="36250000000"/>
    <x v="121"/>
    <n v="121"/>
    <x v="4"/>
  </r>
  <r>
    <x v="122"/>
    <x v="122"/>
    <n v="0"/>
    <n v="5.3E-3"/>
    <n v="14845661"/>
    <n v="292534"/>
    <s v="500B"/>
    <n v="500000000000"/>
    <x v="122"/>
    <n v="122"/>
    <x v="4"/>
  </r>
  <r>
    <x v="123"/>
    <x v="123"/>
    <n v="5.9999999999999995E-4"/>
    <n v="3.9300000000000002E-2"/>
    <n v="14761996"/>
    <n v="236"/>
    <s v="26.79B"/>
    <n v="26790000000"/>
    <x v="123"/>
    <n v="123"/>
    <x v="4"/>
  </r>
  <r>
    <x v="124"/>
    <x v="124"/>
    <n v="1"/>
    <n v="1.1999999999999999E-3"/>
    <n v="14752450"/>
    <n v="1349239"/>
    <s v="14.67M"/>
    <n v="14670000"/>
    <x v="124"/>
    <n v="124"/>
    <x v="2"/>
  </r>
  <r>
    <x v="125"/>
    <x v="125"/>
    <n v="3.95E-2"/>
    <n v="2.0000000000000001E-4"/>
    <n v="14622256"/>
    <n v="2702918"/>
    <s v="369.95M"/>
    <n v="369950000"/>
    <x v="125"/>
    <n v="125"/>
    <x v="4"/>
  </r>
  <r>
    <x v="126"/>
    <x v="126"/>
    <n v="421.4"/>
    <n v="4.0000000000000002E-4"/>
    <n v="14622036"/>
    <n v="4709810"/>
    <s v="34.69K"/>
    <n v="34690"/>
    <x v="126"/>
    <n v="126"/>
    <x v="0"/>
  </r>
  <r>
    <x v="127"/>
    <x v="127"/>
    <n v="6.4999999999999997E-3"/>
    <n v="1.29E-2"/>
    <n v="14588992"/>
    <n v="10537420"/>
    <s v="2.25B"/>
    <n v="2250000000"/>
    <x v="127"/>
    <n v="127"/>
    <x v="4"/>
  </r>
  <r>
    <x v="128"/>
    <x v="128"/>
    <n v="3.3099999999999997E-2"/>
    <n v="4.1000000000000003E-3"/>
    <n v="14574626"/>
    <n v="10745584"/>
    <s v="440.48M"/>
    <n v="440480000"/>
    <x v="128"/>
    <n v="128"/>
    <x v="4"/>
  </r>
  <r>
    <x v="129"/>
    <x v="129"/>
    <n v="5.4000000000000003E-3"/>
    <n v="2.12E-2"/>
    <n v="14557174"/>
    <n v="11176463"/>
    <s v="2.71B"/>
    <n v="2710000000"/>
    <x v="129"/>
    <n v="129"/>
    <x v="4"/>
  </r>
  <r>
    <x v="130"/>
    <x v="130"/>
    <n v="0.43240000000000001"/>
    <n v="5.1999999999999998E-3"/>
    <n v="14530482"/>
    <n v="4296543"/>
    <s v="33.6M"/>
    <n v="33600000"/>
    <x v="130"/>
    <n v="130"/>
    <x v="4"/>
  </r>
  <r>
    <x v="131"/>
    <x v="131"/>
    <n v="6.6E-3"/>
    <n v="1.04E-2"/>
    <n v="14492346"/>
    <n v="14395269"/>
    <s v="2.2B"/>
    <n v="2200000000"/>
    <x v="131"/>
    <n v="131"/>
    <x v="4"/>
  </r>
  <r>
    <x v="132"/>
    <x v="132"/>
    <n v="101.81"/>
    <n v="4.0000000000000002E-4"/>
    <n v="14407449"/>
    <n v="1140907"/>
    <s v="141.51K"/>
    <n v="141510"/>
    <x v="132"/>
    <n v="132"/>
    <x v="0"/>
  </r>
  <r>
    <x v="133"/>
    <x v="133"/>
    <n v="9.7000000000000003E-3"/>
    <n v="4.0000000000000001E-3"/>
    <n v="14386535"/>
    <n v="6532807"/>
    <s v="1.48B"/>
    <n v="1480000000"/>
    <x v="133"/>
    <n v="133"/>
    <x v="4"/>
  </r>
  <r>
    <x v="134"/>
    <x v="134"/>
    <n v="1.6E-2"/>
    <n v="5.4000000000000003E-3"/>
    <n v="14294110"/>
    <n v="78509"/>
    <s v="894.1M"/>
    <n v="894100000"/>
    <x v="134"/>
    <n v="134"/>
    <x v="4"/>
  </r>
  <r>
    <x v="135"/>
    <x v="135"/>
    <n v="2.3099999999999999E-2"/>
    <n v="1.2E-2"/>
    <n v="11771749"/>
    <n v="4837322"/>
    <s v="508.88M"/>
    <n v="508880000"/>
    <x v="135"/>
    <n v="135"/>
    <x v="4"/>
  </r>
  <r>
    <x v="136"/>
    <x v="68"/>
    <n v="1.17E-2"/>
    <n v="2.3999999999999998E-3"/>
    <n v="11738691"/>
    <n v="227106"/>
    <s v="1B"/>
    <n v="1000000000"/>
    <x v="136"/>
    <n v="136"/>
    <x v="4"/>
  </r>
  <r>
    <x v="137"/>
    <x v="136"/>
    <n v="6.1699999999999998E-2"/>
    <n v="7.4999999999999997E-3"/>
    <n v="11722839"/>
    <n v="6094776"/>
    <s v="190M"/>
    <n v="190000000"/>
    <x v="137"/>
    <n v="137"/>
    <x v="4"/>
  </r>
  <r>
    <x v="138"/>
    <x v="137"/>
    <n v="1.44"/>
    <n v="7.4999999999999997E-3"/>
    <n v="11721495"/>
    <n v="4782143"/>
    <s v="8.13M"/>
    <n v="8130000.0000000009"/>
    <x v="138"/>
    <n v="138"/>
    <x v="3"/>
  </r>
  <r>
    <x v="139"/>
    <x v="138"/>
    <n v="1.55E-2"/>
    <n v="1.9400000000000001E-2"/>
    <n v="11632684"/>
    <n v="966021"/>
    <s v="750M"/>
    <n v="750000000"/>
    <x v="139"/>
    <n v="139"/>
    <x v="4"/>
  </r>
  <r>
    <x v="140"/>
    <x v="139"/>
    <n v="5.4999999999999997E-3"/>
    <n v="2.46E-2"/>
    <n v="11629158"/>
    <n v="3907439"/>
    <s v="2.1B"/>
    <n v="2100000000"/>
    <x v="140"/>
    <n v="140"/>
    <x v="4"/>
  </r>
  <r>
    <x v="141"/>
    <x v="140"/>
    <n v="3.8999999999999998E-3"/>
    <n v="2.0899999999999998E-2"/>
    <n v="11628176"/>
    <n v="11365892"/>
    <s v="3B"/>
    <n v="3000000000"/>
    <x v="141"/>
    <n v="141"/>
    <x v="4"/>
  </r>
  <r>
    <x v="142"/>
    <x v="141"/>
    <n v="0.186"/>
    <n v="1.38E-2"/>
    <n v="11617190"/>
    <n v="3689496"/>
    <s v="62.45M"/>
    <n v="62450000"/>
    <x v="142"/>
    <n v="142"/>
    <x v="4"/>
  </r>
  <r>
    <x v="143"/>
    <x v="142"/>
    <n v="6.6E-3"/>
    <n v="1E-4"/>
    <n v="11587050"/>
    <n v="158701"/>
    <s v="1.76B"/>
    <n v="1760000000"/>
    <x v="143"/>
    <n v="143"/>
    <x v="4"/>
  </r>
  <r>
    <x v="144"/>
    <x v="143"/>
    <n v="0.1032"/>
    <n v="4.2500000000000003E-2"/>
    <n v="11558741"/>
    <n v="97019"/>
    <s v="111.98M"/>
    <n v="111980000"/>
    <x v="144"/>
    <n v="144"/>
    <x v="4"/>
  </r>
  <r>
    <x v="145"/>
    <x v="144"/>
    <n v="8.4500000000000006E-2"/>
    <n v="4.3E-3"/>
    <n v="11543691"/>
    <n v="626143"/>
    <s v="136.64M"/>
    <n v="136640000"/>
    <x v="145"/>
    <n v="145"/>
    <x v="4"/>
  </r>
  <r>
    <x v="146"/>
    <x v="145"/>
    <n v="8.1199999999999994E-2"/>
    <n v="1.03E-2"/>
    <n v="11509614"/>
    <n v="2890457"/>
    <s v="141.74M"/>
    <n v="141740000"/>
    <x v="146"/>
    <n v="146"/>
    <x v="4"/>
  </r>
  <r>
    <x v="147"/>
    <x v="146"/>
    <n v="5.1499999999999997E-2"/>
    <n v="1.1999999999999999E-3"/>
    <n v="11467536"/>
    <n v="27229"/>
    <s v="7.55T"/>
    <n v="7550000000000"/>
    <x v="147"/>
    <n v="147"/>
    <x v="4"/>
  </r>
  <r>
    <x v="148"/>
    <x v="147"/>
    <n v="1.6000000000000001E-3"/>
    <n v="4.4999999999999997E-3"/>
    <n v="11452944"/>
    <n v="1536011"/>
    <s v="7.1B"/>
    <n v="7100000000"/>
    <x v="148"/>
    <n v="148"/>
    <x v="4"/>
  </r>
  <r>
    <x v="149"/>
    <x v="148"/>
    <n v="3.27E-2"/>
    <n v="1E-4"/>
    <n v="11452103"/>
    <n v="1216681"/>
    <s v="349.99M"/>
    <n v="349990000"/>
    <x v="149"/>
    <n v="149"/>
    <x v="4"/>
  </r>
  <r>
    <x v="150"/>
    <x v="149"/>
    <n v="3.5999999999999999E-3"/>
    <n v="1.2999999999999999E-3"/>
    <n v="9081675"/>
    <n v="19953251"/>
    <s v="2.5B"/>
    <n v="2500000000"/>
    <x v="150"/>
    <n v="150"/>
    <x v="4"/>
  </r>
  <r>
    <x v="151"/>
    <x v="150"/>
    <n v="2.3E-2"/>
    <n v="1E-3"/>
    <n v="9071376"/>
    <n v="4203612"/>
    <s v="394.65M"/>
    <n v="394650000"/>
    <x v="151"/>
    <n v="151"/>
    <x v="4"/>
  </r>
  <r>
    <x v="152"/>
    <x v="151"/>
    <n v="0.1668"/>
    <n v="3.3E-3"/>
    <n v="9070231"/>
    <n v="2971"/>
    <s v="54.37M"/>
    <n v="54370000"/>
    <x v="152"/>
    <n v="152"/>
    <x v="4"/>
  </r>
  <r>
    <x v="153"/>
    <x v="152"/>
    <n v="9.4E-2"/>
    <n v="2.5700000000000001E-2"/>
    <n v="9065884"/>
    <n v="362335"/>
    <s v="96.44M"/>
    <n v="96440000"/>
    <x v="153"/>
    <n v="153"/>
    <x v="4"/>
  </r>
  <r>
    <x v="154"/>
    <x v="153"/>
    <n v="8.4199999999999997E-2"/>
    <n v="6.9999999999999999E-4"/>
    <n v="9018895"/>
    <n v="261994"/>
    <s v="107.05M"/>
    <n v="107050000"/>
    <x v="154"/>
    <n v="154"/>
    <x v="4"/>
  </r>
  <r>
    <x v="155"/>
    <x v="154"/>
    <n v="1.29E-2"/>
    <n v="4.1999999999999997E-3"/>
    <n v="8979774"/>
    <n v="366937"/>
    <s v="694.26M"/>
    <n v="694260000"/>
    <x v="155"/>
    <n v="155"/>
    <x v="4"/>
  </r>
  <r>
    <x v="156"/>
    <x v="155"/>
    <n v="9.9000000000000008E-3"/>
    <n v="2.41E-2"/>
    <n v="8910580"/>
    <n v="2177604"/>
    <s v="900.19M"/>
    <n v="900190000"/>
    <x v="156"/>
    <n v="156"/>
    <x v="4"/>
  </r>
  <r>
    <x v="157"/>
    <x v="156"/>
    <n v="9.1999999999999998E-3"/>
    <n v="1.21E-2"/>
    <n v="8885426"/>
    <n v="1766137"/>
    <s v="966.74M"/>
    <n v="966740000"/>
    <x v="157"/>
    <n v="157"/>
    <x v="4"/>
  </r>
  <r>
    <x v="158"/>
    <x v="157"/>
    <n v="4.5999999999999999E-3"/>
    <n v="2.3400000000000001E-2"/>
    <n v="8868806"/>
    <n v="2236478"/>
    <s v="1.91B"/>
    <n v="1910000000"/>
    <x v="158"/>
    <n v="158"/>
    <x v="4"/>
  </r>
  <r>
    <x v="159"/>
    <x v="158"/>
    <n v="8.8999999999999999E-3"/>
    <n v="5.4999999999999997E-3"/>
    <n v="8867706"/>
    <n v="233418"/>
    <s v="1B"/>
    <n v="1000000000"/>
    <x v="159"/>
    <n v="159"/>
    <x v="4"/>
  </r>
  <r>
    <x v="160"/>
    <x v="159"/>
    <n v="1.6999999999999999E-3"/>
    <n v="4.1000000000000003E-3"/>
    <n v="8864473"/>
    <n v="3628496"/>
    <s v="5.2B"/>
    <n v="5200000000"/>
    <x v="160"/>
    <n v="160"/>
    <x v="4"/>
  </r>
  <r>
    <x v="161"/>
    <x v="160"/>
    <n v="74.040000000000006"/>
    <n v="2.9999999999999997E-4"/>
    <n v="8845860"/>
    <n v="683"/>
    <s v="119.46K"/>
    <n v="119460"/>
    <x v="161"/>
    <n v="161"/>
    <x v="5"/>
  </r>
  <r>
    <x v="162"/>
    <x v="161"/>
    <n v="466.09"/>
    <n v="2.9999999999999997E-4"/>
    <n v="8843042"/>
    <n v="583"/>
    <s v="18.97K"/>
    <n v="18970"/>
    <x v="162"/>
    <n v="162"/>
    <x v="0"/>
  </r>
  <r>
    <x v="163"/>
    <x v="162"/>
    <n v="15.18"/>
    <n v="2.5999999999999999E-3"/>
    <n v="8834717"/>
    <n v="94688"/>
    <s v="581.88K"/>
    <n v="581880"/>
    <x v="163"/>
    <n v="163"/>
    <x v="5"/>
  </r>
  <r>
    <x v="164"/>
    <x v="163"/>
    <n v="1.1999999999999999E-3"/>
    <n v="1.4200000000000001E-2"/>
    <n v="8830451"/>
    <n v="911878"/>
    <s v="7.15B"/>
    <n v="7150000000"/>
    <x v="164"/>
    <n v="164"/>
    <x v="4"/>
  </r>
  <r>
    <x v="165"/>
    <x v="164"/>
    <n v="9.0899999999999995E-2"/>
    <n v="2.8E-3"/>
    <n v="7579128"/>
    <n v="979243"/>
    <s v="83.34M"/>
    <n v="83340000"/>
    <x v="165"/>
    <n v="166"/>
    <x v="4"/>
  </r>
  <r>
    <x v="166"/>
    <x v="165"/>
    <n v="2"/>
    <n v="3.7000000000000002E-3"/>
    <n v="7569340"/>
    <n v="28651"/>
    <s v="3.77M"/>
    <n v="3770000"/>
    <x v="166"/>
    <n v="167"/>
    <x v="3"/>
  </r>
  <r>
    <x v="167"/>
    <x v="166"/>
    <n v="8.0000000000000004E-4"/>
    <n v="1.3100000000000001E-2"/>
    <n v="7564471"/>
    <n v="2255054"/>
    <s v="8.99B"/>
    <n v="8990000000"/>
    <x v="167"/>
    <n v="168"/>
    <x v="4"/>
  </r>
  <r>
    <x v="168"/>
    <x v="167"/>
    <n v="8.6999999999999994E-3"/>
    <n v="3.0000000000000001E-3"/>
    <n v="7557592"/>
    <n v="844410"/>
    <s v="867.6M"/>
    <n v="867600000"/>
    <x v="168"/>
    <n v="169"/>
    <x v="4"/>
  </r>
  <r>
    <x v="169"/>
    <x v="168"/>
    <n v="3.7699999999999997E-2"/>
    <n v="2E-3"/>
    <n v="7541212"/>
    <n v="422983"/>
    <s v="200M"/>
    <n v="200000000"/>
    <x v="169"/>
    <n v="170"/>
    <x v="4"/>
  </r>
  <r>
    <x v="170"/>
    <x v="169"/>
    <n v="9.4999999999999998E-3"/>
    <n v="1.0200000000000001E-2"/>
    <n v="7504653"/>
    <n v="571512"/>
    <s v="787.52M"/>
    <n v="787520000"/>
    <x v="170"/>
    <n v="171"/>
    <x v="4"/>
  </r>
  <r>
    <x v="171"/>
    <x v="170"/>
    <n v="6.9999999999999999E-4"/>
    <n v="3.4599999999999999E-2"/>
    <n v="7489577"/>
    <n v="4568688"/>
    <s v="10B"/>
    <n v="10000000000"/>
    <x v="171"/>
    <n v="172"/>
    <x v="4"/>
  </r>
  <r>
    <x v="172"/>
    <x v="171"/>
    <n v="0.59240000000000004"/>
    <n v="1.0699999999999999E-2"/>
    <n v="7444614"/>
    <n v="7233438"/>
    <s v="12.56M"/>
    <n v="12560000"/>
    <x v="172"/>
    <n v="173"/>
    <x v="2"/>
  </r>
  <r>
    <x v="173"/>
    <x v="172"/>
    <n v="0.99929999999999997"/>
    <n v="4.0000000000000002E-4"/>
    <n v="7432008"/>
    <n v="36344157"/>
    <s v="7.43M"/>
    <n v="7430000"/>
    <x v="173"/>
    <n v="174"/>
    <x v="2"/>
  </r>
  <r>
    <x v="174"/>
    <x v="173"/>
    <n v="8.1799999999999998E-2"/>
    <n v="2.3E-3"/>
    <n v="7427666"/>
    <n v="9167"/>
    <s v="90.79M"/>
    <n v="90790000"/>
    <x v="174"/>
    <n v="175"/>
    <x v="4"/>
  </r>
  <r>
    <x v="175"/>
    <x v="174"/>
    <n v="0.1411"/>
    <n v="5.7999999999999996E-3"/>
    <n v="7425666"/>
    <n v="379457"/>
    <s v="52.6M"/>
    <n v="52600000"/>
    <x v="175"/>
    <n v="176"/>
    <x v="4"/>
  </r>
  <r>
    <x v="176"/>
    <x v="175"/>
    <n v="3.1E-2"/>
    <n v="1E-3"/>
    <n v="7397037"/>
    <n v="114546"/>
    <s v="238.67M"/>
    <n v="238670000"/>
    <x v="176"/>
    <n v="177"/>
    <x v="4"/>
  </r>
  <r>
    <x v="177"/>
    <x v="176"/>
    <n v="6.9999999999999999E-4"/>
    <n v="3.2000000000000002E-3"/>
    <n v="7387847"/>
    <n v="695742"/>
    <s v="10B"/>
    <n v="10000000000"/>
    <x v="177"/>
    <n v="178"/>
    <x v="4"/>
  </r>
  <r>
    <x v="178"/>
    <x v="177"/>
    <n v="4.5400000000000003E-2"/>
    <n v="2.7199999999999998E-2"/>
    <n v="7340882"/>
    <n v="7007076"/>
    <s v="161.68M"/>
    <n v="161680000"/>
    <x v="178"/>
    <n v="179"/>
    <x v="4"/>
  </r>
  <r>
    <x v="179"/>
    <x v="178"/>
    <n v="4.5999999999999999E-3"/>
    <n v="9.2999999999999992E-3"/>
    <n v="5652688"/>
    <n v="850474"/>
    <s v="1.22B"/>
    <n v="1220000000"/>
    <x v="179"/>
    <n v="180"/>
    <x v="4"/>
  </r>
  <r>
    <x v="180"/>
    <x v="179"/>
    <n v="0.13519999999999999"/>
    <n v="5.0000000000000001E-4"/>
    <n v="5635263"/>
    <n v="8860292"/>
    <s v="41.65M"/>
    <n v="41650000"/>
    <x v="180"/>
    <n v="181"/>
    <x v="4"/>
  </r>
  <r>
    <x v="181"/>
    <x v="180"/>
    <n v="1.18E-2"/>
    <n v="6.9999999999999999E-4"/>
    <n v="5630041"/>
    <n v="16140"/>
    <s v="474.74M"/>
    <n v="474740000"/>
    <x v="181"/>
    <n v="182"/>
    <x v="4"/>
  </r>
  <r>
    <x v="182"/>
    <x v="181"/>
    <n v="23.91"/>
    <n v="0"/>
    <n v="5586077"/>
    <n v="289"/>
    <s v="233.59K"/>
    <n v="233590"/>
    <x v="182"/>
    <n v="183"/>
    <x v="5"/>
  </r>
  <r>
    <x v="183"/>
    <x v="182"/>
    <n v="711.14"/>
    <n v="8.0000000000000004E-4"/>
    <n v="5546835"/>
    <n v="13248698"/>
    <s v="7.79K"/>
    <n v="7790"/>
    <x v="183"/>
    <n v="184"/>
    <x v="0"/>
  </r>
  <r>
    <x v="184"/>
    <x v="183"/>
    <n v="1.2999999999999999E-3"/>
    <n v="1.6999999999999999E-3"/>
    <n v="5545415"/>
    <n v="391213"/>
    <s v="4.4B"/>
    <n v="4400000000"/>
    <x v="184"/>
    <n v="185"/>
    <x v="4"/>
  </r>
  <r>
    <x v="185"/>
    <x v="184"/>
    <n v="2E-3"/>
    <n v="8.3000000000000001E-3"/>
    <n v="5530471"/>
    <n v="29199"/>
    <s v="2.76B"/>
    <n v="2760000000"/>
    <x v="185"/>
    <n v="186"/>
    <x v="4"/>
  </r>
  <r>
    <x v="186"/>
    <x v="185"/>
    <n v="5.5800000000000002E-2"/>
    <n v="1.1299999999999999E-2"/>
    <n v="5504946"/>
    <n v="256661"/>
    <s v="948.42B"/>
    <n v="948420000000"/>
    <x v="186"/>
    <n v="187"/>
    <x v="4"/>
  </r>
  <r>
    <x v="187"/>
    <x v="186"/>
    <n v="5.0900000000000001E-2"/>
    <n v="1.0999999999999999E-2"/>
    <n v="5443081"/>
    <n v="29999"/>
    <s v="106.94M"/>
    <n v="106940000"/>
    <x v="187"/>
    <n v="188"/>
    <x v="4"/>
  </r>
  <r>
    <x v="188"/>
    <x v="187"/>
    <n v="5.4999999999999997E-3"/>
    <n v="6.8999999999999999E-3"/>
    <n v="5431176"/>
    <n v="2355724"/>
    <s v="990M"/>
    <n v="990000000"/>
    <x v="188"/>
    <n v="189"/>
    <x v="4"/>
  </r>
  <r>
    <x v="189"/>
    <x v="188"/>
    <n v="6.3E-3"/>
    <n v="1.41E-2"/>
    <n v="5423460"/>
    <n v="25703"/>
    <s v="862.52M"/>
    <n v="862520000"/>
    <x v="189"/>
    <n v="190"/>
    <x v="4"/>
  </r>
  <r>
    <x v="190"/>
    <x v="189"/>
    <n v="1.1999999999999999E-3"/>
    <n v="9.1300000000000006E-2"/>
    <n v="5410167"/>
    <n v="29"/>
    <s v="4.37B"/>
    <n v="4370000000"/>
    <x v="190"/>
    <n v="191"/>
    <x v="4"/>
  </r>
  <r>
    <x v="191"/>
    <x v="190"/>
    <n v="6.8999999999999999E-3"/>
    <n v="1.1000000000000001E-3"/>
    <n v="5410118"/>
    <n v="98886"/>
    <s v="787.4M"/>
    <n v="787400000"/>
    <x v="191"/>
    <n v="192"/>
    <x v="4"/>
  </r>
  <r>
    <x v="192"/>
    <x v="191"/>
    <n v="1.6199999999999999E-2"/>
    <n v="2.2000000000000001E-3"/>
    <n v="5409721"/>
    <n v="2107931"/>
    <s v="333M"/>
    <n v="333000000"/>
    <x v="192"/>
    <n v="193"/>
    <x v="4"/>
  </r>
  <r>
    <x v="193"/>
    <x v="192"/>
    <n v="0.65890000000000004"/>
    <n v="8.3000000000000001E-3"/>
    <n v="5405952"/>
    <n v="899365"/>
    <s v="8.2M"/>
    <n v="8199999.9999999991"/>
    <x v="193"/>
    <n v="194"/>
    <x v="2"/>
  </r>
  <r>
    <x v="194"/>
    <x v="193"/>
    <n v="8.7200000000000006"/>
    <n v="9.9000000000000008E-3"/>
    <n v="4517509"/>
    <n v="119148"/>
    <s v="517.85K"/>
    <n v="517850"/>
    <x v="194"/>
    <n v="195"/>
    <x v="6"/>
  </r>
  <r>
    <x v="195"/>
    <x v="194"/>
    <n v="4.24E-2"/>
    <n v="1.2800000000000001E-2"/>
    <n v="4507337"/>
    <n v="246160"/>
    <s v="106.29M"/>
    <n v="106290000"/>
    <x v="195"/>
    <n v="196"/>
    <x v="4"/>
  </r>
  <r>
    <x v="196"/>
    <x v="195"/>
    <n v="2.29E-2"/>
    <n v="1.8E-3"/>
    <n v="4485067"/>
    <n v="19264"/>
    <s v="195.42M"/>
    <n v="195420000"/>
    <x v="196"/>
    <n v="197"/>
    <x v="4"/>
  </r>
  <r>
    <x v="197"/>
    <x v="196"/>
    <n v="3.5999999999999999E-3"/>
    <n v="1E-3"/>
    <n v="4456203"/>
    <n v="2756625"/>
    <s v="1.25B"/>
    <n v="1250000000"/>
    <x v="197"/>
    <n v="198"/>
    <x v="4"/>
  </r>
  <r>
    <x v="198"/>
    <x v="197"/>
    <n v="5.3E-3"/>
    <n v="4.3999999999999997E-2"/>
    <n v="4428499"/>
    <n v="42077232"/>
    <s v="838.39M"/>
    <n v="838390000"/>
    <x v="198"/>
    <n v="199"/>
    <x v="4"/>
  </r>
  <r>
    <x v="199"/>
    <x v="198"/>
    <n v="4.4000000000000003E-3"/>
    <n v="3.5000000000000001E-3"/>
    <n v="4427974"/>
    <n v="49035"/>
    <s v="1B"/>
    <n v="1000000000"/>
    <x v="199"/>
    <n v="200"/>
    <x v="4"/>
  </r>
  <r>
    <x v="200"/>
    <x v="199"/>
    <n v="4.7000000000000002E-3"/>
    <n v="2.0999999999999999E-3"/>
    <n v="4412157"/>
    <n v="93718"/>
    <s v="935.81M"/>
    <n v="935810000"/>
    <x v="200"/>
    <n v="201"/>
    <x v="4"/>
  </r>
  <r>
    <x v="201"/>
    <x v="200"/>
    <n v="238.39"/>
    <n v="8.0000000000000004E-4"/>
    <n v="4400832"/>
    <n v="12983143"/>
    <s v="18.46K"/>
    <n v="18460"/>
    <x v="201"/>
    <n v="202"/>
    <x v="0"/>
  </r>
  <r>
    <x v="202"/>
    <x v="201"/>
    <n v="7.9000000000000008E-3"/>
    <n v="1.7500000000000002E-2"/>
    <n v="4398592"/>
    <n v="112364"/>
    <s v="553.36M"/>
    <n v="553360000"/>
    <x v="202"/>
    <n v="203"/>
    <x v="4"/>
  </r>
  <r>
    <x v="203"/>
    <x v="202"/>
    <n v="0.1004"/>
    <n v="5.4000000000000003E-3"/>
    <n v="4393014"/>
    <n v="2392168"/>
    <s v="43.74M"/>
    <n v="43740000"/>
    <x v="203"/>
    <n v="204"/>
    <x v="4"/>
  </r>
  <r>
    <x v="204"/>
    <x v="203"/>
    <n v="1.9900000000000001E-2"/>
    <n v="2.8999999999999998E-3"/>
    <n v="4362661"/>
    <n v="5991"/>
    <s v="218.88M"/>
    <n v="218880000"/>
    <x v="204"/>
    <n v="205"/>
    <x v="4"/>
  </r>
  <r>
    <x v="205"/>
    <x v="204"/>
    <n v="0.30969999999999998"/>
    <n v="7.0699999999999999E-2"/>
    <n v="4362214"/>
    <n v="452423"/>
    <s v="14.08M"/>
    <n v="14080000"/>
    <x v="205"/>
    <n v="206"/>
    <x v="4"/>
  </r>
  <r>
    <x v="206"/>
    <x v="205"/>
    <n v="5.9999999999999995E-4"/>
    <n v="5.7999999999999996E-3"/>
    <n v="4349368"/>
    <n v="552044"/>
    <s v="7B"/>
    <n v="7000000000"/>
    <x v="206"/>
    <n v="207"/>
    <x v="4"/>
  </r>
  <r>
    <x v="207"/>
    <x v="206"/>
    <n v="1.1000000000000001E-3"/>
    <n v="1.2200000000000001E-2"/>
    <n v="3577810"/>
    <n v="10397"/>
    <s v="3.32B"/>
    <n v="3320000000"/>
    <x v="207"/>
    <n v="208"/>
    <x v="4"/>
  </r>
  <r>
    <x v="208"/>
    <x v="207"/>
    <n v="8.8999999999999999E-3"/>
    <n v="1.47E-2"/>
    <n v="3569993"/>
    <n v="1172009"/>
    <s v="402.77M"/>
    <n v="402770000"/>
    <x v="208"/>
    <n v="209"/>
    <x v="4"/>
  </r>
  <r>
    <x v="209"/>
    <x v="208"/>
    <n v="1.29E-2"/>
    <n v="9.2999999999999992E-3"/>
    <n v="3555113"/>
    <n v="1517491"/>
    <s v="275M"/>
    <n v="275000000"/>
    <x v="209"/>
    <n v="210"/>
    <x v="4"/>
  </r>
  <r>
    <x v="210"/>
    <x v="209"/>
    <n v="0.12640000000000001"/>
    <n v="5.9999999999999995E-4"/>
    <n v="3541772"/>
    <n v="4546"/>
    <s v="28M"/>
    <n v="28000000"/>
    <x v="210"/>
    <n v="211"/>
    <x v="4"/>
  </r>
  <r>
    <x v="211"/>
    <x v="210"/>
    <n v="75.87"/>
    <n v="6.4899999999999999E-2"/>
    <n v="3538764"/>
    <n v="31867"/>
    <s v="46.64K"/>
    <n v="46640"/>
    <x v="211"/>
    <n v="212"/>
    <x v="5"/>
  </r>
  <r>
    <x v="212"/>
    <x v="211"/>
    <n v="0.16819999999999999"/>
    <n v="3.8E-3"/>
    <n v="3533740"/>
    <n v="290321"/>
    <s v="21M"/>
    <n v="21000000"/>
    <x v="212"/>
    <n v="213"/>
    <x v="4"/>
  </r>
  <r>
    <x v="213"/>
    <x v="212"/>
    <n v="1E-4"/>
    <n v="9.4000000000000004E-3"/>
    <n v="3530698"/>
    <n v="787177"/>
    <s v="55.3B"/>
    <n v="55300000000"/>
    <x v="213"/>
    <n v="214"/>
    <x v="4"/>
  </r>
  <r>
    <x v="214"/>
    <x v="213"/>
    <n v="2.3400000000000001E-2"/>
    <n v="6.5299999999999997E-2"/>
    <n v="3524608"/>
    <n v="88484"/>
    <s v="150.75M"/>
    <n v="150750000"/>
    <x v="214"/>
    <n v="215"/>
    <x v="4"/>
  </r>
  <r>
    <x v="215"/>
    <x v="214"/>
    <n v="713.96"/>
    <n v="5.9999999999999995E-4"/>
    <n v="3524195"/>
    <n v="2006099"/>
    <s v="4.93K"/>
    <n v="4930"/>
    <x v="215"/>
    <n v="216"/>
    <x v="0"/>
  </r>
  <r>
    <x v="216"/>
    <x v="215"/>
    <n v="3.5000000000000001E-3"/>
    <n v="1.9599999999999999E-2"/>
    <n v="3522600"/>
    <n v="144974"/>
    <s v="1B"/>
    <n v="1000000000"/>
    <x v="216"/>
    <n v="217"/>
    <x v="4"/>
  </r>
  <r>
    <x v="217"/>
    <x v="216"/>
    <n v="537.87"/>
    <n v="6.9999999999999999E-4"/>
    <n v="3510862"/>
    <n v="4316869"/>
    <s v="6.52K"/>
    <n v="6520"/>
    <x v="217"/>
    <n v="218"/>
    <x v="0"/>
  </r>
  <r>
    <x v="218"/>
    <x v="217"/>
    <n v="4.4999999999999997E-3"/>
    <n v="6.3E-3"/>
    <n v="3501198"/>
    <n v="359599"/>
    <s v="770.07M"/>
    <n v="770070000"/>
    <x v="218"/>
    <n v="219"/>
    <x v="4"/>
  </r>
  <r>
    <x v="219"/>
    <x v="218"/>
    <n v="1.5E-3"/>
    <n v="1.9E-3"/>
    <n v="3498195"/>
    <n v="164839"/>
    <s v="2.28B"/>
    <n v="2280000000"/>
    <x v="219"/>
    <n v="220"/>
    <x v="4"/>
  </r>
  <r>
    <x v="220"/>
    <x v="219"/>
    <n v="6.7999999999999996E-3"/>
    <n v="3.2500000000000001E-2"/>
    <n v="3496330"/>
    <n v="140380"/>
    <s v="512.73M"/>
    <n v="512730000"/>
    <x v="220"/>
    <n v="221"/>
    <x v="4"/>
  </r>
  <r>
    <x v="221"/>
    <x v="220"/>
    <n v="7.0400000000000004E-2"/>
    <n v="1.21E-2"/>
    <n v="3464345"/>
    <n v="100409"/>
    <s v="49.21M"/>
    <n v="49210000"/>
    <x v="221"/>
    <n v="222"/>
    <x v="4"/>
  </r>
  <r>
    <x v="222"/>
    <x v="221"/>
    <n v="8.9999999999999998E-4"/>
    <n v="1.8E-3"/>
    <n v="2953641"/>
    <n v="77616"/>
    <s v="3.36B"/>
    <n v="3360000000"/>
    <x v="222"/>
    <n v="223"/>
    <x v="4"/>
  </r>
  <r>
    <x v="223"/>
    <x v="222"/>
    <n v="7.4999999999999997E-3"/>
    <n v="6.9999999999999999E-4"/>
    <n v="2950560"/>
    <n v="41630"/>
    <s v="395.26M"/>
    <n v="395260000"/>
    <x v="223"/>
    <n v="224"/>
    <x v="4"/>
  </r>
  <r>
    <x v="224"/>
    <x v="223"/>
    <n v="8.7499999999999994E-2"/>
    <n v="8.3000000000000001E-3"/>
    <n v="2927713"/>
    <n v="310334"/>
    <s v="33.45M"/>
    <n v="33450000.000000004"/>
    <x v="224"/>
    <n v="225"/>
    <x v="4"/>
  </r>
  <r>
    <x v="225"/>
    <x v="224"/>
    <n v="2.8999999999999998E-3"/>
    <n v="9.1000000000000004E-3"/>
    <n v="2906921"/>
    <n v="1412852"/>
    <s v="999.12M"/>
    <n v="999120000"/>
    <x v="225"/>
    <n v="226"/>
    <x v="4"/>
  </r>
  <r>
    <x v="226"/>
    <x v="225"/>
    <n v="7.1900000000000006E-2"/>
    <n v="2E-3"/>
    <n v="2872237"/>
    <n v="18020"/>
    <s v="151.42T"/>
    <n v="151420000000000"/>
    <x v="226"/>
    <n v="227"/>
    <x v="4"/>
  </r>
  <r>
    <x v="227"/>
    <x v="226"/>
    <n v="3.2000000000000002E-3"/>
    <n v="7.0000000000000001E-3"/>
    <n v="2867773"/>
    <n v="78025"/>
    <s v="896.45M"/>
    <n v="896450000"/>
    <x v="227"/>
    <n v="228"/>
    <x v="4"/>
  </r>
  <r>
    <x v="228"/>
    <x v="227"/>
    <n v="2.7000000000000001E-3"/>
    <n v="5.1000000000000004E-3"/>
    <n v="2861085"/>
    <n v="29417"/>
    <s v="1.04B"/>
    <n v="1040000000"/>
    <x v="228"/>
    <n v="229"/>
    <x v="4"/>
  </r>
  <r>
    <x v="229"/>
    <x v="228"/>
    <n v="3.0000000000000001E-3"/>
    <n v="2.7000000000000001E-3"/>
    <n v="2860904"/>
    <n v="267778"/>
    <s v="950M"/>
    <n v="950000000"/>
    <x v="229"/>
    <n v="230"/>
    <x v="4"/>
  </r>
  <r>
    <x v="230"/>
    <x v="229"/>
    <n v="0"/>
    <n v="5.0900000000000001E-2"/>
    <n v="2847862"/>
    <n v="2737705"/>
    <s v="93.08B"/>
    <n v="93080000000"/>
    <x v="230"/>
    <n v="231"/>
    <x v="4"/>
  </r>
  <r>
    <x v="231"/>
    <x v="230"/>
    <n v="2.92E-2"/>
    <n v="1.12E-2"/>
    <n v="2823353"/>
    <n v="18584"/>
    <s v="96.5M"/>
    <n v="96500000"/>
    <x v="231"/>
    <n v="232"/>
    <x v="4"/>
  </r>
  <r>
    <x v="232"/>
    <x v="231"/>
    <n v="1.03E-2"/>
    <n v="1.4800000000000001E-2"/>
    <n v="2822893"/>
    <n v="154604"/>
    <s v="93.13P"/>
    <m/>
    <x v="232"/>
    <n v="233"/>
    <x v="4"/>
  </r>
  <r>
    <x v="233"/>
    <x v="232"/>
    <n v="317.22000000000003"/>
    <n v="4.0000000000000002E-4"/>
    <n v="2816698"/>
    <n v="715201"/>
    <s v="8.87K"/>
    <n v="8870"/>
    <x v="233"/>
    <n v="234"/>
    <x v="0"/>
  </r>
  <r>
    <x v="234"/>
    <x v="233"/>
    <n v="0.1077"/>
    <n v="3.0999999999999999E-3"/>
    <n v="2811990"/>
    <n v="686"/>
    <s v="26.09M"/>
    <n v="26090000"/>
    <x v="234"/>
    <n v="235"/>
    <x v="4"/>
  </r>
  <r>
    <x v="235"/>
    <x v="234"/>
    <n v="7.7200000000000005E-2"/>
    <n v="2.9399999999999999E-2"/>
    <n v="2809828"/>
    <n v="3520"/>
    <s v="36.38M"/>
    <n v="36380000"/>
    <x v="235"/>
    <n v="236"/>
    <x v="4"/>
  </r>
  <r>
    <x v="236"/>
    <x v="235"/>
    <n v="3.3999999999999998E-3"/>
    <n v="2.0000000000000001E-4"/>
    <n v="2324210"/>
    <n v="7501"/>
    <s v="677.73M"/>
    <n v="677730000"/>
    <x v="236"/>
    <n v="237"/>
    <x v="4"/>
  </r>
  <r>
    <x v="237"/>
    <x v="236"/>
    <n v="8.0000000000000004E-4"/>
    <n v="2.9999999999999997E-4"/>
    <n v="2313767"/>
    <n v="13509"/>
    <s v="2.88B"/>
    <n v="2880000000"/>
    <x v="237"/>
    <n v="238"/>
    <x v="4"/>
  </r>
  <r>
    <x v="238"/>
    <x v="237"/>
    <n v="0.997"/>
    <n v="0"/>
    <n v="2309702"/>
    <n v="59236"/>
    <s v="2.31M"/>
    <n v="2310000"/>
    <x v="238"/>
    <n v="239"/>
    <x v="2"/>
  </r>
  <r>
    <x v="239"/>
    <x v="238"/>
    <n v="222.62"/>
    <n v="2.9999999999999997E-4"/>
    <n v="2304904"/>
    <n v="676"/>
    <s v="10.35K"/>
    <n v="10350"/>
    <x v="239"/>
    <n v="240"/>
    <x v="0"/>
  </r>
  <r>
    <x v="240"/>
    <x v="239"/>
    <n v="2.9999999999999997E-4"/>
    <n v="3.5999999999999999E-3"/>
    <n v="2303123"/>
    <n v="109326"/>
    <s v="6.93B"/>
    <n v="6930000000"/>
    <x v="240"/>
    <n v="241"/>
    <x v="4"/>
  </r>
  <r>
    <x v="241"/>
    <x v="240"/>
    <n v="8.0299999999999996E-2"/>
    <n v="9.4999999999999998E-3"/>
    <n v="2296879"/>
    <n v="399227"/>
    <s v="28.59M"/>
    <n v="28590000"/>
    <x v="241"/>
    <n v="242"/>
    <x v="4"/>
  </r>
  <r>
    <x v="242"/>
    <x v="241"/>
    <n v="2.4300000000000002"/>
    <n v="8.9999999999999998E-4"/>
    <n v="2294383"/>
    <n v="299270"/>
    <s v="940.32K"/>
    <n v="940320"/>
    <x v="242"/>
    <n v="243"/>
    <x v="6"/>
  </r>
  <r>
    <x v="243"/>
    <x v="242"/>
    <n v="2.29E-2"/>
    <n v="1.2699999999999999E-2"/>
    <n v="2293709"/>
    <n v="111982"/>
    <s v="100M"/>
    <n v="100000000"/>
    <x v="243"/>
    <n v="244"/>
    <x v="4"/>
  </r>
  <r>
    <x v="244"/>
    <x v="243"/>
    <n v="1.01E-2"/>
    <n v="7.6E-3"/>
    <n v="2292740"/>
    <n v="2109152"/>
    <s v="174.45P"/>
    <m/>
    <x v="232"/>
    <n v="246"/>
    <x v="4"/>
  </r>
  <r>
    <x v="245"/>
    <x v="244"/>
    <n v="2.5999999999999999E-3"/>
    <n v="0.1196"/>
    <n v="2292124"/>
    <n v="307522"/>
    <s v="874.75M"/>
    <n v="874750000"/>
    <x v="244"/>
    <n v="247"/>
    <x v="4"/>
  </r>
  <r>
    <x v="246"/>
    <x v="245"/>
    <n v="8.72E-2"/>
    <n v="4.1999999999999997E-3"/>
    <n v="2290142"/>
    <n v="12557"/>
    <s v="318.29T"/>
    <n v="318290000000000"/>
    <x v="245"/>
    <n v="248"/>
    <x v="4"/>
  </r>
  <r>
    <x v="247"/>
    <x v="246"/>
    <n v="3.8E-3"/>
    <n v="0.1202"/>
    <n v="2293523"/>
    <n v="236092"/>
    <s v="603.77M"/>
    <n v="603770000"/>
    <x v="246"/>
    <n v="245"/>
    <x v="4"/>
  </r>
  <r>
    <x v="248"/>
    <x v="247"/>
    <n v="1E-4"/>
    <n v="5.9999999999999995E-4"/>
    <n v="2286484"/>
    <n v="646020"/>
    <s v="21.01B"/>
    <n v="21010000000"/>
    <x v="247"/>
    <n v="249"/>
    <x v="4"/>
  </r>
  <r>
    <x v="249"/>
    <x v="248"/>
    <n v="4.0000000000000002E-4"/>
    <n v="1E-3"/>
    <n v="2285938"/>
    <n v="816265"/>
    <s v="6.07B"/>
    <n v="6070000000"/>
    <x v="248"/>
    <n v="250"/>
    <x v="4"/>
  </r>
  <r>
    <x v="250"/>
    <x v="249"/>
    <n v="4.0000000000000001E-3"/>
    <n v="1.43E-2"/>
    <n v="2278887"/>
    <n v="10481"/>
    <s v="567.97M"/>
    <n v="567970000"/>
    <x v="249"/>
    <n v="251"/>
    <x v="4"/>
  </r>
  <r>
    <x v="251"/>
    <x v="250"/>
    <n v="0.36180000000000001"/>
    <n v="2.52E-2"/>
    <n v="1916021"/>
    <n v="575286"/>
    <s v="5.29M"/>
    <n v="5290000"/>
    <x v="250"/>
    <n v="252"/>
    <x v="4"/>
  </r>
  <r>
    <x v="252"/>
    <x v="251"/>
    <n v="1.9E-3"/>
    <n v="3.2099999999999997E-2"/>
    <n v="1906503"/>
    <n v="2807129"/>
    <s v="1B"/>
    <n v="1000000000"/>
    <x v="251"/>
    <n v="253"/>
    <x v="4"/>
  </r>
  <r>
    <x v="253"/>
    <x v="252"/>
    <n v="9.7000000000000003E-3"/>
    <n v="1.4E-3"/>
    <n v="1906100"/>
    <n v="3639"/>
    <s v="195.63M"/>
    <n v="195630000"/>
    <x v="252"/>
    <n v="254"/>
    <x v="4"/>
  </r>
  <r>
    <x v="254"/>
    <x v="253"/>
    <n v="1.9E-3"/>
    <n v="2.5999999999999999E-3"/>
    <n v="1903590"/>
    <n v="231003"/>
    <s v="996.73M"/>
    <n v="996730000"/>
    <x v="253"/>
    <n v="255"/>
    <x v="4"/>
  </r>
  <r>
    <x v="255"/>
    <x v="254"/>
    <n v="8.0000000000000004E-4"/>
    <n v="6.4000000000000003E-3"/>
    <n v="1898990"/>
    <n v="2154532"/>
    <s v="2.28B"/>
    <n v="2280000000"/>
    <x v="254"/>
    <n v="256"/>
    <x v="4"/>
  </r>
  <r>
    <x v="256"/>
    <x v="255"/>
    <n v="1E-4"/>
    <n v="4.1000000000000003E-3"/>
    <n v="1898444"/>
    <n v="291579"/>
    <s v="14.48B"/>
    <n v="14480000000"/>
    <x v="255"/>
    <n v="257"/>
    <x v="4"/>
  </r>
  <r>
    <x v="257"/>
    <x v="256"/>
    <n v="1E-4"/>
    <n v="1.9E-3"/>
    <n v="1898443"/>
    <n v="248162"/>
    <s v="17.5B"/>
    <n v="17500000000"/>
    <x v="256"/>
    <n v="258"/>
    <x v="4"/>
  </r>
  <r>
    <x v="258"/>
    <x v="257"/>
    <n v="1.9E-3"/>
    <n v="2.0500000000000001E-2"/>
    <n v="1890247"/>
    <n v="812622"/>
    <s v="975.67M"/>
    <n v="975670000"/>
    <x v="257"/>
    <n v="259"/>
    <x v="4"/>
  </r>
  <r>
    <x v="259"/>
    <x v="258"/>
    <n v="0.3775"/>
    <n v="2.9999999999999997E-4"/>
    <n v="1887590"/>
    <n v="72591"/>
    <s v="5M"/>
    <n v="5000000"/>
    <x v="258"/>
    <n v="260"/>
    <x v="4"/>
  </r>
  <r>
    <x v="260"/>
    <x v="259"/>
    <n v="6.1000000000000004E-3"/>
    <n v="6.1999999999999998E-3"/>
    <n v="1886530"/>
    <n v="441421"/>
    <s v="309.15M"/>
    <n v="309150000"/>
    <x v="259"/>
    <n v="261"/>
    <x v="4"/>
  </r>
  <r>
    <x v="261"/>
    <x v="260"/>
    <n v="6.3600000000000004E-2"/>
    <n v="1E-3"/>
    <n v="1885561"/>
    <n v="94886"/>
    <s v="29.64M"/>
    <n v="29640000"/>
    <x v="260"/>
    <n v="262"/>
    <x v="4"/>
  </r>
  <r>
    <x v="262"/>
    <x v="261"/>
    <n v="2.5099999999999998"/>
    <n v="2.8999999999999998E-3"/>
    <n v="1877793"/>
    <n v="36"/>
    <s v="745.99K"/>
    <n v="745990"/>
    <x v="261"/>
    <n v="263"/>
    <x v="6"/>
  </r>
  <r>
    <x v="263"/>
    <x v="262"/>
    <n v="0.02"/>
    <n v="3.8E-3"/>
    <n v="1871049"/>
    <n v="1208"/>
    <s v="93.69M"/>
    <n v="93690000"/>
    <x v="262"/>
    <n v="264"/>
    <x v="4"/>
  </r>
  <r>
    <x v="264"/>
    <x v="263"/>
    <n v="1.9E-3"/>
    <n v="5.0000000000000001E-4"/>
    <n v="1867627"/>
    <n v="47480"/>
    <s v="994.96M"/>
    <n v="994960000"/>
    <x v="263"/>
    <n v="265"/>
    <x v="4"/>
  </r>
  <r>
    <x v="265"/>
    <x v="264"/>
    <n v="2.3E-3"/>
    <n v="9.1999999999999998E-3"/>
    <n v="1863475"/>
    <n v="323410"/>
    <s v="798.36M"/>
    <n v="798360000"/>
    <x v="264"/>
    <n v="266"/>
    <x v="4"/>
  </r>
  <r>
    <x v="266"/>
    <x v="265"/>
    <n v="1.5299999999999999E-2"/>
    <n v="1.41E-2"/>
    <n v="1532820"/>
    <n v="106300"/>
    <s v="100M"/>
    <n v="100000000"/>
    <x v="265"/>
    <n v="267"/>
    <x v="4"/>
  </r>
  <r>
    <x v="267"/>
    <x v="266"/>
    <n v="478.82"/>
    <n v="0"/>
    <n v="1532243"/>
    <n v="48"/>
    <s v="3.19K"/>
    <n v="3190"/>
    <x v="266"/>
    <n v="268"/>
    <x v="0"/>
  </r>
  <r>
    <x v="268"/>
    <x v="267"/>
    <n v="1.7399999999999999E-2"/>
    <n v="0.28399999999999997"/>
    <n v="1513741"/>
    <n v="92"/>
    <s v="86.91M"/>
    <n v="86910000"/>
    <x v="267"/>
    <n v="269"/>
    <x v="4"/>
  </r>
  <r>
    <x v="269"/>
    <x v="268"/>
    <n v="0.14399999999999999"/>
    <n v="6.1000000000000004E-3"/>
    <n v="1512510"/>
    <n v="277199"/>
    <s v="10.49M"/>
    <n v="10490000"/>
    <x v="268"/>
    <n v="270"/>
    <x v="4"/>
  </r>
  <r>
    <x v="270"/>
    <x v="269"/>
    <n v="2.0999999999999999E-3"/>
    <n v="2.0000000000000001E-4"/>
    <n v="1510003"/>
    <n v="59560"/>
    <s v="733.64M"/>
    <n v="733640000"/>
    <x v="269"/>
    <n v="271"/>
    <x v="4"/>
  </r>
  <r>
    <x v="271"/>
    <x v="270"/>
    <n v="458.9"/>
    <n v="0"/>
    <n v="1509662"/>
    <n v="1899106"/>
    <s v="3.28K"/>
    <n v="3280"/>
    <x v="270"/>
    <n v="272"/>
    <x v="0"/>
  </r>
  <r>
    <x v="272"/>
    <x v="271"/>
    <n v="1.5E-3"/>
    <n v="3.61E-2"/>
    <n v="1504520"/>
    <n v="361388"/>
    <s v="999.77M"/>
    <n v="999770000"/>
    <x v="271"/>
    <n v="273"/>
    <x v="4"/>
  </r>
  <r>
    <x v="273"/>
    <x v="272"/>
    <n v="109.7"/>
    <n v="1E-4"/>
    <n v="1499039"/>
    <n v="2089185"/>
    <s v="13.66K"/>
    <n v="13660"/>
    <x v="272"/>
    <n v="274"/>
    <x v="0"/>
  </r>
  <r>
    <x v="274"/>
    <x v="273"/>
    <n v="4.0000000000000002E-4"/>
    <n v="8.9999999999999998E-4"/>
    <n v="1495395"/>
    <n v="95798"/>
    <s v="3.56B"/>
    <n v="3560000000"/>
    <x v="273"/>
    <n v="275"/>
    <x v="4"/>
  </r>
  <r>
    <x v="275"/>
    <x v="274"/>
    <n v="2E-3"/>
    <n v="1.1999999999999999E-3"/>
    <n v="1493648"/>
    <n v="116394"/>
    <s v="731.58M"/>
    <n v="731580000"/>
    <x v="274"/>
    <n v="276"/>
    <x v="4"/>
  </r>
  <r>
    <x v="276"/>
    <x v="275"/>
    <n v="2.2499999999999999E-2"/>
    <n v="3.3E-3"/>
    <n v="1486724"/>
    <n v="289348"/>
    <s v="65.97M"/>
    <n v="65970000"/>
    <x v="275"/>
    <n v="277"/>
    <x v="4"/>
  </r>
  <r>
    <x v="277"/>
    <x v="276"/>
    <n v="3.8999999999999998E-3"/>
    <n v="2.9999999999999997E-4"/>
    <n v="1478116"/>
    <n v="56269"/>
    <s v="382.95M"/>
    <n v="382950000"/>
    <x v="276"/>
    <n v="278"/>
    <x v="4"/>
  </r>
  <r>
    <x v="278"/>
    <x v="277"/>
    <n v="266.62"/>
    <n v="2.0000000000000001E-4"/>
    <n v="1473598"/>
    <n v="7192953"/>
    <s v="5.52K"/>
    <n v="5520"/>
    <x v="277"/>
    <n v="279"/>
    <x v="0"/>
  </r>
  <r>
    <x v="279"/>
    <x v="278"/>
    <n v="1.1999999999999999E-3"/>
    <n v="8.0000000000000004E-4"/>
    <n v="1214638"/>
    <n v="236902"/>
    <s v="999.68M"/>
    <n v="999680000"/>
    <x v="278"/>
    <n v="280"/>
    <x v="4"/>
  </r>
  <r>
    <x v="280"/>
    <x v="279"/>
    <n v="1.21"/>
    <n v="2.98E-2"/>
    <n v="1212089"/>
    <n v="182315"/>
    <s v="1M"/>
    <n v="1000000"/>
    <x v="279"/>
    <n v="281"/>
    <x v="3"/>
  </r>
  <r>
    <x v="281"/>
    <x v="280"/>
    <n v="1E-4"/>
    <n v="3.5999999999999999E-3"/>
    <n v="1207343"/>
    <n v="143372"/>
    <s v="17.42B"/>
    <n v="17420000000"/>
    <x v="280"/>
    <n v="282"/>
    <x v="4"/>
  </r>
  <r>
    <x v="282"/>
    <x v="281"/>
    <n v="6.0199999999999997E-2"/>
    <n v="2.3900000000000001E-2"/>
    <n v="1203839"/>
    <n v="1055504"/>
    <s v="20M"/>
    <n v="20000000"/>
    <x v="281"/>
    <n v="283"/>
    <x v="4"/>
  </r>
  <r>
    <x v="283"/>
    <x v="282"/>
    <n v="1.1999999999999999E-3"/>
    <n v="5.1000000000000004E-3"/>
    <n v="1203331"/>
    <n v="809492"/>
    <s v="1B"/>
    <n v="1000000000"/>
    <x v="282"/>
    <n v="284"/>
    <x v="4"/>
  </r>
  <r>
    <x v="284"/>
    <x v="283"/>
    <n v="5.0000000000000001E-4"/>
    <n v="2.2000000000000001E-3"/>
    <n v="1203193"/>
    <n v="63501"/>
    <s v="2.5B"/>
    <n v="2500000000"/>
    <x v="283"/>
    <n v="285"/>
    <x v="4"/>
  </r>
  <r>
    <x v="285"/>
    <x v="284"/>
    <n v="1.1999999999999999E-3"/>
    <n v="2.0999999999999999E-3"/>
    <n v="1200691"/>
    <n v="56307"/>
    <s v="1B"/>
    <n v="1000000000"/>
    <x v="284"/>
    <n v="286"/>
    <x v="4"/>
  </r>
  <r>
    <x v="286"/>
    <x v="285"/>
    <n v="164.46"/>
    <n v="5.0000000000000001E-4"/>
    <n v="1199377"/>
    <n v="1674639"/>
    <s v="7.29K"/>
    <n v="7290"/>
    <x v="285"/>
    <n v="287"/>
    <x v="0"/>
  </r>
  <r>
    <x v="287"/>
    <x v="286"/>
    <n v="6.7000000000000002E-3"/>
    <n v="1.46E-2"/>
    <n v="1197525"/>
    <n v="44783"/>
    <s v="179M"/>
    <n v="179000000"/>
    <x v="286"/>
    <n v="288"/>
    <x v="4"/>
  </r>
  <r>
    <x v="288"/>
    <x v="287"/>
    <n v="1.6999999999999999E-3"/>
    <n v="8.6E-3"/>
    <n v="1196596"/>
    <n v="3716"/>
    <s v="712.76M"/>
    <n v="712760000"/>
    <x v="287"/>
    <n v="289"/>
    <x v="4"/>
  </r>
  <r>
    <x v="289"/>
    <x v="288"/>
    <n v="38.83"/>
    <n v="2.9999999999999997E-4"/>
    <n v="1193229"/>
    <n v="252564"/>
    <s v="30.72K"/>
    <n v="30720"/>
    <x v="288"/>
    <n v="290"/>
    <x v="5"/>
  </r>
  <r>
    <x v="290"/>
    <x v="289"/>
    <n v="2.0000000000000001E-4"/>
    <n v="1E-3"/>
    <n v="1187200"/>
    <n v="18924"/>
    <s v="5.42B"/>
    <n v="5420000000"/>
    <x v="289"/>
    <n v="291"/>
    <x v="4"/>
  </r>
  <r>
    <x v="291"/>
    <x v="290"/>
    <n v="1.2999999999999999E-2"/>
    <n v="8.9999999999999998E-4"/>
    <n v="1185819"/>
    <n v="1864957"/>
    <s v="91.22M"/>
    <n v="91220000"/>
    <x v="290"/>
    <n v="292"/>
    <x v="4"/>
  </r>
  <r>
    <x v="292"/>
    <x v="291"/>
    <n v="4.1999999999999997E-3"/>
    <n v="1E-3"/>
    <n v="1184980"/>
    <n v="20173"/>
    <s v="284M"/>
    <n v="284000000"/>
    <x v="291"/>
    <n v="293"/>
    <x v="4"/>
  </r>
  <r>
    <x v="293"/>
    <x v="292"/>
    <n v="1.9199999999999998E-2"/>
    <n v="6.8999999999999999E-3"/>
    <n v="1180240"/>
    <n v="84833"/>
    <s v="61.47M"/>
    <n v="61470000"/>
    <x v="292"/>
    <n v="29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EBCA6-1FC0-44EB-8347-F31B9D8E1E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in Name">
  <location ref="A3:B14" firstHeaderRow="1" firstDataRow="1" firstDataCol="1"/>
  <pivotFields count="11">
    <pivotField axis="axisRow" showAll="0" measureFilter="1" sortType="descending">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8">
        <item h="1" x="2"/>
        <item x="4"/>
        <item h="1" x="1"/>
        <item h="1" x="0"/>
        <item h="1" x="5"/>
        <item h="1" x="3"/>
        <item h="1" x="6"/>
        <item t="default"/>
      </items>
    </pivotField>
  </pivotFields>
  <rowFields count="1">
    <field x="0"/>
  </rowFields>
  <rowItems count="11">
    <i>
      <x v="81"/>
    </i>
    <i>
      <x v="80"/>
    </i>
    <i>
      <x v="5"/>
    </i>
    <i>
      <x v="255"/>
    </i>
    <i>
      <x v="45"/>
    </i>
    <i>
      <x v="167"/>
    </i>
    <i>
      <x v="232"/>
    </i>
    <i>
      <x v="188"/>
    </i>
    <i>
      <x v="191"/>
    </i>
    <i>
      <x v="277"/>
    </i>
    <i t="grand">
      <x/>
    </i>
  </rowItems>
  <colItems count="1">
    <i/>
  </colItems>
  <dataFields count="1">
    <dataField name=" Price (USD)"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032D5B-5994-4FE4-A3C0-C072C17385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U38:U39" firstHeaderRow="1" firstDataRow="1" firstDataCol="0"/>
  <pivotFields count="11">
    <pivotField showAll="0" sortType="descending">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8">
        <item h="1" x="2"/>
        <item x="4"/>
        <item h="1" x="1"/>
        <item h="1" x="0"/>
        <item h="1" x="5"/>
        <item h="1" x="3"/>
        <item h="1" x="6"/>
        <item t="default"/>
      </items>
    </pivotField>
  </pivotFields>
  <rowItems count="1">
    <i/>
  </rowItems>
  <colItems count="1">
    <i/>
  </colItems>
  <dataFields count="1">
    <dataField name="Sum of Market Cap"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A32DFF-C563-412D-8B62-893AFA9D432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AE6:AF228" firstHeaderRow="1" firstDataRow="1" firstDataCol="1"/>
  <pivotFields count="11">
    <pivotField axis="axisRow" showAll="0" sortType="descending">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items count="8">
        <item h="1" x="2"/>
        <item x="4"/>
        <item h="1" x="1"/>
        <item h="1" x="0"/>
        <item h="1" x="5"/>
        <item h="1" x="3"/>
        <item h="1" x="6"/>
        <item t="default"/>
      </items>
    </pivotField>
  </pivotFields>
  <rowFields count="1">
    <field x="0"/>
  </rowFields>
  <rowItems count="222">
    <i>
      <x v="257"/>
    </i>
    <i>
      <x v="71"/>
    </i>
    <i>
      <x v="43"/>
    </i>
    <i>
      <x v="197"/>
    </i>
    <i>
      <x v="25"/>
    </i>
    <i>
      <x v="40"/>
    </i>
    <i>
      <x v="5"/>
    </i>
    <i>
      <x v="124"/>
    </i>
    <i>
      <x v="146"/>
    </i>
    <i>
      <x v="81"/>
    </i>
    <i>
      <x v="125"/>
    </i>
    <i>
      <x v="89"/>
    </i>
    <i>
      <x v="7"/>
    </i>
    <i>
      <x v="234"/>
    </i>
    <i>
      <x v="108"/>
    </i>
    <i>
      <x v="247"/>
    </i>
    <i>
      <x v="45"/>
    </i>
    <i>
      <x v="12"/>
    </i>
    <i>
      <x v="284"/>
    </i>
    <i>
      <x v="195"/>
    </i>
    <i>
      <x v="236"/>
    </i>
    <i>
      <x v="4"/>
    </i>
    <i>
      <x v="278"/>
    </i>
    <i>
      <x v="199"/>
    </i>
    <i>
      <x v="232"/>
    </i>
    <i>
      <x v="126"/>
    </i>
    <i>
      <x v="157"/>
    </i>
    <i>
      <x v="188"/>
    </i>
    <i>
      <x v="111"/>
    </i>
    <i>
      <x v="221"/>
    </i>
    <i>
      <x v="227"/>
    </i>
    <i>
      <x v="194"/>
    </i>
    <i>
      <x v="23"/>
    </i>
    <i>
      <x v="79"/>
    </i>
    <i>
      <x v="39"/>
    </i>
    <i>
      <x v="242"/>
    </i>
    <i>
      <x v="129"/>
    </i>
    <i>
      <x v="160"/>
    </i>
    <i>
      <x v="176"/>
    </i>
    <i>
      <x v="181"/>
    </i>
    <i>
      <x v="72"/>
    </i>
    <i>
      <x v="162"/>
    </i>
    <i>
      <x v="209"/>
    </i>
    <i>
      <x v="55"/>
    </i>
    <i>
      <x v="263"/>
    </i>
    <i>
      <x v="32"/>
    </i>
    <i>
      <x v="191"/>
    </i>
    <i>
      <x v="136"/>
    </i>
    <i>
      <x v="151"/>
    </i>
    <i>
      <x v="217"/>
    </i>
    <i>
      <x v="213"/>
    </i>
    <i>
      <x v="51"/>
    </i>
    <i>
      <x v="101"/>
    </i>
    <i>
      <x v="103"/>
    </i>
    <i>
      <x v="186"/>
    </i>
    <i>
      <x v="98"/>
    </i>
    <i>
      <x v="106"/>
    </i>
    <i>
      <x v="63"/>
    </i>
    <i>
      <x v="97"/>
    </i>
    <i>
      <x v="206"/>
    </i>
    <i>
      <x v="19"/>
    </i>
    <i>
      <x v="202"/>
    </i>
    <i>
      <x v="216"/>
    </i>
    <i>
      <x v="249"/>
    </i>
    <i>
      <x v="235"/>
    </i>
    <i>
      <x v="240"/>
    </i>
    <i>
      <x v="154"/>
    </i>
    <i>
      <x v="223"/>
    </i>
    <i>
      <x v="208"/>
    </i>
    <i>
      <x v="256"/>
    </i>
    <i>
      <x v="229"/>
    </i>
    <i>
      <x v="182"/>
    </i>
    <i>
      <x v="88"/>
    </i>
    <i>
      <x v="218"/>
    </i>
    <i>
      <x v="192"/>
    </i>
    <i>
      <x v="38"/>
    </i>
    <i>
      <x v="93"/>
    </i>
    <i>
      <x v="279"/>
    </i>
    <i>
      <x v="13"/>
    </i>
    <i>
      <x v="272"/>
    </i>
    <i>
      <x v="115"/>
    </i>
    <i>
      <x v="193"/>
    </i>
    <i>
      <x v="273"/>
    </i>
    <i>
      <x v="164"/>
    </i>
    <i>
      <x v="252"/>
    </i>
    <i>
      <x v="80"/>
    </i>
    <i>
      <x v="241"/>
    </i>
    <i>
      <x v="219"/>
    </i>
    <i>
      <x v="56"/>
    </i>
    <i>
      <x v="49"/>
    </i>
    <i>
      <x v="141"/>
    </i>
    <i>
      <x v="207"/>
    </i>
    <i>
      <x v="178"/>
    </i>
    <i>
      <x v="41"/>
    </i>
    <i>
      <x v="112"/>
    </i>
    <i>
      <x v="187"/>
    </i>
    <i>
      <x v="159"/>
    </i>
    <i>
      <x v="1"/>
    </i>
    <i>
      <x v="20"/>
    </i>
    <i>
      <x v="139"/>
    </i>
    <i>
      <x v="150"/>
    </i>
    <i>
      <x v="92"/>
    </i>
    <i>
      <x v="17"/>
    </i>
    <i>
      <x v="53"/>
    </i>
    <i>
      <x v="36"/>
    </i>
    <i>
      <x v="69"/>
    </i>
    <i>
      <x v="67"/>
    </i>
    <i>
      <x v="185"/>
    </i>
    <i>
      <x v="177"/>
    </i>
    <i>
      <x v="205"/>
    </i>
    <i>
      <x v="27"/>
    </i>
    <i>
      <x v="262"/>
    </i>
    <i>
      <x v="121"/>
    </i>
    <i>
      <x v="180"/>
    </i>
    <i>
      <x v="74"/>
    </i>
    <i>
      <x v="144"/>
    </i>
    <i>
      <x v="168"/>
    </i>
    <i>
      <x v="15"/>
    </i>
    <i>
      <x v="147"/>
    </i>
    <i>
      <x v="196"/>
    </i>
    <i>
      <x v="233"/>
    </i>
    <i>
      <x v="107"/>
    </i>
    <i>
      <x v="237"/>
    </i>
    <i>
      <x v="283"/>
    </i>
    <i>
      <x v="128"/>
    </i>
    <i>
      <x v="21"/>
    </i>
    <i>
      <x v="52"/>
    </i>
    <i>
      <x v="75"/>
    </i>
    <i>
      <x v="62"/>
    </i>
    <i>
      <x v="28"/>
    </i>
    <i>
      <x v="156"/>
    </i>
    <i>
      <x v="127"/>
    </i>
    <i>
      <x v="183"/>
    </i>
    <i>
      <x v="8"/>
    </i>
    <i>
      <x v="166"/>
    </i>
    <i>
      <x v="190"/>
    </i>
    <i>
      <x v="119"/>
    </i>
    <i>
      <x v="16"/>
    </i>
    <i>
      <x v="76"/>
    </i>
    <i>
      <x v="172"/>
    </i>
    <i>
      <x v="228"/>
    </i>
    <i>
      <x v="113"/>
    </i>
    <i>
      <x v="165"/>
    </i>
    <i>
      <x v="84"/>
    </i>
    <i>
      <x v="158"/>
    </i>
    <i>
      <x v="239"/>
    </i>
    <i>
      <x v="57"/>
    </i>
    <i>
      <x v="277"/>
    </i>
    <i>
      <x v="246"/>
    </i>
    <i>
      <x v="230"/>
    </i>
    <i>
      <x v="289"/>
    </i>
    <i>
      <x v="286"/>
    </i>
    <i>
      <x v="161"/>
    </i>
    <i>
      <x v="254"/>
    </i>
    <i>
      <x v="171"/>
    </i>
    <i>
      <x v="24"/>
    </i>
    <i>
      <x v="35"/>
    </i>
    <i>
      <x v="140"/>
    </i>
    <i>
      <x v="210"/>
    </i>
    <i>
      <x v="104"/>
    </i>
    <i>
      <x v="220"/>
    </i>
    <i>
      <x v="133"/>
    </i>
    <i>
      <x v="91"/>
    </i>
    <i>
      <x v="169"/>
    </i>
    <i>
      <x v="11"/>
    </i>
    <i>
      <x v="120"/>
    </i>
    <i>
      <x v="291"/>
    </i>
    <i>
      <x v="170"/>
    </i>
    <i>
      <x v="201"/>
    </i>
    <i>
      <x v="274"/>
    </i>
    <i>
      <x v="290"/>
    </i>
    <i>
      <x v="131"/>
    </i>
    <i>
      <x v="66"/>
    </i>
    <i>
      <x v="245"/>
    </i>
    <i>
      <x v="102"/>
    </i>
    <i>
      <x v="211"/>
    </i>
    <i>
      <x v="48"/>
    </i>
    <i>
      <x v="46"/>
    </i>
    <i>
      <x v="275"/>
    </i>
    <i>
      <x v="33"/>
    </i>
    <i>
      <x v="14"/>
    </i>
    <i>
      <x v="42"/>
    </i>
    <i>
      <x v="174"/>
    </i>
    <i>
      <x v="200"/>
    </i>
    <i>
      <x v="251"/>
    </i>
    <i>
      <x v="143"/>
    </i>
    <i>
      <x v="167"/>
    </i>
    <i>
      <x v="293"/>
    </i>
    <i>
      <x v="68"/>
    </i>
    <i>
      <x v="270"/>
    </i>
    <i>
      <x v="142"/>
    </i>
    <i>
      <x v="189"/>
    </i>
    <i>
      <x v="137"/>
    </i>
    <i>
      <x v="203"/>
    </i>
    <i>
      <x v="255"/>
    </i>
    <i>
      <x v="77"/>
    </i>
    <i>
      <x v="109"/>
    </i>
    <i>
      <x v="204"/>
    </i>
    <i>
      <x v="238"/>
    </i>
    <i>
      <x v="114"/>
    </i>
    <i>
      <x v="215"/>
    </i>
    <i>
      <x v="78"/>
    </i>
    <i>
      <x v="59"/>
    </i>
    <i>
      <x v="276"/>
    </i>
    <i>
      <x v="44"/>
    </i>
    <i>
      <x v="231"/>
    </i>
    <i>
      <x v="105"/>
    </i>
    <i>
      <x v="130"/>
    </i>
    <i>
      <x v="61"/>
    </i>
    <i>
      <x v="226"/>
    </i>
    <i>
      <x v="212"/>
    </i>
    <i>
      <x v="87"/>
    </i>
    <i>
      <x v="292"/>
    </i>
    <i>
      <x v="224"/>
    </i>
    <i>
      <x v="65"/>
    </i>
    <i>
      <x v="122"/>
    </i>
    <i>
      <x v="282"/>
    </i>
    <i>
      <x v="64"/>
    </i>
    <i>
      <x v="288"/>
    </i>
    <i>
      <x v="6"/>
    </i>
    <i>
      <x v="34"/>
    </i>
    <i t="grand">
      <x/>
    </i>
  </rowItems>
  <colItems count="1">
    <i/>
  </colItems>
  <dataFields count="1">
    <dataField name="Sum of Market Cap" fld="4"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305604-62ED-4DD5-ACE7-8BE9AA9967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0:C51" firstHeaderRow="0" firstDataRow="1" firstDataCol="1"/>
  <pivotFields count="11">
    <pivotField axis="axisRow" showAll="0" measureFilter="1">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pivotField>
    <pivotField showAll="0"/>
    <pivotField dataField="1" showAll="0"/>
    <pivotField showAll="0"/>
    <pivotField showAll="0"/>
    <pivotField showAll="0"/>
    <pivotField showAll="0"/>
    <pivotField showAll="0"/>
    <pivotField dataField="1" showAll="0">
      <items count="294">
        <item x="245"/>
        <item x="226"/>
        <item x="76"/>
        <item x="147"/>
        <item x="190"/>
        <item x="53"/>
        <item x="123"/>
        <item x="47"/>
        <item x="21"/>
        <item x="95"/>
        <item x="42"/>
        <item x="186"/>
        <item x="121"/>
        <item x="122"/>
        <item x="79"/>
        <item x="267"/>
        <item x="207"/>
        <item x="289"/>
        <item x="237"/>
        <item x="287"/>
        <item x="20"/>
        <item x="280"/>
        <item x="185"/>
        <item x="236"/>
        <item x="75"/>
        <item x="116"/>
        <item x="262"/>
        <item x="256"/>
        <item x="213"/>
        <item x="240"/>
        <item x="114"/>
        <item x="249"/>
        <item x="252"/>
        <item x="255"/>
        <item x="222"/>
        <item x="283"/>
        <item x="234"/>
        <item x="273"/>
        <item x="204"/>
        <item x="228"/>
        <item x="230"/>
        <item x="189"/>
        <item x="247"/>
        <item x="97"/>
        <item x="181"/>
        <item x="263"/>
        <item x="261"/>
        <item x="199"/>
        <item x="152"/>
        <item x="284"/>
        <item x="177"/>
        <item x="291"/>
        <item x="219"/>
        <item x="206"/>
        <item x="269"/>
        <item x="227"/>
        <item x="134"/>
        <item x="184"/>
        <item x="143"/>
        <item x="45"/>
        <item x="235"/>
        <item x="196"/>
        <item x="200"/>
        <item x="70"/>
        <item x="174"/>
        <item x="223"/>
        <item x="90"/>
        <item x="108"/>
        <item x="191"/>
        <item x="30"/>
        <item x="164"/>
        <item x="248"/>
        <item x="216"/>
        <item x="276"/>
        <item x="111"/>
        <item x="274"/>
        <item x="210"/>
        <item x="43"/>
        <item x="231"/>
        <item x="202"/>
        <item x="148"/>
        <item x="136"/>
        <item x="253"/>
        <item x="159"/>
        <item x="278"/>
        <item x="286"/>
        <item x="167"/>
        <item x="220"/>
        <item x="187"/>
        <item x="229"/>
        <item x="39"/>
        <item x="244"/>
        <item x="89"/>
        <item x="271"/>
        <item x="58"/>
        <item x="246"/>
        <item x="81"/>
        <item x="264"/>
        <item x="171"/>
        <item x="218"/>
        <item x="176"/>
        <item x="101"/>
        <item x="155"/>
        <item x="214"/>
        <item x="179"/>
        <item x="160"/>
        <item x="170"/>
        <item x="99"/>
        <item x="282"/>
        <item x="257"/>
        <item x="144"/>
        <item x="254"/>
        <item x="168"/>
        <item x="59"/>
        <item x="265"/>
        <item x="109"/>
        <item x="243"/>
        <item x="14"/>
        <item x="158"/>
        <item x="22"/>
        <item x="182"/>
        <item x="139"/>
        <item x="102"/>
        <item x="292"/>
        <item x="82"/>
        <item x="225"/>
        <item x="259"/>
        <item x="35"/>
        <item x="157"/>
        <item x="140"/>
        <item x="113"/>
        <item x="33"/>
        <item x="221"/>
        <item x="24"/>
        <item x="169"/>
        <item x="197"/>
        <item x="195"/>
        <item x="188"/>
        <item x="156"/>
        <item x="154"/>
        <item x="52"/>
        <item x="117"/>
        <item x="96"/>
        <item x="112"/>
        <item x="118"/>
        <item x="251"/>
        <item x="208"/>
        <item x="60"/>
        <item x="64"/>
        <item x="260"/>
        <item x="36"/>
        <item x="149"/>
        <item x="16"/>
        <item x="153"/>
        <item x="37"/>
        <item x="141"/>
        <item x="93"/>
        <item x="62"/>
        <item x="31"/>
        <item x="129"/>
        <item x="19"/>
        <item x="57"/>
        <item x="275"/>
        <item x="133"/>
        <item x="65"/>
        <item x="145"/>
        <item x="127"/>
        <item x="41"/>
        <item x="91"/>
        <item x="92"/>
        <item x="209"/>
        <item x="161"/>
        <item x="73"/>
        <item x="192"/>
        <item x="131"/>
        <item x="175"/>
        <item x="125"/>
        <item x="166"/>
        <item x="8"/>
        <item x="150"/>
        <item x="120"/>
        <item x="224"/>
        <item x="56"/>
        <item x="135"/>
        <item x="9"/>
        <item x="87"/>
        <item x="151"/>
        <item x="94"/>
        <item x="165"/>
        <item x="212"/>
        <item x="241"/>
        <item x="17"/>
        <item x="34"/>
        <item x="258"/>
        <item x="69"/>
        <item x="266"/>
        <item x="63"/>
        <item x="61"/>
        <item x="146"/>
        <item x="290"/>
        <item x="115"/>
        <item x="80"/>
        <item x="128"/>
        <item x="77"/>
        <item x="238"/>
        <item x="268"/>
        <item x="71"/>
        <item x="68"/>
        <item x="15"/>
        <item x="104"/>
        <item x="10"/>
        <item x="38"/>
        <item x="100"/>
        <item x="103"/>
        <item x="67"/>
        <item x="26"/>
        <item x="162"/>
        <item x="137"/>
        <item x="205"/>
        <item x="98"/>
        <item x="54"/>
        <item x="106"/>
        <item x="178"/>
        <item x="44"/>
        <item x="107"/>
        <item x="88"/>
        <item x="86"/>
        <item x="83"/>
        <item x="198"/>
        <item x="78"/>
        <item x="281"/>
        <item x="72"/>
        <item x="203"/>
        <item x="48"/>
        <item x="142"/>
        <item x="23"/>
        <item x="239"/>
        <item x="25"/>
        <item x="40"/>
        <item x="84"/>
        <item x="5"/>
        <item x="110"/>
        <item x="66"/>
        <item x="18"/>
        <item x="124"/>
        <item x="32"/>
        <item x="250"/>
        <item x="193"/>
        <item x="119"/>
        <item x="130"/>
        <item x="85"/>
        <item x="163"/>
        <item x="55"/>
        <item x="279"/>
        <item x="180"/>
        <item x="6"/>
        <item x="194"/>
        <item x="242"/>
        <item x="46"/>
        <item x="105"/>
        <item x="172"/>
        <item x="138"/>
        <item x="3"/>
        <item x="211"/>
        <item x="51"/>
        <item x="29"/>
        <item x="74"/>
        <item x="27"/>
        <item x="13"/>
        <item x="49"/>
        <item x="28"/>
        <item x="173"/>
        <item x="132"/>
        <item x="288"/>
        <item x="7"/>
        <item x="12"/>
        <item x="11"/>
        <item x="4"/>
        <item x="233"/>
        <item x="0"/>
        <item x="126"/>
        <item x="272"/>
        <item x="50"/>
        <item x="285"/>
        <item x="2"/>
        <item x="215"/>
        <item x="270"/>
        <item x="217"/>
        <item x="201"/>
        <item x="277"/>
        <item x="183"/>
        <item x="1"/>
        <item x="232"/>
        <item t="default"/>
      </items>
    </pivotField>
    <pivotField showAll="0"/>
    <pivotField showAll="0">
      <items count="8">
        <item h="1" x="2"/>
        <item x="4"/>
        <item h="1" x="1"/>
        <item h="1" x="0"/>
        <item h="1" x="5"/>
        <item h="1" x="3"/>
        <item h="1" x="6"/>
        <item t="default"/>
      </items>
    </pivotField>
  </pivotFields>
  <rowFields count="1">
    <field x="0"/>
  </rowFields>
  <rowItems count="11">
    <i>
      <x v="45"/>
    </i>
    <i>
      <x v="75"/>
    </i>
    <i>
      <x v="80"/>
    </i>
    <i>
      <x v="81"/>
    </i>
    <i>
      <x v="93"/>
    </i>
    <i>
      <x v="108"/>
    </i>
    <i>
      <x v="167"/>
    </i>
    <i>
      <x v="191"/>
    </i>
    <i>
      <x v="223"/>
    </i>
    <i>
      <x v="232"/>
    </i>
    <i t="grand">
      <x/>
    </i>
  </rowItems>
  <colFields count="1">
    <field x="-2"/>
  </colFields>
  <colItems count="2">
    <i>
      <x/>
    </i>
    <i i="1">
      <x v="1"/>
    </i>
  </colItems>
  <dataFields count="2">
    <dataField name="Price(USD)" fld="2" baseField="0" baseItem="2"/>
    <dataField name="Dollar Value per Supply" fld="8" baseField="0" baseItem="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384620-1FD7-4F72-A773-5E21CA899A5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O52:P73" firstHeaderRow="1" firstDataRow="1" firstDataCol="1"/>
  <pivotFields count="11">
    <pivotField axis="axisRow" showAll="0" measureFilter="1" sortType="descending">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autoSortScope>
        <pivotArea dataOnly="0" outline="0" fieldPosition="0">
          <references count="1">
            <reference field="4294967294" count="1" selected="0">
              <x v="0"/>
            </reference>
          </references>
        </pivotArea>
      </autoSortScope>
    </pivotField>
    <pivotField axis="axisRow" showAll="0">
      <items count="294">
        <item x="22"/>
        <item x="255"/>
        <item x="143"/>
        <item x="272"/>
        <item x="119"/>
        <item x="277"/>
        <item x="10"/>
        <item x="98"/>
        <item x="15"/>
        <item x="132"/>
        <item x="291"/>
        <item x="243"/>
        <item x="167"/>
        <item x="187"/>
        <item x="261"/>
        <item x="200"/>
        <item x="144"/>
        <item x="224"/>
        <item x="148"/>
        <item x="42"/>
        <item x="121"/>
        <item x="191"/>
        <item x="59"/>
        <item x="137"/>
        <item x="101"/>
        <item x="177"/>
        <item x="27"/>
        <item x="64"/>
        <item x="168"/>
        <item x="183"/>
        <item x="11"/>
        <item x="246"/>
        <item x="35"/>
        <item x="213"/>
        <item x="156"/>
        <item x="93"/>
        <item x="150"/>
        <item x="4"/>
        <item x="118"/>
        <item x="67"/>
        <item x="135"/>
        <item x="180"/>
        <item x="266"/>
        <item x="292"/>
        <item x="29"/>
        <item x="1"/>
        <item x="83"/>
        <item x="174"/>
        <item x="139"/>
        <item x="244"/>
        <item x="240"/>
        <item x="239"/>
        <item x="91"/>
        <item x="171"/>
        <item x="178"/>
        <item x="0"/>
        <item x="288"/>
        <item x="276"/>
        <item x="203"/>
        <item x="268"/>
        <item x="80"/>
        <item x="39"/>
        <item x="192"/>
        <item x="77"/>
        <item x="85"/>
        <item x="81"/>
        <item x="196"/>
        <item x="289"/>
        <item x="233"/>
        <item x="290"/>
        <item x="97"/>
        <item x="252"/>
        <item x="152"/>
        <item x="56"/>
        <item x="151"/>
        <item x="165"/>
        <item x="194"/>
        <item x="9"/>
        <item x="163"/>
        <item x="259"/>
        <item x="267"/>
        <item x="52"/>
        <item x="76"/>
        <item x="65"/>
        <item x="130"/>
        <item x="2"/>
        <item x="179"/>
        <item x="18"/>
        <item x="234"/>
        <item x="199"/>
        <item x="281"/>
        <item x="115"/>
        <item x="20"/>
        <item x="105"/>
        <item x="40"/>
        <item x="38"/>
        <item x="147"/>
        <item x="95"/>
        <item x="36"/>
        <item x="99"/>
        <item x="181"/>
        <item x="51"/>
        <item x="28"/>
        <item x="92"/>
        <item x="24"/>
        <item x="107"/>
        <item x="66"/>
        <item x="23"/>
        <item x="274"/>
        <item x="170"/>
        <item x="235"/>
        <item x="96"/>
        <item x="219"/>
        <item x="260"/>
        <item x="13"/>
        <item x="60"/>
        <item x="87"/>
        <item x="160"/>
        <item x="140"/>
        <item x="197"/>
        <item x="264"/>
        <item x="161"/>
        <item x="190"/>
        <item x="278"/>
        <item x="225"/>
        <item x="32"/>
        <item x="158"/>
        <item x="286"/>
        <item x="16"/>
        <item x="19"/>
        <item x="57"/>
        <item x="185"/>
        <item x="176"/>
        <item x="69"/>
        <item x="275"/>
        <item x="231"/>
        <item x="88"/>
        <item x="14"/>
        <item x="104"/>
        <item x="270"/>
        <item x="221"/>
        <item x="256"/>
        <item x="173"/>
        <item x="86"/>
        <item x="215"/>
        <item x="145"/>
        <item x="68"/>
        <item x="79"/>
        <item x="89"/>
        <item x="254"/>
        <item x="217"/>
        <item x="164"/>
        <item x="216"/>
        <item x="271"/>
        <item x="232"/>
        <item x="146"/>
        <item x="209"/>
        <item x="214"/>
        <item x="182"/>
        <item x="249"/>
        <item x="142"/>
        <item x="201"/>
        <item x="198"/>
        <item x="78"/>
        <item x="109"/>
        <item x="70"/>
        <item x="128"/>
        <item x="126"/>
        <item x="184"/>
        <item x="188"/>
        <item x="250"/>
        <item x="21"/>
        <item x="58"/>
        <item x="49"/>
        <item x="223"/>
        <item x="212"/>
        <item x="227"/>
        <item x="159"/>
        <item x="245"/>
        <item x="73"/>
        <item x="154"/>
        <item x="75"/>
        <item x="285"/>
        <item x="113"/>
        <item x="186"/>
        <item x="153"/>
        <item x="94"/>
        <item x="141"/>
        <item x="117"/>
        <item x="84"/>
        <item x="55"/>
        <item x="125"/>
        <item x="63"/>
        <item x="195"/>
        <item x="189"/>
        <item x="47"/>
        <item x="169"/>
        <item x="30"/>
        <item x="54"/>
        <item x="247"/>
        <item x="228"/>
        <item x="257"/>
        <item x="102"/>
        <item x="155"/>
        <item x="74"/>
        <item x="262"/>
        <item x="100"/>
        <item x="136"/>
        <item x="138"/>
        <item x="111"/>
        <item x="218"/>
        <item x="236"/>
        <item x="280"/>
        <item x="265"/>
        <item x="116"/>
        <item x="90"/>
        <item x="7"/>
        <item x="133"/>
        <item x="220"/>
        <item x="61"/>
        <item x="273"/>
        <item x="62"/>
        <item x="283"/>
        <item x="162"/>
        <item x="110"/>
        <item x="114"/>
        <item x="206"/>
        <item x="123"/>
        <item x="48"/>
        <item x="263"/>
        <item x="202"/>
        <item x="103"/>
        <item x="17"/>
        <item x="25"/>
        <item x="238"/>
        <item x="193"/>
        <item x="72"/>
        <item x="248"/>
        <item x="129"/>
        <item x="211"/>
        <item x="258"/>
        <item x="112"/>
        <item x="205"/>
        <item x="8"/>
        <item x="50"/>
        <item x="284"/>
        <item x="26"/>
        <item x="157"/>
        <item x="41"/>
        <item x="210"/>
        <item x="279"/>
        <item x="82"/>
        <item x="131"/>
        <item x="34"/>
        <item x="37"/>
        <item x="6"/>
        <item x="31"/>
        <item x="46"/>
        <item x="124"/>
        <item x="71"/>
        <item x="172"/>
        <item x="3"/>
        <item x="33"/>
        <item x="253"/>
        <item x="237"/>
        <item x="127"/>
        <item x="242"/>
        <item x="269"/>
        <item x="241"/>
        <item x="204"/>
        <item x="122"/>
        <item x="229"/>
        <item x="53"/>
        <item x="120"/>
        <item x="44"/>
        <item x="106"/>
        <item x="287"/>
        <item x="175"/>
        <item x="166"/>
        <item x="222"/>
        <item x="12"/>
        <item x="149"/>
        <item x="134"/>
        <item x="45"/>
        <item x="5"/>
        <item x="108"/>
        <item x="208"/>
        <item x="43"/>
        <item x="207"/>
        <item x="230"/>
        <item x="226"/>
        <item x="282"/>
        <item x="251"/>
        <item t="default"/>
      </items>
    </pivotField>
    <pivotField dataField="1" showAll="0"/>
    <pivotField showAll="0"/>
    <pivotField showAll="0"/>
    <pivotField showAll="0"/>
    <pivotField showAll="0"/>
    <pivotField showAll="0"/>
    <pivotField showAll="0"/>
    <pivotField showAll="0"/>
    <pivotField showAll="0">
      <items count="8">
        <item h="1" x="2"/>
        <item x="4"/>
        <item h="1" x="1"/>
        <item h="1" x="0"/>
        <item h="1" x="5"/>
        <item h="1" x="3"/>
        <item h="1" x="6"/>
        <item t="default"/>
      </items>
    </pivotField>
  </pivotFields>
  <rowFields count="2">
    <field x="0"/>
    <field x="1"/>
  </rowFields>
  <rowItems count="21">
    <i>
      <x v="81"/>
    </i>
    <i r="1">
      <x v="87"/>
    </i>
    <i>
      <x v="80"/>
    </i>
    <i r="1">
      <x v="84"/>
    </i>
    <i>
      <x v="5"/>
    </i>
    <i r="1">
      <x v="8"/>
    </i>
    <i>
      <x v="255"/>
    </i>
    <i r="1">
      <x v="240"/>
    </i>
    <i>
      <x v="45"/>
    </i>
    <i r="1">
      <x v="233"/>
    </i>
    <i>
      <x v="167"/>
    </i>
    <i r="1">
      <x v="170"/>
    </i>
    <i>
      <x v="232"/>
    </i>
    <i r="1">
      <x v="190"/>
    </i>
    <i>
      <x v="188"/>
    </i>
    <i r="1">
      <x v="22"/>
    </i>
    <i>
      <x v="191"/>
    </i>
    <i r="1">
      <x v="189"/>
    </i>
    <i>
      <x v="277"/>
    </i>
    <i r="1">
      <x v="269"/>
    </i>
    <i t="grand">
      <x/>
    </i>
  </rowItems>
  <colItems count="1">
    <i/>
  </colItems>
  <dataFields count="1">
    <dataField name="Sum of Price (USD)" fld="2" baseField="0" baseItem="0"/>
  </dataFields>
  <pivotTableStyleInfo name="PivotStyleLight19"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E0CDC-6147-4CE3-A50A-5C3A7795C2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U42:U43" firstHeaderRow="1" firstDataRow="1" firstDataCol="0"/>
  <pivotFields count="11">
    <pivotField showAll="0">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pivotField>
    <pivotField showAll="0"/>
    <pivotField showAll="0"/>
    <pivotField showAll="0"/>
    <pivotField showAll="0"/>
    <pivotField showAll="0"/>
    <pivotField showAll="0"/>
    <pivotField dataField="1" showAll="0"/>
    <pivotField showAll="0"/>
    <pivotField showAll="0"/>
    <pivotField showAll="0">
      <items count="8">
        <item h="1" x="2"/>
        <item x="4"/>
        <item h="1" x="1"/>
        <item h="1" x="0"/>
        <item h="1" x="5"/>
        <item h="1" x="3"/>
        <item h="1" x="6"/>
        <item t="default"/>
      </items>
    </pivotField>
  </pivotFields>
  <rowItems count="1">
    <i/>
  </rowItems>
  <colItems count="1">
    <i/>
  </colItems>
  <dataFields count="1">
    <dataField name="Sum of Circulating_Supply($)" fld="7"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C82F67-60FE-4D21-8CB0-EF3D73CE59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in Name">
  <location ref="A21:B32" firstHeaderRow="1" firstDataRow="1" firstDataCol="1"/>
  <pivotFields count="11">
    <pivotField axis="axisRow" showAll="0" measureFilter="1">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pivotField>
    <pivotField showAll="0"/>
    <pivotField showAll="0"/>
    <pivotField dataField="1" showAll="0"/>
    <pivotField showAll="0"/>
    <pivotField showAll="0"/>
    <pivotField showAll="0"/>
    <pivotField showAll="0"/>
    <pivotField showAll="0"/>
    <pivotField showAll="0"/>
    <pivotField showAll="0">
      <items count="8">
        <item h="1" x="2"/>
        <item x="4"/>
        <item h="1" x="1"/>
        <item h="1" x="0"/>
        <item h="1" x="5"/>
        <item h="1" x="3"/>
        <item h="1" x="6"/>
        <item t="default"/>
      </items>
    </pivotField>
  </pivotFields>
  <rowFields count="1">
    <field x="0"/>
  </rowFields>
  <rowItems count="11">
    <i>
      <x v="24"/>
    </i>
    <i>
      <x v="32"/>
    </i>
    <i>
      <x v="33"/>
    </i>
    <i>
      <x v="42"/>
    </i>
    <i>
      <x v="78"/>
    </i>
    <i>
      <x v="97"/>
    </i>
    <i>
      <x v="190"/>
    </i>
    <i>
      <x v="197"/>
    </i>
    <i>
      <x v="274"/>
    </i>
    <i>
      <x v="277"/>
    </i>
    <i t="grand">
      <x/>
    </i>
  </rowItems>
  <colItems count="1">
    <i/>
  </colItems>
  <dataFields count="1">
    <dataField name="Sum of 1h Change (%)" fld="3"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7A8F68-7D42-45CC-8D67-AB6C1D6C3F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U40:U41" firstHeaderRow="1" firstDataRow="1" firstDataCol="0"/>
  <pivotFields count="11">
    <pivotField showAll="0">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pivotField>
    <pivotField showAll="0"/>
    <pivotField dataField="1" showAll="0"/>
    <pivotField showAll="0"/>
    <pivotField showAll="0"/>
    <pivotField showAll="0"/>
    <pivotField showAll="0"/>
    <pivotField showAll="0"/>
    <pivotField showAll="0"/>
    <pivotField showAll="0"/>
    <pivotField showAll="0">
      <items count="8">
        <item h="1" x="2"/>
        <item x="4"/>
        <item h="1" x="1"/>
        <item h="1" x="0"/>
        <item h="1" x="5"/>
        <item h="1" x="3"/>
        <item h="1" x="6"/>
        <item t="default"/>
      </items>
    </pivotField>
  </pivotFields>
  <rowItems count="1">
    <i/>
  </rowItems>
  <colItems count="1">
    <i/>
  </colItems>
  <dataFields count="1">
    <dataField name="Sum of Price (USD)" fld="2"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084134-F522-480E-B8D5-8695A85F63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in Name">
  <location ref="Q85:R106" firstHeaderRow="1" firstDataRow="1" firstDataCol="1"/>
  <pivotFields count="11">
    <pivotField axis="axisRow" showAll="0" measureFilter="1" sortType="descending">
      <items count="295">
        <item x="273"/>
        <item x="144"/>
        <item x="278"/>
        <item x="98"/>
        <item x="52"/>
        <item x="15"/>
        <item x="292"/>
        <item x="21"/>
        <item x="188"/>
        <item x="201"/>
        <item x="262"/>
        <item x="225"/>
        <item x="42"/>
        <item x="121"/>
        <item x="244"/>
        <item x="168"/>
        <item x="192"/>
        <item x="149"/>
        <item x="138"/>
        <item x="101"/>
        <item x="145"/>
        <item x="178"/>
        <item x="27"/>
        <item x="64"/>
        <item x="214"/>
        <item x="35"/>
        <item x="267"/>
        <item x="157"/>
        <item x="184"/>
        <item x="1"/>
        <item x="11"/>
        <item x="29"/>
        <item x="83"/>
        <item x="247"/>
        <item x="293"/>
        <item x="216"/>
        <item x="151"/>
        <item x="4"/>
        <item x="118"/>
        <item x="67"/>
        <item x="39"/>
        <item x="140"/>
        <item x="245"/>
        <item x="10"/>
        <item x="272"/>
        <item x="25"/>
        <item x="241"/>
        <item x="77"/>
        <item x="240"/>
        <item x="135"/>
        <item x="289"/>
        <item x="91"/>
        <item x="179"/>
        <item x="150"/>
        <item x="0"/>
        <item x="81"/>
        <item x="134"/>
        <item x="204"/>
        <item x="193"/>
        <item x="269"/>
        <item x="85"/>
        <item x="277"/>
        <item x="181"/>
        <item x="97"/>
        <item x="290"/>
        <item x="285"/>
        <item x="234"/>
        <item x="153"/>
        <item x="253"/>
        <item x="152"/>
        <item x="166"/>
        <item x="9"/>
        <item x="76"/>
        <item x="56"/>
        <item x="164"/>
        <item x="180"/>
        <item x="195"/>
        <item x="260"/>
        <item x="268"/>
        <item x="65"/>
        <item x="130"/>
        <item x="18"/>
        <item x="2"/>
        <item x="242"/>
        <item x="200"/>
        <item x="31"/>
        <item x="38"/>
        <item x="282"/>
        <item x="115"/>
        <item x="20"/>
        <item x="105"/>
        <item x="223"/>
        <item x="148"/>
        <item x="119"/>
        <item x="182"/>
        <item x="66"/>
        <item x="36"/>
        <item x="99"/>
        <item x="95"/>
        <item x="51"/>
        <item x="28"/>
        <item x="92"/>
        <item x="236"/>
        <item x="93"/>
        <item x="220"/>
        <item x="275"/>
        <item x="96"/>
        <item x="174"/>
        <item x="23"/>
        <item x="261"/>
        <item x="13"/>
        <item x="60"/>
        <item x="141"/>
        <item x="198"/>
        <item x="265"/>
        <item x="123"/>
        <item x="161"/>
        <item x="132"/>
        <item x="162"/>
        <item x="191"/>
        <item x="226"/>
        <item x="159"/>
        <item x="287"/>
        <item x="32"/>
        <item x="16"/>
        <item x="19"/>
        <item x="57"/>
        <item x="186"/>
        <item x="177"/>
        <item x="69"/>
        <item x="276"/>
        <item x="232"/>
        <item x="40"/>
        <item x="222"/>
        <item x="271"/>
        <item x="89"/>
        <item x="86"/>
        <item x="257"/>
        <item x="79"/>
        <item x="146"/>
        <item x="218"/>
        <item x="136"/>
        <item x="255"/>
        <item x="250"/>
        <item x="165"/>
        <item x="172"/>
        <item x="17"/>
        <item x="169"/>
        <item x="217"/>
        <item x="233"/>
        <item x="147"/>
        <item x="87"/>
        <item x="215"/>
        <item x="183"/>
        <item x="109"/>
        <item x="126"/>
        <item x="185"/>
        <item x="58"/>
        <item x="202"/>
        <item x="143"/>
        <item x="70"/>
        <item x="210"/>
        <item x="78"/>
        <item x="12"/>
        <item x="128"/>
        <item x="199"/>
        <item x="189"/>
        <item x="251"/>
        <item x="167"/>
        <item x="224"/>
        <item x="228"/>
        <item x="213"/>
        <item x="196"/>
        <item x="49"/>
        <item x="246"/>
        <item x="33"/>
        <item x="73"/>
        <item x="155"/>
        <item x="139"/>
        <item x="286"/>
        <item x="160"/>
        <item x="75"/>
        <item x="113"/>
        <item x="187"/>
        <item x="71"/>
        <item x="154"/>
        <item x="94"/>
        <item x="142"/>
        <item x="59"/>
        <item x="256"/>
        <item x="190"/>
        <item x="84"/>
        <item x="117"/>
        <item x="125"/>
        <item x="63"/>
        <item x="47"/>
        <item x="170"/>
        <item x="30"/>
        <item x="74"/>
        <item x="54"/>
        <item x="248"/>
        <item x="229"/>
        <item x="102"/>
        <item x="258"/>
        <item x="263"/>
        <item x="156"/>
        <item x="100"/>
        <item x="137"/>
        <item x="111"/>
        <item x="80"/>
        <item x="219"/>
        <item x="237"/>
        <item x="281"/>
        <item x="90"/>
        <item x="7"/>
        <item x="266"/>
        <item x="103"/>
        <item x="88"/>
        <item x="116"/>
        <item x="133"/>
        <item x="221"/>
        <item x="61"/>
        <item x="173"/>
        <item x="110"/>
        <item x="284"/>
        <item x="163"/>
        <item x="279"/>
        <item x="62"/>
        <item x="197"/>
        <item x="114"/>
        <item x="207"/>
        <item x="274"/>
        <item x="55"/>
        <item x="171"/>
        <item x="22"/>
        <item x="107"/>
        <item x="48"/>
        <item x="175"/>
        <item x="264"/>
        <item x="203"/>
        <item x="108"/>
        <item x="131"/>
        <item x="68"/>
        <item x="50"/>
        <item x="3"/>
        <item x="235"/>
        <item x="206"/>
        <item x="24"/>
        <item x="194"/>
        <item x="104"/>
        <item x="72"/>
        <item x="249"/>
        <item x="129"/>
        <item x="239"/>
        <item x="212"/>
        <item x="259"/>
        <item x="112"/>
        <item x="8"/>
        <item x="26"/>
        <item x="211"/>
        <item x="41"/>
        <item x="280"/>
        <item x="158"/>
        <item x="82"/>
        <item x="14"/>
        <item x="37"/>
        <item x="6"/>
        <item x="46"/>
        <item x="124"/>
        <item x="34"/>
        <item x="254"/>
        <item x="238"/>
        <item x="122"/>
        <item x="127"/>
        <item x="230"/>
        <item x="243"/>
        <item x="270"/>
        <item x="205"/>
        <item x="53"/>
        <item x="120"/>
        <item x="44"/>
        <item x="106"/>
        <item x="288"/>
        <item x="176"/>
        <item x="45"/>
        <item x="5"/>
        <item x="209"/>
        <item x="43"/>
        <item x="291"/>
        <item x="208"/>
        <item x="231"/>
        <item x="227"/>
        <item x="283"/>
        <item x="252"/>
        <item t="default"/>
      </items>
      <autoSortScope>
        <pivotArea dataOnly="0" outline="0" fieldPosition="0">
          <references count="1">
            <reference field="4294967294" count="1" selected="0">
              <x v="0"/>
            </reference>
          </references>
        </pivotArea>
      </autoSortScope>
    </pivotField>
    <pivotField axis="axisRow" showAll="0">
      <items count="294">
        <item x="22"/>
        <item x="255"/>
        <item x="143"/>
        <item x="272"/>
        <item x="119"/>
        <item x="277"/>
        <item x="10"/>
        <item x="98"/>
        <item x="15"/>
        <item x="132"/>
        <item x="291"/>
        <item x="243"/>
        <item x="167"/>
        <item x="187"/>
        <item x="261"/>
        <item x="200"/>
        <item x="144"/>
        <item x="224"/>
        <item x="148"/>
        <item x="42"/>
        <item x="121"/>
        <item x="191"/>
        <item x="59"/>
        <item x="137"/>
        <item x="101"/>
        <item x="177"/>
        <item x="27"/>
        <item x="64"/>
        <item x="168"/>
        <item x="183"/>
        <item x="11"/>
        <item x="246"/>
        <item x="35"/>
        <item x="213"/>
        <item x="156"/>
        <item x="93"/>
        <item x="150"/>
        <item x="4"/>
        <item x="118"/>
        <item x="67"/>
        <item x="135"/>
        <item x="180"/>
        <item x="266"/>
        <item x="292"/>
        <item x="29"/>
        <item x="1"/>
        <item x="83"/>
        <item x="174"/>
        <item x="139"/>
        <item x="244"/>
        <item x="240"/>
        <item x="239"/>
        <item x="91"/>
        <item x="171"/>
        <item x="178"/>
        <item x="0"/>
        <item x="288"/>
        <item x="276"/>
        <item x="203"/>
        <item x="268"/>
        <item x="80"/>
        <item x="39"/>
        <item x="192"/>
        <item x="77"/>
        <item x="85"/>
        <item x="81"/>
        <item x="196"/>
        <item x="289"/>
        <item x="233"/>
        <item x="290"/>
        <item x="97"/>
        <item x="252"/>
        <item x="152"/>
        <item x="56"/>
        <item x="151"/>
        <item x="165"/>
        <item x="194"/>
        <item x="9"/>
        <item x="163"/>
        <item x="259"/>
        <item x="267"/>
        <item x="52"/>
        <item x="76"/>
        <item x="65"/>
        <item x="130"/>
        <item x="2"/>
        <item x="179"/>
        <item x="18"/>
        <item x="234"/>
        <item x="199"/>
        <item x="281"/>
        <item x="115"/>
        <item x="20"/>
        <item x="105"/>
        <item x="40"/>
        <item x="38"/>
        <item x="147"/>
        <item x="95"/>
        <item x="36"/>
        <item x="99"/>
        <item x="181"/>
        <item x="51"/>
        <item x="28"/>
        <item x="92"/>
        <item x="24"/>
        <item x="107"/>
        <item x="66"/>
        <item x="23"/>
        <item x="274"/>
        <item x="170"/>
        <item x="235"/>
        <item x="96"/>
        <item x="219"/>
        <item x="260"/>
        <item x="13"/>
        <item x="60"/>
        <item x="87"/>
        <item x="160"/>
        <item x="140"/>
        <item x="197"/>
        <item x="264"/>
        <item x="161"/>
        <item x="190"/>
        <item x="278"/>
        <item x="225"/>
        <item x="32"/>
        <item x="158"/>
        <item x="286"/>
        <item x="16"/>
        <item x="19"/>
        <item x="57"/>
        <item x="185"/>
        <item x="176"/>
        <item x="69"/>
        <item x="275"/>
        <item x="231"/>
        <item x="88"/>
        <item x="14"/>
        <item x="104"/>
        <item x="270"/>
        <item x="221"/>
        <item x="256"/>
        <item x="173"/>
        <item x="86"/>
        <item x="215"/>
        <item x="145"/>
        <item x="68"/>
        <item x="79"/>
        <item x="89"/>
        <item x="254"/>
        <item x="217"/>
        <item x="164"/>
        <item x="216"/>
        <item x="271"/>
        <item x="232"/>
        <item x="146"/>
        <item x="209"/>
        <item x="214"/>
        <item x="182"/>
        <item x="249"/>
        <item x="142"/>
        <item x="201"/>
        <item x="198"/>
        <item x="78"/>
        <item x="109"/>
        <item x="70"/>
        <item x="128"/>
        <item x="126"/>
        <item x="184"/>
        <item x="188"/>
        <item x="250"/>
        <item x="21"/>
        <item x="58"/>
        <item x="49"/>
        <item x="223"/>
        <item x="212"/>
        <item x="227"/>
        <item x="159"/>
        <item x="245"/>
        <item x="73"/>
        <item x="154"/>
        <item x="75"/>
        <item x="285"/>
        <item x="113"/>
        <item x="186"/>
        <item x="153"/>
        <item x="94"/>
        <item x="141"/>
        <item x="117"/>
        <item x="84"/>
        <item x="55"/>
        <item x="125"/>
        <item x="63"/>
        <item x="195"/>
        <item x="189"/>
        <item x="47"/>
        <item x="169"/>
        <item x="30"/>
        <item x="54"/>
        <item x="247"/>
        <item x="228"/>
        <item x="257"/>
        <item x="102"/>
        <item x="155"/>
        <item x="74"/>
        <item x="262"/>
        <item x="100"/>
        <item x="136"/>
        <item x="138"/>
        <item x="111"/>
        <item x="218"/>
        <item x="236"/>
        <item x="280"/>
        <item x="265"/>
        <item x="116"/>
        <item x="90"/>
        <item x="7"/>
        <item x="133"/>
        <item x="220"/>
        <item x="61"/>
        <item x="273"/>
        <item x="62"/>
        <item x="283"/>
        <item x="162"/>
        <item x="110"/>
        <item x="114"/>
        <item x="206"/>
        <item x="123"/>
        <item x="48"/>
        <item x="263"/>
        <item x="202"/>
        <item x="103"/>
        <item x="17"/>
        <item x="25"/>
        <item x="238"/>
        <item x="193"/>
        <item x="72"/>
        <item x="248"/>
        <item x="129"/>
        <item x="211"/>
        <item x="258"/>
        <item x="112"/>
        <item x="205"/>
        <item x="8"/>
        <item x="50"/>
        <item x="284"/>
        <item x="26"/>
        <item x="157"/>
        <item x="41"/>
        <item x="210"/>
        <item x="279"/>
        <item x="82"/>
        <item x="131"/>
        <item x="34"/>
        <item x="37"/>
        <item x="6"/>
        <item x="31"/>
        <item x="46"/>
        <item x="124"/>
        <item x="71"/>
        <item x="172"/>
        <item x="3"/>
        <item x="33"/>
        <item x="253"/>
        <item x="237"/>
        <item x="127"/>
        <item x="242"/>
        <item x="269"/>
        <item x="241"/>
        <item x="204"/>
        <item x="122"/>
        <item x="229"/>
        <item x="53"/>
        <item x="120"/>
        <item x="44"/>
        <item x="106"/>
        <item x="287"/>
        <item x="175"/>
        <item x="166"/>
        <item x="222"/>
        <item x="12"/>
        <item x="149"/>
        <item x="134"/>
        <item x="45"/>
        <item x="5"/>
        <item x="108"/>
        <item x="208"/>
        <item x="43"/>
        <item x="207"/>
        <item x="230"/>
        <item x="226"/>
        <item x="282"/>
        <item x="251"/>
        <item t="default"/>
      </items>
    </pivotField>
    <pivotField dataField="1" showAll="0"/>
    <pivotField showAll="0"/>
    <pivotField showAll="0"/>
    <pivotField showAll="0"/>
    <pivotField showAll="0"/>
    <pivotField showAll="0"/>
    <pivotField showAll="0"/>
    <pivotField showAll="0"/>
    <pivotField showAll="0">
      <items count="8">
        <item h="1" x="2"/>
        <item x="4"/>
        <item h="1" x="1"/>
        <item h="1" x="0"/>
        <item h="1" x="5"/>
        <item h="1" x="3"/>
        <item h="1" x="6"/>
        <item t="default"/>
      </items>
    </pivotField>
  </pivotFields>
  <rowFields count="2">
    <field x="0"/>
    <field x="1"/>
  </rowFields>
  <rowItems count="21">
    <i>
      <x v="81"/>
    </i>
    <i r="1">
      <x v="87"/>
    </i>
    <i>
      <x v="80"/>
    </i>
    <i r="1">
      <x v="84"/>
    </i>
    <i>
      <x v="5"/>
    </i>
    <i r="1">
      <x v="8"/>
    </i>
    <i>
      <x v="255"/>
    </i>
    <i r="1">
      <x v="240"/>
    </i>
    <i>
      <x v="45"/>
    </i>
    <i r="1">
      <x v="233"/>
    </i>
    <i>
      <x v="167"/>
    </i>
    <i r="1">
      <x v="170"/>
    </i>
    <i>
      <x v="232"/>
    </i>
    <i r="1">
      <x v="190"/>
    </i>
    <i>
      <x v="188"/>
    </i>
    <i r="1">
      <x v="22"/>
    </i>
    <i>
      <x v="191"/>
    </i>
    <i r="1">
      <x v="189"/>
    </i>
    <i>
      <x v="277"/>
    </i>
    <i r="1">
      <x v="269"/>
    </i>
    <i t="grand">
      <x/>
    </i>
  </rowItems>
  <colItems count="1">
    <i/>
  </colItems>
  <dataFields count="1">
    <dataField name="Sum of Price (USD)" fld="2" baseField="0" baseItem="0"/>
  </dataFields>
  <formats count="1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10">
            <x v="47"/>
            <x v="95"/>
            <x v="96"/>
            <x v="135"/>
            <x v="184"/>
            <x v="222"/>
            <x v="265"/>
            <x v="266"/>
            <x v="267"/>
            <x v="268"/>
          </reference>
        </references>
      </pivotArea>
    </format>
    <format dxfId="17">
      <pivotArea dataOnly="0" labelOnly="1" grandRow="1" outline="0" fieldPosition="0"/>
    </format>
    <format dxfId="16">
      <pivotArea dataOnly="0" labelOnly="1" fieldPosition="0">
        <references count="2">
          <reference field="0" count="1" selected="0">
            <x v="266"/>
          </reference>
          <reference field="1" count="1">
            <x v="255"/>
          </reference>
        </references>
      </pivotArea>
    </format>
    <format dxfId="15">
      <pivotArea dataOnly="0" labelOnly="1" fieldPosition="0">
        <references count="2">
          <reference field="0" count="1" selected="0">
            <x v="268"/>
          </reference>
          <reference field="1" count="1">
            <x v="258"/>
          </reference>
        </references>
      </pivotArea>
    </format>
    <format dxfId="14">
      <pivotArea dataOnly="0" labelOnly="1" fieldPosition="0">
        <references count="2">
          <reference field="0" count="1" selected="0">
            <x v="95"/>
          </reference>
          <reference field="1" count="1">
            <x v="106"/>
          </reference>
        </references>
      </pivotArea>
    </format>
    <format dxfId="13">
      <pivotArea dataOnly="0" labelOnly="1" fieldPosition="0">
        <references count="2">
          <reference field="0" count="1" selected="0">
            <x v="47"/>
          </reference>
          <reference field="1" count="1">
            <x v="63"/>
          </reference>
        </references>
      </pivotArea>
    </format>
    <format dxfId="12">
      <pivotArea dataOnly="0" labelOnly="1" fieldPosition="0">
        <references count="2">
          <reference field="0" count="1" selected="0">
            <x v="265"/>
          </reference>
          <reference field="1" count="1">
            <x v="254"/>
          </reference>
        </references>
      </pivotArea>
    </format>
    <format dxfId="11">
      <pivotArea dataOnly="0" labelOnly="1" fieldPosition="0">
        <references count="2">
          <reference field="0" count="1" selected="0">
            <x v="222"/>
          </reference>
          <reference field="1" count="1">
            <x v="260"/>
          </reference>
        </references>
      </pivotArea>
    </format>
    <format dxfId="10">
      <pivotArea dataOnly="0" labelOnly="1" fieldPosition="0">
        <references count="2">
          <reference field="0" count="1" selected="0">
            <x v="96"/>
          </reference>
          <reference field="1" count="1">
            <x v="98"/>
          </reference>
        </references>
      </pivotArea>
    </format>
    <format dxfId="9">
      <pivotArea dataOnly="0" labelOnly="1" fieldPosition="0">
        <references count="2">
          <reference field="0" count="1" selected="0">
            <x v="135"/>
          </reference>
          <reference field="1" count="1">
            <x v="148"/>
          </reference>
        </references>
      </pivotArea>
    </format>
    <format dxfId="8">
      <pivotArea dataOnly="0" labelOnly="1" fieldPosition="0">
        <references count="2">
          <reference field="0" count="1" selected="0">
            <x v="267"/>
          </reference>
          <reference field="1" count="1">
            <x v="257"/>
          </reference>
        </references>
      </pivotArea>
    </format>
    <format dxfId="7">
      <pivotArea dataOnly="0" labelOnly="1" fieldPosition="0">
        <references count="2">
          <reference field="0" count="1" selected="0">
            <x v="184"/>
          </reference>
          <reference field="1" count="1">
            <x v="259"/>
          </reference>
        </references>
      </pivotArea>
    </format>
    <format dxfId="6">
      <pivotArea dataOnly="0" labelOnly="1" outline="0" axis="axisValues" fieldPosition="0"/>
    </format>
  </formats>
  <pivotTableStyleInfo name="PivotStyleLight19"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6F2449-DE15-4D95-A71F-3BA4F069E6C5}" autoFormatId="16" applyNumberFormats="0" applyBorderFormats="0" applyFontFormats="0" applyPatternFormats="0" applyAlignmentFormats="0" applyWidthHeightFormats="0">
  <queryTableRefresh nextId="12" unboundColumnsRight="3">
    <queryTableFields count="11">
      <queryTableField id="1" name="Coin Name" tableColumnId="1"/>
      <queryTableField id="2" name="Symbol" tableColumnId="2"/>
      <queryTableField id="3" name="Price (USD)" tableColumnId="3"/>
      <queryTableField id="4" name="1h Change (%)" tableColumnId="4"/>
      <queryTableField id="5" name="Market Cap" tableColumnId="5"/>
      <queryTableField id="6" name="Volume (24h) USD" tableColumnId="6"/>
      <queryTableField id="7" name="Circulating Supply" tableColumnId="7"/>
      <queryTableField id="8" name="Circulating_Supply($)" tableColumnId="8"/>
      <queryTableField id="9" dataBound="0"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DE841E10-D364-4759-A5B0-12E351A57121}" sourceName="Price Range">
  <pivotTables>
    <pivotTable tabId="3" name="PivotTable1"/>
    <pivotTable tabId="3" name="PivotTable4"/>
    <pivotTable tabId="3" name="PivotTable2"/>
    <pivotTable tabId="3" name="PivotTable5"/>
    <pivotTable tabId="3" name="PivotTable6"/>
    <pivotTable tabId="3" name="PivotTable7"/>
    <pivotTable tabId="3" name="PivotTable8"/>
    <pivotTable tabId="3" name="PivotTable9"/>
    <pivotTable tabId="4" name="PivotTable10"/>
  </pivotTables>
  <data>
    <tabular pivotCacheId="249750574">
      <items count="7">
        <i x="2"/>
        <i x="4" s="1"/>
        <i x="1"/>
        <i x="0"/>
        <i x="5"/>
        <i x="3"/>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24B1E44C-A77C-4190-B2E4-34A079747F3A}" cache="Slicer_Price_Range" caption="Price Range"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4BB5EEF0-AB0E-4E89-9304-852AE03C0DED}" cache="Slicer_Price_Range" caption="Price Range" style="SlicerStyleLight4"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48A44D-CCCE-4AA5-AAE8-43B62B46A656}" name="Table2" displayName="Table2" ref="A1:XFD1048576" totalsRowShown="0">
  <autoFilter ref="A1:XFD1048576" xr:uid="{7248A44D-CCCE-4AA5-AAE8-43B62B46A656}"/>
  <tableColumns count="16384">
    <tableColumn id="1" xr3:uid="{E5F06F5C-7BB9-4C49-AB45-B6A087FD9695}" name="Coin Name"/>
    <tableColumn id="2" xr3:uid="{0EB32377-1889-458B-9188-6F47F7D69515}" name="Symbol"/>
    <tableColumn id="3" xr3:uid="{4D8848BE-D761-4D6B-A042-350072572150}" name="Price (USD)"/>
    <tableColumn id="4" xr3:uid="{8969E7FE-E200-431F-8689-74D4A4AE4868}" name="1h Change (%)"/>
    <tableColumn id="5" xr3:uid="{B83D5B10-6715-4D2B-8E5D-DDFB2BCD8B5E}" name="Market Cap"/>
    <tableColumn id="6" xr3:uid="{2AAEAA4F-1F18-4459-8F84-AAB1CC2C0AEA}" name="Volume (24h) USD"/>
    <tableColumn id="7" xr3:uid="{85723D69-6E13-4039-9293-71E2509BE5A6}" name="Circulating Supply"/>
    <tableColumn id="8" xr3:uid="{41A977A0-3D0E-444A-B260-D10AE4379DC2}" name="Col"/>
    <tableColumn id="9" xr3:uid="{C3B7A30D-6F2F-40F9-9F4F-38C2F9F56F3B}" name="Column2"/>
    <tableColumn id="10" xr3:uid="{8A96F0BF-1EB3-4C9E-9C2E-6EC9B667FF6C}" name="Column3"/>
    <tableColumn id="11" xr3:uid="{C7F9B949-534E-4400-950C-3BA9AFE6BD54}" name="Column4"/>
    <tableColumn id="12" xr3:uid="{1E645922-6AE8-4B94-9925-4D19465402E1}" name="Column5"/>
    <tableColumn id="13" xr3:uid="{40CB4255-1F15-454A-B06F-80DE08F1E4DE}" name="Column6"/>
    <tableColumn id="14" xr3:uid="{24A5459C-B146-4BD6-ABA0-93F73CA29460}" name="Column7"/>
    <tableColumn id="15" xr3:uid="{D8E960ED-1826-4901-9864-0F4CDD552C12}" name="Column8"/>
    <tableColumn id="16" xr3:uid="{47FA0FD2-C6A0-498F-87EE-54F20146C233}" name="Column9"/>
    <tableColumn id="17" xr3:uid="{F5FFAF99-086D-41F4-9599-49C7F9590C0B}" name="Column10"/>
    <tableColumn id="18" xr3:uid="{EC7A95BE-A96E-4DAE-A64D-EEA93A405C73}" name="Column11"/>
    <tableColumn id="19" xr3:uid="{54E8A93B-55F1-4414-BE67-BB2358D00193}" name="Column12"/>
    <tableColumn id="20" xr3:uid="{54754FF0-5971-435A-818C-AB843CDC28D9}" name="Column13"/>
    <tableColumn id="21" xr3:uid="{4E535B6D-4384-4EC3-AE16-A774756DBE8D}" name="Column14"/>
    <tableColumn id="22" xr3:uid="{C53EAC7C-44DA-42C3-9CDF-79273E4C1C08}" name="Column15"/>
    <tableColumn id="23" xr3:uid="{0FE991D1-412B-4BF6-9A6D-4965C19E800C}" name="Column16"/>
    <tableColumn id="24" xr3:uid="{4FD634A2-9147-4407-977B-057E81087345}" name="Column17"/>
    <tableColumn id="25" xr3:uid="{2098C194-ECFD-474E-BCCC-63E83C646593}" name="Column18"/>
    <tableColumn id="26" xr3:uid="{3C96B27C-C65F-48D7-BAB4-9D566AF07DFB}" name="Column19"/>
    <tableColumn id="27" xr3:uid="{ECD16443-8298-439B-81B8-29E678E81A26}" name="Column20"/>
    <tableColumn id="28" xr3:uid="{E1E5F655-9344-4BC2-8477-3E43C34C7290}" name="Column21"/>
    <tableColumn id="29" xr3:uid="{FCEFCB9C-E79B-4519-B99B-E621A8C71C41}" name="Column22"/>
    <tableColumn id="30" xr3:uid="{406792A2-AC9C-458E-84C0-C9F0EE39712E}" name="Column23"/>
    <tableColumn id="31" xr3:uid="{35800A7A-6EC4-4ECB-9B39-514D985C3237}" name="Column24"/>
    <tableColumn id="32" xr3:uid="{017254CD-EB2D-4FD1-8B98-5B54E1778096}" name="Column25"/>
    <tableColumn id="33" xr3:uid="{C6559259-EC70-4F3A-86B7-19114901877C}" name="Column26"/>
    <tableColumn id="34" xr3:uid="{1998CD08-02A9-4CFF-99A9-501EBD3083D2}" name="Column27"/>
    <tableColumn id="35" xr3:uid="{4B60CB58-6A97-4F2A-9F7F-4783DEA820A6}" name="Column28"/>
    <tableColumn id="36" xr3:uid="{BA501E24-4848-46CB-AF32-0C9C2892E22F}" name="Column29"/>
    <tableColumn id="37" xr3:uid="{471A4B9F-8459-4526-ABF9-B130A53CF658}" name="Column30"/>
    <tableColumn id="38" xr3:uid="{26B1E7CB-8953-42DD-A58A-DE85D4BE224A}" name="Column31"/>
    <tableColumn id="39" xr3:uid="{E49127A1-AD50-455B-BBBC-EC5486369041}" name="Column32"/>
    <tableColumn id="40" xr3:uid="{61AAA66C-5042-4BF3-B38B-625134699731}" name="Column33"/>
    <tableColumn id="41" xr3:uid="{23B7E6F1-9F20-4679-9556-0763E759676B}" name="Column34"/>
    <tableColumn id="42" xr3:uid="{1CB3D60C-2AA7-4D40-AF20-3B29B90E1D8A}" name="Column35"/>
    <tableColumn id="43" xr3:uid="{E67C1BEC-46E7-42CF-B683-C0E1E362C226}" name="Column36"/>
    <tableColumn id="44" xr3:uid="{EF464393-A0C6-43E8-B577-0F28718264A7}" name="Column37"/>
    <tableColumn id="45" xr3:uid="{92C398B1-5AED-4D86-86B6-F3818C10DDAA}" name="Column38"/>
    <tableColumn id="46" xr3:uid="{B9A599A7-2678-4A7F-BB65-3530A0C7327F}" name="Column39"/>
    <tableColumn id="47" xr3:uid="{8301304A-BD52-4EA0-8D8B-AB8DD363E190}" name="Column40"/>
    <tableColumn id="48" xr3:uid="{B7BF8B03-ABF9-4A78-990A-133206854224}" name="Column41"/>
    <tableColumn id="49" xr3:uid="{8649F5DF-56DF-4C09-994A-EC4315A825D0}" name="Column42"/>
    <tableColumn id="50" xr3:uid="{CC0B9B8C-428B-4AFA-8734-278AB7E6683C}" name="Column43"/>
    <tableColumn id="51" xr3:uid="{88840BD2-5C28-4A07-AE37-4B3FAB317718}" name="Column44"/>
    <tableColumn id="52" xr3:uid="{EF438AFC-A3F7-4B80-A126-89764B1A9052}" name="Column45"/>
    <tableColumn id="53" xr3:uid="{CF3C1779-6F99-4141-A887-951012851F1C}" name="Column46"/>
    <tableColumn id="54" xr3:uid="{E13A9492-284E-42B9-A44C-CFC1E9481D60}" name="Column47"/>
    <tableColumn id="55" xr3:uid="{3A8346BB-5494-4FB0-9844-FF99F312524B}" name="Column48"/>
    <tableColumn id="56" xr3:uid="{4B2250FD-50D4-47A9-861D-809713A10A07}" name="Column49"/>
    <tableColumn id="57" xr3:uid="{013D40A6-5C4A-4381-817A-429BF5CB9FD9}" name="Column50"/>
    <tableColumn id="58" xr3:uid="{C15DF16C-6D70-445E-BF04-82E8EA4B85A1}" name="Column51"/>
    <tableColumn id="59" xr3:uid="{31D99E79-4A68-4AE1-B192-F5173EBE240D}" name="Column52"/>
    <tableColumn id="60" xr3:uid="{48BD3CAA-A287-42D4-B8CD-E96C5CBE85F2}" name="Column53"/>
    <tableColumn id="61" xr3:uid="{267E3AE7-95B5-49E2-B78A-EFF36354BCB2}" name="Column54"/>
    <tableColumn id="62" xr3:uid="{81C927AD-282E-4424-8C5F-E82ABEBFE8D9}" name="Column55"/>
    <tableColumn id="63" xr3:uid="{532927E8-0004-4049-AEA9-C3255CC9CEDA}" name="Column56"/>
    <tableColumn id="64" xr3:uid="{34C3506A-BDB0-4AF8-A706-FF230FC34674}" name="Column57"/>
    <tableColumn id="65" xr3:uid="{694A6B10-EBA3-4B92-8FBB-84EEC991A832}" name="Column58"/>
    <tableColumn id="66" xr3:uid="{516C543B-9085-4209-B957-1D551E69EDAD}" name="Column59"/>
    <tableColumn id="67" xr3:uid="{AC151A4B-18FF-4B61-BA98-0F2B4A0AC39B}" name="Column60"/>
    <tableColumn id="68" xr3:uid="{62B07B3E-1171-440D-95FA-B5904C839B58}" name="Column61"/>
    <tableColumn id="69" xr3:uid="{8438A148-0749-4A95-A5CC-D9C7D3724909}" name="Column62"/>
    <tableColumn id="70" xr3:uid="{284346F7-29F4-4BDB-9485-13BF4419894A}" name="Column63"/>
    <tableColumn id="71" xr3:uid="{A3AA6AEB-A968-4040-BCE9-FED552D9D3DA}" name="Column64"/>
    <tableColumn id="72" xr3:uid="{C94C85D1-916B-4FD2-A141-F4495EDFAA06}" name="Column65"/>
    <tableColumn id="73" xr3:uid="{87D26DB7-527C-4F27-A434-E48FCE3EF786}" name="Column66"/>
    <tableColumn id="74" xr3:uid="{C311CA4A-483D-49BA-B226-518E2627A319}" name="Column67"/>
    <tableColumn id="75" xr3:uid="{715EED18-87A9-4EB7-BE00-76718E3E1C2B}" name="Column68"/>
    <tableColumn id="76" xr3:uid="{50AE6789-8BD1-4FCC-877E-63F28786395E}" name="Column69"/>
    <tableColumn id="77" xr3:uid="{D67C5736-8552-4158-AA83-D4695BEC474F}" name="Column70"/>
    <tableColumn id="78" xr3:uid="{21C0776A-A405-4147-85EF-0FAB9ACB2534}" name="Column71"/>
    <tableColumn id="79" xr3:uid="{C1B3ED8F-71AE-4817-AB31-E16596C6E974}" name="Column72"/>
    <tableColumn id="80" xr3:uid="{F9B0476B-0EAD-4AC0-8B43-0D4681F22AAB}" name="Column73"/>
    <tableColumn id="81" xr3:uid="{01D68BD3-6BB2-4065-B950-9EB52A6BA1EB}" name="Column74"/>
    <tableColumn id="82" xr3:uid="{C57137FF-277C-4168-833E-FA8D2BA58229}" name="Column75"/>
    <tableColumn id="83" xr3:uid="{E62B44FF-9D00-4564-BDA6-370D44423904}" name="Column76"/>
    <tableColumn id="84" xr3:uid="{45A5600C-E445-47F9-AF18-E7061A52A552}" name="Column77"/>
    <tableColumn id="85" xr3:uid="{99C31ED2-D995-43F9-B2B2-44FA998170B7}" name="Column78"/>
    <tableColumn id="86" xr3:uid="{6E636412-73F1-4BFF-847A-8DC55309FBEC}" name="Column79"/>
    <tableColumn id="87" xr3:uid="{B1D6AFAA-12A8-4F95-91C0-3EE993B10D24}" name="Column80"/>
    <tableColumn id="88" xr3:uid="{30AC626C-21DB-4A95-9451-9750510301A1}" name="Column81"/>
    <tableColumn id="89" xr3:uid="{63D862D8-BBA9-4C32-80FF-A58D6ADEB7C1}" name="Column82"/>
    <tableColumn id="90" xr3:uid="{11263D7D-0C68-459D-BAF8-8CD0B4A879D0}" name="Column83"/>
    <tableColumn id="91" xr3:uid="{F8BBF0F5-ACD0-4D2D-80CD-5A8E31320A83}" name="Column84"/>
    <tableColumn id="92" xr3:uid="{C1C3C827-4A50-4DE0-84B9-D481C002D9B7}" name="Column85"/>
    <tableColumn id="93" xr3:uid="{434588B1-DE8A-47A1-8538-6A8B0E6A2861}" name="Column86"/>
    <tableColumn id="94" xr3:uid="{C783CC91-45A5-4F0D-A2CA-A26C2750843F}" name="Column87"/>
    <tableColumn id="95" xr3:uid="{B1C52B58-D4D7-4E49-B2B7-2B07A0829E58}" name="Column88"/>
    <tableColumn id="96" xr3:uid="{559B445C-BEE0-41BB-90B5-7B0F97E688F7}" name="Column89"/>
    <tableColumn id="97" xr3:uid="{46B34967-2884-45EB-B363-089C2A00DEB1}" name="Column90"/>
    <tableColumn id="98" xr3:uid="{847FC87B-ED5C-4CC9-BC58-2CB9DDADA2F5}" name="Column91"/>
    <tableColumn id="99" xr3:uid="{6C9F895A-8F3A-4D45-A431-B174DBB99018}" name="Column92"/>
    <tableColumn id="100" xr3:uid="{5548F661-70C8-4B1D-BEAB-1BFCC6C32CC8}" name="Column93"/>
    <tableColumn id="101" xr3:uid="{D9FD30AE-77A1-4467-ADA3-8D3BE17FEDB4}" name="Column94"/>
    <tableColumn id="102" xr3:uid="{2CC2ACE6-A697-4CA9-A1E5-BAD63D50DF47}" name="Column95"/>
    <tableColumn id="103" xr3:uid="{7F616738-632D-4F6C-AE32-326954DD4290}" name="Column96"/>
    <tableColumn id="104" xr3:uid="{9444A232-A775-413E-B507-8116ACB8AF41}" name="Column97"/>
    <tableColumn id="105" xr3:uid="{CDA3D1FC-36E3-4ADE-8DF8-4CA0184C1D81}" name="Column98"/>
    <tableColumn id="106" xr3:uid="{3DE4B7E0-C1E5-4440-B801-287F64D5342F}" name="Column99"/>
    <tableColumn id="107" xr3:uid="{D2401549-D68B-4C72-9899-A1C94FEA9736}" name="Column100"/>
    <tableColumn id="108" xr3:uid="{3ABD363A-79D3-44ED-A7B9-ECD4BD94C993}" name="Column101"/>
    <tableColumn id="109" xr3:uid="{AF8C7CF5-4786-4AC9-98D7-FCDD9E83CA2A}" name="Column102"/>
    <tableColumn id="110" xr3:uid="{ED96D278-D649-4EE4-B585-A6C1859575CD}" name="Column103"/>
    <tableColumn id="111" xr3:uid="{CD967912-87BA-4B43-B9D9-7841ECC8F820}" name="Column104"/>
    <tableColumn id="112" xr3:uid="{67601D2D-466B-4389-AF68-9F3D6AD6A1AA}" name="Column105"/>
    <tableColumn id="113" xr3:uid="{B3AEDAA6-B168-4A2F-96E9-56494F9840F1}" name="Column106"/>
    <tableColumn id="114" xr3:uid="{C0965CAD-9796-4796-A265-9E77ED2B0B83}" name="Column107"/>
    <tableColumn id="115" xr3:uid="{DB76C373-EA6E-4540-AF5C-C00187601CEB}" name="Column108"/>
    <tableColumn id="116" xr3:uid="{47335C7D-BAA4-4142-9ABA-6A636403DD08}" name="Column109"/>
    <tableColumn id="117" xr3:uid="{2DF7DC57-8EC2-4016-9EDF-7E518C091BBC}" name="Column110"/>
    <tableColumn id="118" xr3:uid="{1B0CA318-0522-4670-9545-A3CCD401A89E}" name="Column111"/>
    <tableColumn id="119" xr3:uid="{07A64351-CFCE-429D-A8F6-47AFF8F2AECE}" name="Column112"/>
    <tableColumn id="120" xr3:uid="{1159E380-4D2C-4561-A873-6ED9A3545F9F}" name="Column113"/>
    <tableColumn id="121" xr3:uid="{D206E1A7-DEBC-46A7-92BE-686286C5D094}" name="Column114"/>
    <tableColumn id="122" xr3:uid="{5C316988-74E0-452C-96C0-F1FB5FC888EB}" name="Column115"/>
    <tableColumn id="123" xr3:uid="{7E9536DE-AAD1-47A3-8BFE-D0992BAF45C3}" name="Column116"/>
    <tableColumn id="124" xr3:uid="{AC93CC00-FEFC-4273-80A6-B96F967837C9}" name="Column117"/>
    <tableColumn id="125" xr3:uid="{4B190B46-CA32-4D19-AF80-547B150A972E}" name="Column118"/>
    <tableColumn id="126" xr3:uid="{9B7EC6A9-6B85-4557-9A71-686BC60EB79B}" name="Column119"/>
    <tableColumn id="127" xr3:uid="{4F50594B-F414-4BBE-8518-1E55F5D7F69B}" name="Column120"/>
    <tableColumn id="128" xr3:uid="{72368596-2BF7-45FF-A0E9-79E6BFD0B8F3}" name="Column121"/>
    <tableColumn id="129" xr3:uid="{AAD1CC3E-322A-47D9-B993-8C0444AB8C3F}" name="Column122"/>
    <tableColumn id="130" xr3:uid="{586DE7D8-0006-4A6F-BE15-42416A56DB8F}" name="Column123"/>
    <tableColumn id="131" xr3:uid="{4AA95566-B9B5-46A1-9421-BB4862646338}" name="Column124"/>
    <tableColumn id="132" xr3:uid="{28C488F1-7493-4CFF-931F-977CE62BC73C}" name="Column125"/>
    <tableColumn id="133" xr3:uid="{39C2BF68-396B-4BF5-B5CE-11E4941B3EDF}" name="Column126"/>
    <tableColumn id="134" xr3:uid="{51E0115E-3597-4948-B841-7EE381A046E7}" name="Column127"/>
    <tableColumn id="135" xr3:uid="{7F4519E5-4949-483B-94D0-AF7E88C61FA7}" name="Column128"/>
    <tableColumn id="136" xr3:uid="{899A056F-69C6-43C0-9C20-6D33FAA3FBEB}" name="Column129"/>
    <tableColumn id="137" xr3:uid="{A4307B25-F0A5-4D89-894F-6B07BB3133A1}" name="Column130"/>
    <tableColumn id="138" xr3:uid="{806D2157-1628-4154-981D-B82DF597D874}" name="Column131"/>
    <tableColumn id="139" xr3:uid="{B2E2C92B-7437-42AC-B618-49AEEE42E0A8}" name="Column132"/>
    <tableColumn id="140" xr3:uid="{B11E6304-FFC4-4AC3-9638-92F025FB01AC}" name="Column133"/>
    <tableColumn id="141" xr3:uid="{ED2C3AC2-94B4-49C7-B5BC-E96EEF2646AA}" name="Column134"/>
    <tableColumn id="142" xr3:uid="{98B2D807-F015-4CAC-A8A6-0C24F34B1B28}" name="Column135"/>
    <tableColumn id="143" xr3:uid="{54804081-EB3D-4972-A4EC-1CCD0092D400}" name="Column136"/>
    <tableColumn id="144" xr3:uid="{78FA665A-E52A-44C0-8485-38E300BA42F1}" name="Column137"/>
    <tableColumn id="145" xr3:uid="{8A0FA119-8B8A-4533-8EBC-25DD66B1599C}" name="Column138"/>
    <tableColumn id="146" xr3:uid="{219A44ED-532D-4B45-976D-A74DFF9BF199}" name="Column139"/>
    <tableColumn id="147" xr3:uid="{FD57DB8F-3740-4296-94F6-632F31F13484}" name="Column140"/>
    <tableColumn id="148" xr3:uid="{30FF3F34-0F17-4DDC-8B94-8FA87175F3A8}" name="Column141"/>
    <tableColumn id="149" xr3:uid="{3D5E60B8-FC8B-4657-A79C-02428CF01B39}" name="Column142"/>
    <tableColumn id="150" xr3:uid="{93836EF9-4646-4F6A-81CC-AF071727F24E}" name="Column143"/>
    <tableColumn id="151" xr3:uid="{D52C5C66-3BA2-4648-A857-7C4D54FE0B40}" name="Column144"/>
    <tableColumn id="152" xr3:uid="{F0A22157-6897-4EBB-821B-CFA92475D934}" name="Column145"/>
    <tableColumn id="153" xr3:uid="{91E6EB21-F98D-4650-B24E-5944AC708780}" name="Column146"/>
    <tableColumn id="154" xr3:uid="{A42F7823-EE27-476E-92E6-D10FC389A65C}" name="Column147"/>
    <tableColumn id="155" xr3:uid="{EBD97529-9800-4CA7-86B2-D19061ECE3F2}" name="Column148"/>
    <tableColumn id="156" xr3:uid="{3460D7D7-6CC0-48B3-A4E1-1B37383FDC91}" name="Column149"/>
    <tableColumn id="157" xr3:uid="{F05872B1-6FBC-409C-90DB-CAE5A71D2818}" name="Column150"/>
    <tableColumn id="158" xr3:uid="{4B3BBE20-5655-46C0-9F13-D32C3F04E5C7}" name="Column151"/>
    <tableColumn id="159" xr3:uid="{C4D32E17-9DEE-44A8-A3EA-B38F821B750C}" name="Column152"/>
    <tableColumn id="160" xr3:uid="{BBEF2B15-C543-45A1-BE1C-75AAA1D1C8EC}" name="Column153"/>
    <tableColumn id="161" xr3:uid="{DAAD2655-AD6D-44BE-8E1E-3E41A4CA1194}" name="Column154"/>
    <tableColumn id="162" xr3:uid="{98F6FD61-4667-40FB-BE39-8968689DDDB7}" name="Column155"/>
    <tableColumn id="163" xr3:uid="{7AADF299-0955-41D6-AC6B-2E102930BF07}" name="Column156"/>
    <tableColumn id="164" xr3:uid="{24F2F061-C0E3-4342-9414-58397527DAFE}" name="Column157"/>
    <tableColumn id="165" xr3:uid="{4D5E99E6-83FA-4606-9D63-6831D0850512}" name="Column158"/>
    <tableColumn id="166" xr3:uid="{7DD9AE8C-4275-41A7-A4E7-FF2CF22DC1EF}" name="Column159"/>
    <tableColumn id="167" xr3:uid="{3FDAC7E4-2174-4A29-A799-7B8A2165686A}" name="Column160"/>
    <tableColumn id="168" xr3:uid="{484E78D2-1469-4882-900E-C232E77D05EF}" name="Column161"/>
    <tableColumn id="169" xr3:uid="{EC59F664-CAB6-4A16-9320-3F774896B8DA}" name="Column162"/>
    <tableColumn id="170" xr3:uid="{15ADAA19-5422-4EB6-AC76-BC4E129516D2}" name="Column163"/>
    <tableColumn id="171" xr3:uid="{9A03E99C-E362-4374-85EF-4E9C4C8129D3}" name="Column164"/>
    <tableColumn id="172" xr3:uid="{0F9E1388-EE50-49E6-B82A-8B8023790C0B}" name="Column165"/>
    <tableColumn id="173" xr3:uid="{9E187AE6-D175-415E-B992-A8B732225060}" name="Column166"/>
    <tableColumn id="174" xr3:uid="{B6D4022C-8F85-4ADA-A69C-E3533F3FE9CA}" name="Column167"/>
    <tableColumn id="175" xr3:uid="{7A35A6DC-A019-4DEC-9979-90992ED90A96}" name="Column168"/>
    <tableColumn id="176" xr3:uid="{3E7E0B36-11E1-476B-BA0D-94978778A0AF}" name="Column169"/>
    <tableColumn id="177" xr3:uid="{ECBDC50A-85A9-4058-A6D2-BA4DC6977C8C}" name="Column170"/>
    <tableColumn id="178" xr3:uid="{3616FE09-5D91-4970-B273-7F21492D1DD6}" name="Column171"/>
    <tableColumn id="179" xr3:uid="{9FDD1F65-2115-42B2-A1B8-9E4BF3771A2F}" name="Column172"/>
    <tableColumn id="180" xr3:uid="{D055DB25-2674-4122-8F29-683A370E790A}" name="Column173"/>
    <tableColumn id="181" xr3:uid="{F46AEB3F-EE0C-43B3-A84A-76579AAFCDB8}" name="Column174"/>
    <tableColumn id="182" xr3:uid="{4BEF73D1-846C-4E2D-90C1-E150AFFF383E}" name="Column175"/>
    <tableColumn id="183" xr3:uid="{7F262DDC-CB6B-48F2-ACD1-80D33FA50C7B}" name="Column176"/>
    <tableColumn id="184" xr3:uid="{E86635C3-06D4-43AB-B8C5-C24F1615FDB2}" name="Column177"/>
    <tableColumn id="185" xr3:uid="{F19649C8-70C7-4196-97C7-B5689B40BC52}" name="Column178"/>
    <tableColumn id="186" xr3:uid="{B5F59AAC-4C6F-4437-92F3-72F1652E8D82}" name="Column179"/>
    <tableColumn id="187" xr3:uid="{F7E9C4D6-8613-4CCA-ADE3-E52824B57B1E}" name="Column180"/>
    <tableColumn id="188" xr3:uid="{493C71C3-FDEA-4513-AA22-1B1B35D76F0E}" name="Column181"/>
    <tableColumn id="189" xr3:uid="{D49999C0-FAD7-4CBA-BC4D-300563DD5450}" name="Column182"/>
    <tableColumn id="190" xr3:uid="{5225784A-02BA-4DDD-9AA0-D20CEBB943C1}" name="Column183"/>
    <tableColumn id="191" xr3:uid="{1F6F1C8A-2951-445C-AA14-ADADEE0C617F}" name="Column184"/>
    <tableColumn id="192" xr3:uid="{70A5385B-D716-40B4-8D20-3A5DCB399771}" name="Column185"/>
    <tableColumn id="193" xr3:uid="{A71670D0-4AF4-438D-B99D-BAC61E2A56E3}" name="Column186"/>
    <tableColumn id="194" xr3:uid="{CD641FED-916C-4AC7-A540-8E249D7CC10F}" name="Column187"/>
    <tableColumn id="195" xr3:uid="{662AA647-F6E2-4869-A3E0-84F0FD6A5C42}" name="Column188"/>
    <tableColumn id="196" xr3:uid="{9AF5261C-2613-4C82-AF8F-ED36ACFBC21B}" name="Column189"/>
    <tableColumn id="197" xr3:uid="{1CF5BC6A-FD98-430C-BAFE-A3B7E820D45D}" name="Column190"/>
    <tableColumn id="198" xr3:uid="{9AB85973-248F-4EF4-A49F-63DBF4B853B5}" name="Column191"/>
    <tableColumn id="199" xr3:uid="{2FFFF9DD-964F-4ECA-8D19-42196F4C2645}" name="Column192"/>
    <tableColumn id="200" xr3:uid="{F02DC3D9-450B-46F2-AC5D-69C219B61D87}" name="Column193"/>
    <tableColumn id="201" xr3:uid="{34141D4D-879B-43AE-AB54-B400834EA4C8}" name="Column194"/>
    <tableColumn id="202" xr3:uid="{B69237EB-B13F-4508-AC45-0596A39174A6}" name="Column195"/>
    <tableColumn id="203" xr3:uid="{13DCF3F1-2332-4ADF-B712-9614775F6DEC}" name="Column196"/>
    <tableColumn id="204" xr3:uid="{6F124018-7FDC-43DA-ABFD-69DE11C27A45}" name="Column197"/>
    <tableColumn id="205" xr3:uid="{D4F836F3-E73C-4B33-932E-38C9AC8A9C14}" name="Column198"/>
    <tableColumn id="206" xr3:uid="{7009D917-3B78-42E8-9D4C-33C14F6A940A}" name="Column199"/>
    <tableColumn id="207" xr3:uid="{45225167-FD3D-4048-B793-C490BE9B52C9}" name="Column200"/>
    <tableColumn id="208" xr3:uid="{2189A54B-D56D-45A5-B2D6-5161D9AB4D87}" name="Column201"/>
    <tableColumn id="209" xr3:uid="{0755FFA2-3941-4555-B776-8F5D8CF34943}" name="Column202"/>
    <tableColumn id="210" xr3:uid="{F9C7DD60-EF32-4FA2-A892-CF31B211474C}" name="Column203"/>
    <tableColumn id="211" xr3:uid="{716E497A-E3BC-4F0D-BED1-2533FABE50CF}" name="Column204"/>
    <tableColumn id="212" xr3:uid="{0808AFD9-4648-42F9-81D8-4C64E7D8D2BF}" name="Column205"/>
    <tableColumn id="213" xr3:uid="{02509D85-A391-4BC7-AEDF-4B368ED2CE6A}" name="Column206"/>
    <tableColumn id="214" xr3:uid="{D0BBF9F6-CDA3-4050-B4C6-BBE3544317E7}" name="Column207"/>
    <tableColumn id="215" xr3:uid="{06CDD8EE-1CD0-47ED-9D2C-2BD086F2D416}" name="Column208"/>
    <tableColumn id="216" xr3:uid="{F879512E-D004-4B20-84EF-7E82F012C6AD}" name="Column209"/>
    <tableColumn id="217" xr3:uid="{C051FC9C-29F3-4EDE-9ECC-986EC25907BC}" name="Column210"/>
    <tableColumn id="218" xr3:uid="{7F6311D5-3F43-4C1D-B22A-30D7E586ABB9}" name="Column211"/>
    <tableColumn id="219" xr3:uid="{28DE9863-979A-4F3B-AC95-98923FF6FEC1}" name="Column212"/>
    <tableColumn id="220" xr3:uid="{20361EA5-0EDE-478B-A2DE-EAB73DB95B7C}" name="Column213"/>
    <tableColumn id="221" xr3:uid="{615C2B9F-91D3-4906-B18A-7BC06DEF31DA}" name="Column214"/>
    <tableColumn id="222" xr3:uid="{440A70F6-FFC8-4733-9CB6-39129A20F956}" name="Column215"/>
    <tableColumn id="223" xr3:uid="{7BE97213-D842-4877-9FEF-35005B3D41CD}" name="Column216"/>
    <tableColumn id="224" xr3:uid="{35EE8E8D-68AB-4C9A-80BF-01BB4B17670B}" name="Column217"/>
    <tableColumn id="225" xr3:uid="{9D634FD6-FB47-45D0-8AA6-7C81AA39D32D}" name="Column218"/>
    <tableColumn id="226" xr3:uid="{CD9AF1C5-C783-4D88-9F97-25A585633A24}" name="Column219"/>
    <tableColumn id="227" xr3:uid="{EA8F68BE-FFAD-4B3E-B8DA-C5DC91AE1285}" name="Column220"/>
    <tableColumn id="228" xr3:uid="{4133031B-3EF3-4703-B920-4C3CC4FB2D58}" name="Column221"/>
    <tableColumn id="229" xr3:uid="{589CB854-D3D0-446D-BD98-5720829251E2}" name="Column222"/>
    <tableColumn id="230" xr3:uid="{AF96527A-B595-4F0F-AE0D-17F6704D5DE5}" name="Column223"/>
    <tableColumn id="231" xr3:uid="{6C9B34EA-4E1A-4C6C-9014-16ED07BBD77F}" name="Column224"/>
    <tableColumn id="232" xr3:uid="{FE838B0A-C693-4F06-8A2F-037979B51C53}" name="Column225"/>
    <tableColumn id="233" xr3:uid="{E9E0CBA1-8DCB-4705-ACB1-2AE0D980BD36}" name="Column226"/>
    <tableColumn id="234" xr3:uid="{3D1675E8-0AE4-4CAB-8596-FB05868753E1}" name="Column227"/>
    <tableColumn id="235" xr3:uid="{63711870-BF82-42C5-AF02-1D25096B1C4F}" name="Column228"/>
    <tableColumn id="236" xr3:uid="{125DC456-FD9B-4225-8EB4-3E71D11953BD}" name="Column229"/>
    <tableColumn id="237" xr3:uid="{A36956B2-5F23-446C-A879-A2CA45D5E685}" name="Column230"/>
    <tableColumn id="238" xr3:uid="{5DB076F2-7667-4872-953A-CAC1E7DF3573}" name="Column231"/>
    <tableColumn id="239" xr3:uid="{F4EE7829-E851-4F3D-9929-955E5ED4DAA4}" name="Column232"/>
    <tableColumn id="240" xr3:uid="{A565A2E7-D61E-49FB-972F-15B52B7F2447}" name="Column233"/>
    <tableColumn id="241" xr3:uid="{DDC41A26-6EF3-43D7-9134-0221A047878A}" name="Column234"/>
    <tableColumn id="242" xr3:uid="{C7A78BB8-0A24-475E-8A21-C230BDEB853A}" name="Column235"/>
    <tableColumn id="243" xr3:uid="{2146C957-4921-49EB-A6AE-727C935F8D29}" name="Column236"/>
    <tableColumn id="244" xr3:uid="{96379F34-3412-4F40-8372-A85C944F1D2B}" name="Column237"/>
    <tableColumn id="245" xr3:uid="{DEDB4F4A-4D14-4633-BE9C-69B74B8C600C}" name="Column238"/>
    <tableColumn id="246" xr3:uid="{62E3C009-2C96-482B-9F10-5A55FCE12AC2}" name="Column239"/>
    <tableColumn id="247" xr3:uid="{5BCD0839-0304-443D-B0A6-5E179C03112D}" name="Column240"/>
    <tableColumn id="248" xr3:uid="{470CB339-4828-4B49-A97F-C1AA70BD5E2B}" name="Column241"/>
    <tableColumn id="249" xr3:uid="{634279A9-F43A-4EAD-9C08-955B72998544}" name="Column242"/>
    <tableColumn id="250" xr3:uid="{19C58CF1-65CB-4D56-ACA3-CF713FBF7BF0}" name="Column243"/>
    <tableColumn id="251" xr3:uid="{7127460C-6432-4CC1-8905-659742FC9AD8}" name="Column244"/>
    <tableColumn id="252" xr3:uid="{DA225742-33E5-43A1-8828-9D397D67D3FE}" name="Column245"/>
    <tableColumn id="253" xr3:uid="{0576D604-3BD0-48EC-9673-9E82CB109E7B}" name="Column246"/>
    <tableColumn id="254" xr3:uid="{749C6546-90A2-426F-B9C7-6970CD6DE157}" name="Column247"/>
    <tableColumn id="255" xr3:uid="{D633BDCB-19E1-45D9-94D8-8A6E434ABF25}" name="Column248"/>
    <tableColumn id="256" xr3:uid="{B11162B9-688D-4A2C-A9FF-90CFAA717B44}" name="Column249"/>
    <tableColumn id="257" xr3:uid="{29C0925F-5F21-49E8-8261-F558C5E26EB9}" name="Column250"/>
    <tableColumn id="258" xr3:uid="{F4BD3EE2-BF98-4E3B-B8B7-42DF98C89C15}" name="Column251"/>
    <tableColumn id="259" xr3:uid="{46705C70-5A8C-4C8C-995B-158A40E2315F}" name="Column252"/>
    <tableColumn id="260" xr3:uid="{D8E0F530-824D-444B-8BF5-3B4B5DB9B461}" name="Column253"/>
    <tableColumn id="261" xr3:uid="{EF98A5D7-A456-44C5-AB51-96D82B274D73}" name="Column254"/>
    <tableColumn id="262" xr3:uid="{3B32A1CE-9A15-46C9-AD15-0122B719C49F}" name="Column255"/>
    <tableColumn id="263" xr3:uid="{DD336853-4525-48F3-8BE9-39A94785CCD4}" name="Column256"/>
    <tableColumn id="264" xr3:uid="{9D6FA198-4CEA-416A-80D0-BCE6D0C66715}" name="Column257"/>
    <tableColumn id="265" xr3:uid="{99687389-0730-476A-990B-7C2FCC00C61D}" name="Column258"/>
    <tableColumn id="266" xr3:uid="{5BC8E117-9DF3-447D-956A-5E588C6E7B54}" name="Column259"/>
    <tableColumn id="267" xr3:uid="{6E28B7E0-CF66-4505-B5F0-6EF7DE6590C0}" name="Column260"/>
    <tableColumn id="268" xr3:uid="{D283F349-25E4-482A-984D-BD774C3D66AB}" name="Column261"/>
    <tableColumn id="269" xr3:uid="{721F88A0-62F8-40A0-824F-C107C40A17D0}" name="Column262"/>
    <tableColumn id="270" xr3:uid="{014A14FC-8F50-4D1F-B568-83F5CD85B282}" name="Column263"/>
    <tableColumn id="271" xr3:uid="{B5A48D46-864E-43FB-B75F-1966806E2C52}" name="Column264"/>
    <tableColumn id="272" xr3:uid="{A77AB862-9320-4A12-9862-F004F49F94D8}" name="Column265"/>
    <tableColumn id="273" xr3:uid="{375D9315-08D1-49A6-813E-038F75C0049F}" name="Column266"/>
    <tableColumn id="274" xr3:uid="{DA6A45FE-4258-4872-9DF3-3AF29E9E118F}" name="Column267"/>
    <tableColumn id="275" xr3:uid="{0D5E9750-7CF6-424A-A479-797169D15443}" name="Column268"/>
    <tableColumn id="276" xr3:uid="{E8723A53-7639-484A-91D5-A47095593785}" name="Column269"/>
    <tableColumn id="277" xr3:uid="{2F54632C-4896-4E2D-8BE5-0D38381BF808}" name="Column270"/>
    <tableColumn id="278" xr3:uid="{2B34A4C2-38ED-4472-A590-AFB2D3A12203}" name="Column271"/>
    <tableColumn id="279" xr3:uid="{DC6700A1-B207-48B7-B48A-DBA4D5E644A0}" name="Column272"/>
    <tableColumn id="280" xr3:uid="{CD30B630-DC73-48C4-B14E-B1AC50E701E9}" name="Column273"/>
    <tableColumn id="281" xr3:uid="{C901A271-274B-47D5-BF00-414CC9EC7380}" name="Column274"/>
    <tableColumn id="282" xr3:uid="{F2DDFF0F-C7EA-4127-B934-4A9DCD741317}" name="Column275"/>
    <tableColumn id="283" xr3:uid="{78EA1923-C687-4EC4-888D-9F0E31472EC8}" name="Column276"/>
    <tableColumn id="284" xr3:uid="{75D52D25-2DFB-4264-9DC5-627D71D9105A}" name="Column277"/>
    <tableColumn id="285" xr3:uid="{7AE3B190-CBE6-4DE6-80F4-43A5C73B6F2F}" name="Column278"/>
    <tableColumn id="286" xr3:uid="{F0A8F651-609D-40D1-A990-B6350F328FA3}" name="Column279"/>
    <tableColumn id="287" xr3:uid="{2908A2F9-0C3C-4673-B24A-5B8F18DA335F}" name="Column280"/>
    <tableColumn id="288" xr3:uid="{658DCEA9-471D-4EF9-8DE7-315F46DAD420}" name="Column281"/>
    <tableColumn id="289" xr3:uid="{9BFD944F-45E0-417C-B07D-991960414927}" name="Column282"/>
    <tableColumn id="290" xr3:uid="{FA14749E-2715-4115-88C3-B6C03170D5EE}" name="Column283"/>
    <tableColumn id="291" xr3:uid="{A0A0639E-365C-46A3-8A59-2418BCBFF96A}" name="Column284"/>
    <tableColumn id="292" xr3:uid="{C4E43D9D-7B09-4D4E-A076-894EBFCF158F}" name="Column285"/>
    <tableColumn id="293" xr3:uid="{0DB71615-230E-4C3D-8EEE-F6FB0ED485D4}" name="Column286"/>
    <tableColumn id="294" xr3:uid="{A39DB647-D799-4387-B220-BB2F89C7A2D9}" name="Column287"/>
    <tableColumn id="295" xr3:uid="{CA69250A-F143-4077-BECA-BBEA2DB81FFD}" name="Column288"/>
    <tableColumn id="296" xr3:uid="{03504D12-2467-4761-932D-213C51915F75}" name="Column289"/>
    <tableColumn id="297" xr3:uid="{3AAFDFB7-0892-4B11-9313-EBF4FAD76FE6}" name="Column290"/>
    <tableColumn id="298" xr3:uid="{B0D3BD4D-C53F-407C-929D-AFACB1D9DE09}" name="Column291"/>
    <tableColumn id="299" xr3:uid="{0F55F76A-E527-4D69-A0AC-54FD9367791B}" name="Column292"/>
    <tableColumn id="300" xr3:uid="{0BC86674-69FE-4193-AF8B-6FF900E47443}" name="Column293"/>
    <tableColumn id="301" xr3:uid="{354C611A-E38B-41E8-9D7C-D40A99530989}" name="Column294"/>
    <tableColumn id="302" xr3:uid="{6EE4C4A6-95A1-488E-B261-3AB5971C0A96}" name="Column295"/>
    <tableColumn id="303" xr3:uid="{DF2A4813-EEEB-4828-80A6-C5CE26EF052B}" name="Column296"/>
    <tableColumn id="304" xr3:uid="{1B93E67C-D95D-4039-A794-9012695C2C89}" name="Column297"/>
    <tableColumn id="305" xr3:uid="{0E4760ED-84F3-4DB0-859A-863DC95242A8}" name="Column298"/>
    <tableColumn id="306" xr3:uid="{DF62ABA4-61AE-4240-9AA6-23A54A303BE9}" name="Column299"/>
    <tableColumn id="307" xr3:uid="{4E62D05A-6697-445E-A123-64950AFFC6ED}" name="Column300"/>
    <tableColumn id="308" xr3:uid="{0BEDD0A4-0570-4244-A457-9BA27E9E9D48}" name="Column301"/>
    <tableColumn id="309" xr3:uid="{72C6134B-ABCF-44B6-9E1D-5A1E365B27D3}" name="Column302"/>
    <tableColumn id="310" xr3:uid="{D2976314-8FAA-4065-812F-38937C30F5AE}" name="Column303"/>
    <tableColumn id="311" xr3:uid="{C5DB60CC-2190-466D-99D4-E4FB35C44F2B}" name="Column304"/>
    <tableColumn id="312" xr3:uid="{B5A9C949-6FDF-46DF-ABF5-30CA2E8C1C67}" name="Column305"/>
    <tableColumn id="313" xr3:uid="{FC01C130-5BCF-4909-939F-3B8B3BAE45E9}" name="Column306"/>
    <tableColumn id="314" xr3:uid="{BD6A6AFC-3257-46D0-8461-7CADC004EC91}" name="Column307"/>
    <tableColumn id="315" xr3:uid="{53B92C4E-90AB-4733-8759-8B3EDC2E8554}" name="Column308"/>
    <tableColumn id="316" xr3:uid="{7C86F276-4060-4BEA-9A50-731A598E6C10}" name="Column309"/>
    <tableColumn id="317" xr3:uid="{F8978F8B-E446-4F1F-9F0A-F365AFEC2CA6}" name="Column310"/>
    <tableColumn id="318" xr3:uid="{CD24A054-9F79-4491-97B3-CC1E4C1C8A36}" name="Column311"/>
    <tableColumn id="319" xr3:uid="{1119C1D0-AFFF-4161-BF80-DDC8B8085F12}" name="Column312"/>
    <tableColumn id="320" xr3:uid="{BE1699F0-4690-47E2-BCB8-52B95895BF90}" name="Column313"/>
    <tableColumn id="321" xr3:uid="{19E15C6C-61B0-4B5C-93F1-680FF8DF55AD}" name="Column314"/>
    <tableColumn id="322" xr3:uid="{3E76D6F1-AAF7-440C-B022-3A65F52D2B63}" name="Column315"/>
    <tableColumn id="323" xr3:uid="{582C16D5-0FEB-4B50-9291-DE5048923483}" name="Column316"/>
    <tableColumn id="324" xr3:uid="{FC939DEC-8C16-47ED-A640-3A854D17B506}" name="Column317"/>
    <tableColumn id="325" xr3:uid="{9378AA00-E432-4494-962B-C6309B76A761}" name="Column318"/>
    <tableColumn id="326" xr3:uid="{03BB5234-50D1-4B5F-8F5D-A3897F838CC1}" name="Column319"/>
    <tableColumn id="327" xr3:uid="{4A2D034A-9ABC-4E4D-A99C-00B8DC2CB6F7}" name="Column320"/>
    <tableColumn id="328" xr3:uid="{7B9BD3FC-F868-46D9-97E8-532854500861}" name="Column321"/>
    <tableColumn id="329" xr3:uid="{39D929DA-31D6-4FF7-8458-A3A2F957559F}" name="Column322"/>
    <tableColumn id="330" xr3:uid="{6BF82F04-0CC3-47FD-A22B-809ECADF7DA0}" name="Column323"/>
    <tableColumn id="331" xr3:uid="{3260160E-992A-46E0-A867-43B9F4AAE319}" name="Column324"/>
    <tableColumn id="332" xr3:uid="{52C30CB2-EB29-44A1-A741-652C0E65C7C2}" name="Column325"/>
    <tableColumn id="333" xr3:uid="{F445223B-6E17-45CE-82E8-8E57C5F0BEC3}" name="Column326"/>
    <tableColumn id="334" xr3:uid="{E6D89F3F-E804-4CE5-9C8E-27E9A40F615D}" name="Column327"/>
    <tableColumn id="335" xr3:uid="{0AD22537-7B15-4EB8-98FE-BF57A6EDF3A2}" name="Column328"/>
    <tableColumn id="336" xr3:uid="{428E26FC-FB4F-47F9-A7B1-EA2CA0111C4E}" name="Column329"/>
    <tableColumn id="337" xr3:uid="{36E88C30-A32E-4ACD-BDA1-78852559D359}" name="Column330"/>
    <tableColumn id="338" xr3:uid="{96C2B696-2056-4A38-AADD-BA0900A5DBDF}" name="Column331"/>
    <tableColumn id="339" xr3:uid="{C43F4FED-1707-4986-842D-8134D055C8B3}" name="Column332"/>
    <tableColumn id="340" xr3:uid="{68201950-A5CF-4BEF-AD60-236A7E254E88}" name="Column333"/>
    <tableColumn id="341" xr3:uid="{60547879-1D3C-4096-BFE4-9FC0F05A4604}" name="Column334"/>
    <tableColumn id="342" xr3:uid="{6634CD8D-84BB-468E-A6BD-0DE6DC6D5B0A}" name="Column335"/>
    <tableColumn id="343" xr3:uid="{33EAB1C4-7800-4E8D-9FBF-413C24D5C77D}" name="Column336"/>
    <tableColumn id="344" xr3:uid="{C7C3A515-96B3-491D-BD63-8583616B6F44}" name="Column337"/>
    <tableColumn id="345" xr3:uid="{87E269FD-1D6A-4323-8C46-A214037E9EB9}" name="Column338"/>
    <tableColumn id="346" xr3:uid="{B3468C1C-EB39-4C60-8824-C637C9AF4E19}" name="Column339"/>
    <tableColumn id="347" xr3:uid="{D8323D13-117A-4352-822E-E40C3DE63E2E}" name="Column340"/>
    <tableColumn id="348" xr3:uid="{B52F682D-34A5-43B1-9CAA-D53295748B99}" name="Column341"/>
    <tableColumn id="349" xr3:uid="{72741259-E53A-4FD7-A2C6-A13AF6B13F5F}" name="Column342"/>
    <tableColumn id="350" xr3:uid="{A6825B54-1F4A-4CFC-B34E-7EAFCC01971A}" name="Column343"/>
    <tableColumn id="351" xr3:uid="{CF4E30DD-6BBF-4CFE-AADB-BC69E2AB654A}" name="Column344"/>
    <tableColumn id="352" xr3:uid="{3857D371-B93B-4E59-B94E-704B651DD448}" name="Column345"/>
    <tableColumn id="353" xr3:uid="{162EF07A-9D57-4D64-807A-AC3913852369}" name="Column346"/>
    <tableColumn id="354" xr3:uid="{394D357A-8BA8-4DB9-9022-143B1EA59BC9}" name="Column347"/>
    <tableColumn id="355" xr3:uid="{98B1FEA5-C30D-450C-B8EC-B8A5434B2CB8}" name="Column348"/>
    <tableColumn id="356" xr3:uid="{A3362F5E-506B-4DD9-A276-067E5CA0C82F}" name="Column349"/>
    <tableColumn id="357" xr3:uid="{83DA3F72-B524-45F1-8278-E81D38F5580C}" name="Column350"/>
    <tableColumn id="358" xr3:uid="{83D13127-3C81-4F22-8FD3-06BB1CC6B2EF}" name="Column351"/>
    <tableColumn id="359" xr3:uid="{9B9A0FCA-21F3-4C2F-BBC0-4B24EF0F4D18}" name="Column352"/>
    <tableColumn id="360" xr3:uid="{076A01BA-4327-4606-BA2C-B7C59B3E9254}" name="Column353"/>
    <tableColumn id="361" xr3:uid="{F26B172D-198B-45B8-AD8C-7D6B8D2D8464}" name="Column354"/>
    <tableColumn id="362" xr3:uid="{E7FA7CFF-5F09-442B-AEF0-EC49CE6730B1}" name="Column355"/>
    <tableColumn id="363" xr3:uid="{7D12ED77-958C-43F6-9F0C-0F9FA237E73F}" name="Column356"/>
    <tableColumn id="364" xr3:uid="{2A327EA2-D37A-4AF5-B90D-8FB75CE4368D}" name="Column357"/>
    <tableColumn id="365" xr3:uid="{F2A19813-677D-4E73-9803-1E2659983A24}" name="Column358"/>
    <tableColumn id="366" xr3:uid="{EFCCB174-BCC9-45F1-A360-4C3CAE900591}" name="Column359"/>
    <tableColumn id="367" xr3:uid="{212D3992-853C-4E1F-BAB2-8E8DD95D25E1}" name="Column360"/>
    <tableColumn id="368" xr3:uid="{E9840A5D-DF62-4484-94DD-716F34DCC1F5}" name="Column361"/>
    <tableColumn id="369" xr3:uid="{E638B00D-BF2F-4C72-8CF4-6DF2D440F656}" name="Column362"/>
    <tableColumn id="370" xr3:uid="{F69B0F9F-F912-46CD-9EE6-72EF24DA21F9}" name="Column363"/>
    <tableColumn id="371" xr3:uid="{DB3148CE-9B23-4CF3-8940-F441CAAF974E}" name="Column364"/>
    <tableColumn id="372" xr3:uid="{165E1A1F-E33B-4E68-9D03-EB55F2E09EA1}" name="Column365"/>
    <tableColumn id="373" xr3:uid="{5A5AD4FD-AC1E-4918-8D2C-00528B1791F7}" name="Column366"/>
    <tableColumn id="374" xr3:uid="{5F60FD64-A02E-4753-8711-C977A574AC56}" name="Column367"/>
    <tableColumn id="375" xr3:uid="{6F23ECBE-94A1-4E0C-AB68-E64220660A31}" name="Column368"/>
    <tableColumn id="376" xr3:uid="{B4BAB510-77A0-493E-B878-91F9C9041BA1}" name="Column369"/>
    <tableColumn id="377" xr3:uid="{DF08D21E-DFFF-48DF-840B-9392E1365BDF}" name="Column370"/>
    <tableColumn id="378" xr3:uid="{F9BC0873-358B-4826-952C-7A8633881CB4}" name="Column371"/>
    <tableColumn id="379" xr3:uid="{F9A6C69B-5B05-49DA-B510-C34BCD9C4EB8}" name="Column372"/>
    <tableColumn id="380" xr3:uid="{E05F6E8C-EA09-4B9D-BFB2-614648986AF5}" name="Column373"/>
    <tableColumn id="381" xr3:uid="{094CEC86-3D35-4CC8-A028-33C8811C9E53}" name="Column374"/>
    <tableColumn id="382" xr3:uid="{8ACC2E14-BEA5-4960-AFA3-9C6726C47759}" name="Column375"/>
    <tableColumn id="383" xr3:uid="{2C8CB45C-9495-4D27-BDAF-E5DDE05376A3}" name="Column376"/>
    <tableColumn id="384" xr3:uid="{42AAC2CC-0BAE-42A4-B940-8360720BC838}" name="Column377"/>
    <tableColumn id="385" xr3:uid="{978C500B-35C7-4ED1-BE5D-67C7D69A7CA8}" name="Column378"/>
    <tableColumn id="386" xr3:uid="{9BEE86D3-135F-41A6-8184-B6510247DBF6}" name="Column379"/>
    <tableColumn id="387" xr3:uid="{0A08AFBF-9296-40B4-981A-C0D7F84FF26B}" name="Column380"/>
    <tableColumn id="388" xr3:uid="{266ABDF4-9C3C-4674-B07D-0ADDE824172C}" name="Column381"/>
    <tableColumn id="389" xr3:uid="{0CBC04A7-DB4F-4E23-9272-897B03AC514C}" name="Column382"/>
    <tableColumn id="390" xr3:uid="{FFAEACA6-2AE9-445B-B3AA-20B10E0EC229}" name="Column383"/>
    <tableColumn id="391" xr3:uid="{FD28BB14-91B2-4C3A-BAE3-2AEB682C3E45}" name="Column384"/>
    <tableColumn id="392" xr3:uid="{55B1E316-6E09-4FCC-997B-B4230540E30B}" name="Column385"/>
    <tableColumn id="393" xr3:uid="{6C93CEB2-5275-49E5-8593-FE9CD3858855}" name="Column386"/>
    <tableColumn id="394" xr3:uid="{140D7852-E14B-45A4-895F-5DA8214C88EB}" name="Column387"/>
    <tableColumn id="395" xr3:uid="{3FF25C5A-59A7-40C4-B1A2-E8A4F5E71871}" name="Column388"/>
    <tableColumn id="396" xr3:uid="{24CD4534-1610-4BB6-B357-6F7D5D3848A5}" name="Column389"/>
    <tableColumn id="397" xr3:uid="{C91E77E8-2D58-40DC-8244-2D6FCAA22F15}" name="Column390"/>
    <tableColumn id="398" xr3:uid="{9191FC91-B077-42BB-B588-9B2EDE9B9706}" name="Column391"/>
    <tableColumn id="399" xr3:uid="{56D5C3D9-1ED9-43C5-896E-A86F8C0F7952}" name="Column392"/>
    <tableColumn id="400" xr3:uid="{7EF570CE-590B-49D9-B1A8-6A36772A47EC}" name="Column393"/>
    <tableColumn id="401" xr3:uid="{1E124A4D-3250-498F-B665-A03F1F391543}" name="Column394"/>
    <tableColumn id="402" xr3:uid="{593392F5-CF6A-4997-8A86-F8116B96A0C0}" name="Column395"/>
    <tableColumn id="403" xr3:uid="{820A618D-E1B7-4E41-8395-6AEBA6E6551A}" name="Column396"/>
    <tableColumn id="404" xr3:uid="{C538E201-33D9-45B2-ADCA-8330CA82E0AC}" name="Column397"/>
    <tableColumn id="405" xr3:uid="{292C3B57-1205-4B0A-9B56-9681704DF534}" name="Column398"/>
    <tableColumn id="406" xr3:uid="{C69565CE-862E-482B-89A3-A7508A0B18DC}" name="Column399"/>
    <tableColumn id="407" xr3:uid="{41656507-62B4-4459-8351-03C1CF4108B9}" name="Column400"/>
    <tableColumn id="408" xr3:uid="{64E59E8F-4F4E-45F0-824B-850C511B4BB5}" name="Column401"/>
    <tableColumn id="409" xr3:uid="{468207CB-E150-4452-857E-28FF933EEA48}" name="Column402"/>
    <tableColumn id="410" xr3:uid="{192595E6-D901-464A-8990-7128C6CB51AC}" name="Column403"/>
    <tableColumn id="411" xr3:uid="{3EC15D9A-0A63-490E-A1ED-E34544F47E49}" name="Column404"/>
    <tableColumn id="412" xr3:uid="{3A39032F-4937-464E-B16B-5B9D350DDDC4}" name="Column405"/>
    <tableColumn id="413" xr3:uid="{F7FD8B64-7E61-4B58-A6F1-1D2FDAEB9293}" name="Column406"/>
    <tableColumn id="414" xr3:uid="{D435D70B-7362-4169-9B16-910D5EA32CD3}" name="Column407"/>
    <tableColumn id="415" xr3:uid="{F3557D38-0E07-45B9-B07A-0C1DFE246118}" name="Column408"/>
    <tableColumn id="416" xr3:uid="{D8143830-0E1F-4BD0-8E02-C6803CC050CA}" name="Column409"/>
    <tableColumn id="417" xr3:uid="{A1E1C845-9E20-4B7B-9990-E95C91FC04DA}" name="Column410"/>
    <tableColumn id="418" xr3:uid="{AE0C368B-7084-4C67-8AD7-0B5CE78C65E2}" name="Column411"/>
    <tableColumn id="419" xr3:uid="{752DECF3-328A-4D73-BDED-37D00C968E58}" name="Column412"/>
    <tableColumn id="420" xr3:uid="{0367311E-E888-45CE-92B8-16161BE5B0CD}" name="Column413"/>
    <tableColumn id="421" xr3:uid="{79DCE692-334A-4688-8706-113B4A8443AE}" name="Column414"/>
    <tableColumn id="422" xr3:uid="{DF78C977-3E29-4E61-9B8D-80BA18FC712C}" name="Column415"/>
    <tableColumn id="423" xr3:uid="{7458431A-984F-455B-8F6F-224BB0972615}" name="Column416"/>
    <tableColumn id="424" xr3:uid="{1D583A55-3F61-40EE-B93B-15859496BF3A}" name="Column417"/>
    <tableColumn id="425" xr3:uid="{A38E9BBA-A41E-4EC7-B31E-F9B4D0C33290}" name="Column418"/>
    <tableColumn id="426" xr3:uid="{F3C25FB1-3D12-4565-A253-1BC3A730AE1B}" name="Column419"/>
    <tableColumn id="427" xr3:uid="{5E7C412F-9C2A-4352-814B-6053706F41E8}" name="Column420"/>
    <tableColumn id="428" xr3:uid="{580F9D2A-CD45-4AE6-88C0-51CD1A90507A}" name="Column421"/>
    <tableColumn id="429" xr3:uid="{44B5F5AA-2259-4ECC-A3E9-E519E09DE6D0}" name="Column422"/>
    <tableColumn id="430" xr3:uid="{3CCDF258-4EED-48EA-8EA9-8B422DD2110D}" name="Column423"/>
    <tableColumn id="431" xr3:uid="{1928590B-CFB1-4991-9DB5-128201E919AB}" name="Column424"/>
    <tableColumn id="432" xr3:uid="{E9CDAEEC-0934-4C25-B8B3-3DCF612B4041}" name="Column425"/>
    <tableColumn id="433" xr3:uid="{3EDF308C-FD11-434A-B353-FBF5B56C7ACA}" name="Column426"/>
    <tableColumn id="434" xr3:uid="{3F7FB31A-BD61-41BC-BD5A-5C1617F698E7}" name="Column427"/>
    <tableColumn id="435" xr3:uid="{E03D493B-8BA9-4E25-81F3-213F6EA4B46B}" name="Column428"/>
    <tableColumn id="436" xr3:uid="{1A9F5738-9FFE-4D65-91FD-BBF115B35F68}" name="Column429"/>
    <tableColumn id="437" xr3:uid="{D51FA9C8-EF83-4029-A00C-7B2008F87CA3}" name="Column430"/>
    <tableColumn id="438" xr3:uid="{5E63CBFE-4650-4655-BB50-023625A80843}" name="Column431"/>
    <tableColumn id="439" xr3:uid="{CD1C34E5-DF74-449B-8E28-3E1CE0C4C908}" name="Column432"/>
    <tableColumn id="440" xr3:uid="{78D2FB64-4DCD-4918-9F2B-7343CA3A0777}" name="Column433"/>
    <tableColumn id="441" xr3:uid="{D2287E27-1F58-4613-8D1C-F1BFD0320558}" name="Column434"/>
    <tableColumn id="442" xr3:uid="{5CBE4E8C-9F7F-46F0-AEB2-10CF25E5533F}" name="Column435"/>
    <tableColumn id="443" xr3:uid="{12D2B2AD-49EC-47CA-94D6-FCD71ACD560A}" name="Column436"/>
    <tableColumn id="444" xr3:uid="{124BD0E8-B04C-4D2E-BDAF-E7F3F09511AF}" name="Column437"/>
    <tableColumn id="445" xr3:uid="{20D4D181-A701-48EB-A6A6-BFBDCD33EF81}" name="Column438"/>
    <tableColumn id="446" xr3:uid="{D662FE06-37ED-4CE8-AC48-05BB91B50671}" name="Column439"/>
    <tableColumn id="447" xr3:uid="{1BEC0A08-4018-424C-8D50-515E4EF076CC}" name="Column440"/>
    <tableColumn id="448" xr3:uid="{E9BF3EF2-8265-4610-9BA2-A3E568BDDD93}" name="Column441"/>
    <tableColumn id="449" xr3:uid="{CDD44E8F-36FF-4707-848E-E3CAB24C6B3A}" name="Column442"/>
    <tableColumn id="450" xr3:uid="{63BF571A-875E-429C-BDE5-3E3C5920F8B5}" name="Column443"/>
    <tableColumn id="451" xr3:uid="{45A5EAAE-D867-47C3-B66E-A76751C190DC}" name="Column444"/>
    <tableColumn id="452" xr3:uid="{78FAAA2F-C800-4A37-A6ED-C68E4CE6BCA3}" name="Column445"/>
    <tableColumn id="453" xr3:uid="{53C1BAF6-D060-4E8F-A206-603D22FA8F9B}" name="Column446"/>
    <tableColumn id="454" xr3:uid="{756723F0-AFE2-475B-B4F5-8033201E62E5}" name="Column447"/>
    <tableColumn id="455" xr3:uid="{111AA3BF-C5C3-414A-BE53-715AD0D15322}" name="Column448"/>
    <tableColumn id="456" xr3:uid="{6183F05A-ECA6-49DF-9BBC-BE9EDBC63229}" name="Column449"/>
    <tableColumn id="457" xr3:uid="{C78DF488-716A-4606-A191-9AF8BA877818}" name="Column450"/>
    <tableColumn id="458" xr3:uid="{83397C4F-8CFC-43E0-8654-67E63542C468}" name="Column451"/>
    <tableColumn id="459" xr3:uid="{4CEDCB78-0730-43F1-8A56-437BD91202E2}" name="Column452"/>
    <tableColumn id="460" xr3:uid="{0FD2BA6F-2EB7-410C-A382-913DCAE3734E}" name="Column453"/>
    <tableColumn id="461" xr3:uid="{8B1E0CDB-2327-4B33-AD33-817EF4ADC642}" name="Column454"/>
    <tableColumn id="462" xr3:uid="{A575CDB7-D95D-473C-84A5-B6B3644543D7}" name="Column455"/>
    <tableColumn id="463" xr3:uid="{D8910F1B-F61F-417C-B0B7-8946AD7A4BAC}" name="Column456"/>
    <tableColumn id="464" xr3:uid="{0CEAA69B-1FEC-48B9-AE71-11715C028356}" name="Column457"/>
    <tableColumn id="465" xr3:uid="{024FB813-7CC0-489F-A6E8-70CABCE04289}" name="Column458"/>
    <tableColumn id="466" xr3:uid="{AB470566-4049-4FAE-A234-80FF04F65231}" name="Column459"/>
    <tableColumn id="467" xr3:uid="{FA991ABD-D7AE-4A67-9CEE-261A035BD83B}" name="Column460"/>
    <tableColumn id="468" xr3:uid="{677F7849-AE2E-4EEA-8BBF-243CB6C2926C}" name="Column461"/>
    <tableColumn id="469" xr3:uid="{C4556278-3DCC-433B-AE91-9CB26B29EB6B}" name="Column462"/>
    <tableColumn id="470" xr3:uid="{F88E1A21-8957-4E2B-A1EE-D782F06EB83E}" name="Column463"/>
    <tableColumn id="471" xr3:uid="{B80D9259-F7A9-45E3-AB66-CED5298FE0B9}" name="Column464"/>
    <tableColumn id="472" xr3:uid="{51FE4476-81BC-4069-8B20-45A99303B427}" name="Column465"/>
    <tableColumn id="473" xr3:uid="{820055F9-0998-4908-B87A-4A5A054E9449}" name="Column466"/>
    <tableColumn id="474" xr3:uid="{0213000D-2710-4C6A-842E-BA1EC0C395F4}" name="Column467"/>
    <tableColumn id="475" xr3:uid="{7943F0E9-9EC3-48F9-9C09-F874128423F7}" name="Column468"/>
    <tableColumn id="476" xr3:uid="{AFB94C2D-FF29-4F99-8B7C-728C95399738}" name="Column469"/>
    <tableColumn id="477" xr3:uid="{EA41FF44-22A0-464E-85AD-54B2B9C6B2D5}" name="Column470"/>
    <tableColumn id="478" xr3:uid="{E2ED1DD7-3AFD-4444-B999-51BB364697AA}" name="Column471"/>
    <tableColumn id="479" xr3:uid="{4CDDE3B4-9AA3-4B69-AC57-DA1829FFB2DE}" name="Column472"/>
    <tableColumn id="480" xr3:uid="{B2A4E1F7-AC68-4247-B46D-95E0647ED4A7}" name="Column473"/>
    <tableColumn id="481" xr3:uid="{325090DF-9054-4831-A1DE-9952F70D7506}" name="Column474"/>
    <tableColumn id="482" xr3:uid="{374A8FD2-CA91-417F-B5E3-585CC72E2210}" name="Column475"/>
    <tableColumn id="483" xr3:uid="{F93C4235-B653-4A2D-8E17-5971EC5E0BC6}" name="Column476"/>
    <tableColumn id="484" xr3:uid="{73416B89-A8AF-4BA8-8011-5472C8F767B9}" name="Column477"/>
    <tableColumn id="485" xr3:uid="{A50B2FC6-1E93-4086-BB66-2236413A0F3F}" name="Column478"/>
    <tableColumn id="486" xr3:uid="{D4AAC16A-8442-49A2-A680-C440B56E4234}" name="Column479"/>
    <tableColumn id="487" xr3:uid="{6958BA8C-2B49-4C58-809E-4B715DC068BD}" name="Column480"/>
    <tableColumn id="488" xr3:uid="{7FCFFC25-D063-4B8D-9364-0E4862EE7DAC}" name="Column481"/>
    <tableColumn id="489" xr3:uid="{5094C811-A853-47B5-AF0D-A8658B62E609}" name="Column482"/>
    <tableColumn id="490" xr3:uid="{C08AC3A6-17B0-48C9-BF7B-C10A2434149A}" name="Column483"/>
    <tableColumn id="491" xr3:uid="{3A3E202D-0EE3-4443-AC57-93D330A7C162}" name="Column484"/>
    <tableColumn id="492" xr3:uid="{CDE46D6D-2155-448F-8A97-602CE9AB0F6E}" name="Column485"/>
    <tableColumn id="493" xr3:uid="{B353E2F7-7D92-478F-A5CC-D7A4E6EAE15F}" name="Column486"/>
    <tableColumn id="494" xr3:uid="{E7C50979-BB13-4BA7-BFC7-FEB39625C12F}" name="Column487"/>
    <tableColumn id="495" xr3:uid="{32F1B8E1-A905-48A7-87CF-BCE44CE39137}" name="Column488"/>
    <tableColumn id="496" xr3:uid="{6429309A-927B-46D9-BCE0-74E5F341FEBE}" name="Column489"/>
    <tableColumn id="497" xr3:uid="{3FD7A8F4-E8B2-4391-A397-772ED0DEC634}" name="Column490"/>
    <tableColumn id="498" xr3:uid="{3F751A25-921A-4811-ADD8-EC9CA4B640E2}" name="Column491"/>
    <tableColumn id="499" xr3:uid="{14364AE5-FE48-4C96-8ECC-6C24F6B9F53C}" name="Column492"/>
    <tableColumn id="500" xr3:uid="{A6192C43-ED58-40E1-9677-C46CE26D74D1}" name="Column493"/>
    <tableColumn id="501" xr3:uid="{60A107DF-3F8D-41C1-8B3B-778BECCE7655}" name="Column494"/>
    <tableColumn id="502" xr3:uid="{27708368-122D-4E2A-9BF6-DC0A5600E7EE}" name="Column495"/>
    <tableColumn id="503" xr3:uid="{F58EFB36-BF56-4922-BBFA-F66EC9B36344}" name="Column496"/>
    <tableColumn id="504" xr3:uid="{ADE2CDD3-70FA-4B46-A317-D2A785A64E6A}" name="Column497"/>
    <tableColumn id="505" xr3:uid="{D6EDB1B7-8DBC-4868-AA51-6751CD6347D7}" name="Column498"/>
    <tableColumn id="506" xr3:uid="{EE4DDF80-05B5-4C7A-BD40-67BA2FDC37D9}" name="Column499"/>
    <tableColumn id="507" xr3:uid="{6E339F27-DB1B-4208-8D9B-8CC2F8297C2C}" name="Column500"/>
    <tableColumn id="508" xr3:uid="{D91356BD-400D-4271-AE4E-0EB67B3A61C8}" name="Column501"/>
    <tableColumn id="509" xr3:uid="{4DAFBAC1-0B3A-4808-A24B-9C449396850F}" name="Column502"/>
    <tableColumn id="510" xr3:uid="{B0525780-B3CD-486E-B519-6AEA60F6CEE7}" name="Column503"/>
    <tableColumn id="511" xr3:uid="{1C36E3FC-E430-41CD-9A84-193ED6CE01AA}" name="Column504"/>
    <tableColumn id="512" xr3:uid="{58BFDF10-CB08-46AB-B151-352A9A7D75A7}" name="Column505"/>
    <tableColumn id="513" xr3:uid="{103F0C2E-F84C-4E48-9C53-19B599AA448A}" name="Column506"/>
    <tableColumn id="514" xr3:uid="{6CA8E6DF-10CE-43EC-890B-C3E8CDE36463}" name="Column507"/>
    <tableColumn id="515" xr3:uid="{6B2C0631-EEF2-469D-BA22-17BAF986F856}" name="Column508"/>
    <tableColumn id="516" xr3:uid="{DEEAF1C6-C64C-461E-9D16-306DD34D3243}" name="Column509"/>
    <tableColumn id="517" xr3:uid="{96868A9D-962B-4C2E-8421-5FC875C3D36B}" name="Column510"/>
    <tableColumn id="518" xr3:uid="{73BD6CE0-6F53-4D47-B57F-92D3D094AE29}" name="Column511"/>
    <tableColumn id="519" xr3:uid="{1E5485D5-7750-44D6-A9F9-821651038F28}" name="Column512"/>
    <tableColumn id="520" xr3:uid="{98F1D8DB-6D1A-44D7-9571-14D6EDDEE4A8}" name="Column513"/>
    <tableColumn id="521" xr3:uid="{2BBC618E-5CF4-4C57-8A9C-4FEF66AD5E27}" name="Column514"/>
    <tableColumn id="522" xr3:uid="{8A67A54C-B97A-4822-98E4-63049C4A2AFF}" name="Column515"/>
    <tableColumn id="523" xr3:uid="{EB2BF9B0-7A84-477C-9910-43ACE5C15828}" name="Column516"/>
    <tableColumn id="524" xr3:uid="{C18B07E1-C717-47B3-B957-CE5577DA8FFF}" name="Column517"/>
    <tableColumn id="525" xr3:uid="{4D9E9857-6444-4CB4-B31E-7FA2C60C3B59}" name="Column518"/>
    <tableColumn id="526" xr3:uid="{EEFF020F-C053-411D-8836-2429F3558ACD}" name="Column519"/>
    <tableColumn id="527" xr3:uid="{5D2F818F-E11F-4771-9F54-9B489895B938}" name="Column520"/>
    <tableColumn id="528" xr3:uid="{E79D9DAA-B8B5-48A7-90C3-6544A93341C1}" name="Column521"/>
    <tableColumn id="529" xr3:uid="{A8A293F7-67D2-489E-88C7-68208F4991D5}" name="Column522"/>
    <tableColumn id="530" xr3:uid="{ED39BC37-258C-4C41-B392-9337B65FFD03}" name="Column523"/>
    <tableColumn id="531" xr3:uid="{9E4E1DF4-E5CC-43C5-8E6B-C21529C6CC59}" name="Column524"/>
    <tableColumn id="532" xr3:uid="{52C42C90-F08F-44A8-8416-2D736DD974A7}" name="Column525"/>
    <tableColumn id="533" xr3:uid="{B86259B8-7B84-42F5-BB53-6FAF2543C9B9}" name="Column526"/>
    <tableColumn id="534" xr3:uid="{842984E4-15C4-4C26-A0D9-9F0425A1005F}" name="Column527"/>
    <tableColumn id="535" xr3:uid="{70284AB7-323E-4B59-9929-B8B40D515FDC}" name="Column528"/>
    <tableColumn id="536" xr3:uid="{30F172CD-858A-4BA5-A6CE-25687395ED8B}" name="Column529"/>
    <tableColumn id="537" xr3:uid="{6A759CB6-B372-4E63-94D4-30BD27FE7D0E}" name="Column530"/>
    <tableColumn id="538" xr3:uid="{93438BB1-1E5E-41A0-854D-CCD1048F508F}" name="Column531"/>
    <tableColumn id="539" xr3:uid="{41552E35-BDBE-49B9-BEE0-3D69045B0C78}" name="Column532"/>
    <tableColumn id="540" xr3:uid="{A2EB8578-703D-422F-B4FC-A8288D8CEFC8}" name="Column533"/>
    <tableColumn id="541" xr3:uid="{29001554-1DBB-4DD2-8FCD-28196FC6CECA}" name="Column534"/>
    <tableColumn id="542" xr3:uid="{C6E4B7E9-1E0B-47D9-B0A2-A4FD158DEE6F}" name="Column535"/>
    <tableColumn id="543" xr3:uid="{EB6F1091-7572-411A-B643-592D7E1812E8}" name="Column536"/>
    <tableColumn id="544" xr3:uid="{6ABACC7B-2298-4DD2-98BF-C0E9FAC8A22D}" name="Column537"/>
    <tableColumn id="545" xr3:uid="{BDEE073D-E761-42B4-97E2-33DA9DF31345}" name="Column538"/>
    <tableColumn id="546" xr3:uid="{7B15C889-7B6F-4F9E-809A-1F34D7A9962E}" name="Column539"/>
    <tableColumn id="547" xr3:uid="{C9AF555E-1CE5-4147-B8DC-400910E7808B}" name="Column540"/>
    <tableColumn id="548" xr3:uid="{05A3D431-37AB-4A79-B0BE-918DA3D7C907}" name="Column541"/>
    <tableColumn id="549" xr3:uid="{6B070DEF-C744-4BBF-809F-35AB648C5DD0}" name="Column542"/>
    <tableColumn id="550" xr3:uid="{78A60F1F-673B-4DF4-BF05-0CCFD9097599}" name="Column543"/>
    <tableColumn id="551" xr3:uid="{AA8111F9-F914-48D7-A867-8BC8E9A6665C}" name="Column544"/>
    <tableColumn id="552" xr3:uid="{1E26A15B-5C0C-48AE-9642-D781F809B8F5}" name="Column545"/>
    <tableColumn id="553" xr3:uid="{18E6DDC9-CFEF-4EC0-A25A-5416D1301020}" name="Column546"/>
    <tableColumn id="554" xr3:uid="{37577B9C-647C-4AA5-9341-848A7D46F5F9}" name="Column547"/>
    <tableColumn id="555" xr3:uid="{3E2FF2BD-D7E5-4766-8490-72FE4506E81C}" name="Column548"/>
    <tableColumn id="556" xr3:uid="{79043BC7-36A9-4EFD-B355-7DDC10AB7455}" name="Column549"/>
    <tableColumn id="557" xr3:uid="{9BD7B4D9-9125-4479-8E80-F5D4561265FD}" name="Column550"/>
    <tableColumn id="558" xr3:uid="{06E6C033-AB46-451E-9DDB-E71C8A991B1C}" name="Column551"/>
    <tableColumn id="559" xr3:uid="{5CBFBCFA-D167-47D3-9199-DA0811CC065F}" name="Column552"/>
    <tableColumn id="560" xr3:uid="{8B46A720-4AF5-4782-9204-2B761A97F510}" name="Column553"/>
    <tableColumn id="561" xr3:uid="{3EC8FAB6-86A7-441D-AAB9-B1801DEDF13A}" name="Column554"/>
    <tableColumn id="562" xr3:uid="{E5599095-D374-4408-96AB-DC7F84304490}" name="Column555"/>
    <tableColumn id="563" xr3:uid="{025CDECE-0AF8-4497-8C2E-7BA32F323D60}" name="Column556"/>
    <tableColumn id="564" xr3:uid="{BF6BD903-CF26-4B55-97F6-54257749217F}" name="Column557"/>
    <tableColumn id="565" xr3:uid="{A14FED06-8BA9-42B0-B16E-6B86CE540119}" name="Column558"/>
    <tableColumn id="566" xr3:uid="{35781DF0-FB11-4D20-AC6C-779EADEE0EF6}" name="Column559"/>
    <tableColumn id="567" xr3:uid="{C530C12D-DF7F-4552-A5D9-C21F32A66F2E}" name="Column560"/>
    <tableColumn id="568" xr3:uid="{C1B961D4-80EF-4B9C-A7B8-2953836082EB}" name="Column561"/>
    <tableColumn id="569" xr3:uid="{6EF89E95-C459-4A63-94D3-6B7A9FFDEFB1}" name="Column562"/>
    <tableColumn id="570" xr3:uid="{EADD383F-38BF-430E-BC6F-93042D4A813A}" name="Column563"/>
    <tableColumn id="571" xr3:uid="{1A0B89EC-720A-448C-A279-513DD3473791}" name="Column564"/>
    <tableColumn id="572" xr3:uid="{9A22D9B9-01D3-4D90-A8D9-A749DA795F86}" name="Column565"/>
    <tableColumn id="573" xr3:uid="{0622B6A9-4895-4D65-BA73-978B4B03BC89}" name="Column566"/>
    <tableColumn id="574" xr3:uid="{3D339ACD-5060-46F4-97B0-1150B8CEB6D1}" name="Column567"/>
    <tableColumn id="575" xr3:uid="{3A245512-ABFC-4180-AD8E-335D83898ED0}" name="Column568"/>
    <tableColumn id="576" xr3:uid="{C253EDB9-4447-41B0-9BAE-BB97CE8F4054}" name="Column569"/>
    <tableColumn id="577" xr3:uid="{68C70EF9-C0B4-4D8A-8F9B-F0F4BD560EB3}" name="Column570"/>
    <tableColumn id="578" xr3:uid="{FDA0161E-8F9F-452E-9A24-7C86BE04487E}" name="Column571"/>
    <tableColumn id="579" xr3:uid="{C1C5BF43-E4C0-44CB-BC37-1B8726924DA7}" name="Column572"/>
    <tableColumn id="580" xr3:uid="{01F8F20B-DD6E-490D-8213-1BDED2D35732}" name="Column573"/>
    <tableColumn id="581" xr3:uid="{926FA23B-8B6A-4611-B4B4-937B58DA4AFB}" name="Column574"/>
    <tableColumn id="582" xr3:uid="{31FB8854-8D77-4BAF-A1BE-F8A799C58BA7}" name="Column575"/>
    <tableColumn id="583" xr3:uid="{7EF0EBAC-106A-4E25-9A0A-2FABE120B653}" name="Column576"/>
    <tableColumn id="584" xr3:uid="{D19B56AD-4307-4ABD-9F70-E783C5E871C3}" name="Column577"/>
    <tableColumn id="585" xr3:uid="{8F066401-5E74-4082-B4F9-C40679922269}" name="Column578"/>
    <tableColumn id="586" xr3:uid="{976C8F0F-95CC-475D-93EF-6677CA14D667}" name="Column579"/>
    <tableColumn id="587" xr3:uid="{7DD297BB-AF21-436A-9347-8E8CE7EE4F48}" name="Column580"/>
    <tableColumn id="588" xr3:uid="{B708A6A2-F7FA-493E-9226-16318B9504D3}" name="Column581"/>
    <tableColumn id="589" xr3:uid="{A729A319-45CE-4998-BF02-2045A502D38E}" name="Column582"/>
    <tableColumn id="590" xr3:uid="{A257052D-18DD-4988-9162-E73FB2F5CA2F}" name="Column583"/>
    <tableColumn id="591" xr3:uid="{E0A378B2-749B-4FA6-845C-FCFA83ABBA6C}" name="Column584"/>
    <tableColumn id="592" xr3:uid="{87A4B1D5-291C-436C-AB19-0BD0B89E3928}" name="Column585"/>
    <tableColumn id="593" xr3:uid="{AE948583-15B1-4CBD-A09D-13042C3AFCB7}" name="Column586"/>
    <tableColumn id="594" xr3:uid="{F423549C-24EA-4703-8A60-75D1FB8C86B8}" name="Column587"/>
    <tableColumn id="595" xr3:uid="{D885817C-48AE-486E-B465-63C509697D8E}" name="Column588"/>
    <tableColumn id="596" xr3:uid="{8EF7DA35-12CE-408F-8FBD-2E23C3D2E106}" name="Column589"/>
    <tableColumn id="597" xr3:uid="{B6F90F1E-2290-44A7-813B-E6F3754B60C9}" name="Column590"/>
    <tableColumn id="598" xr3:uid="{EB2FDDC9-AF2E-4293-9848-7EFB1CD7BF15}" name="Column591"/>
    <tableColumn id="599" xr3:uid="{9036720F-BABC-4E93-979A-F851FEE7D056}" name="Column592"/>
    <tableColumn id="600" xr3:uid="{356A5E78-53FD-4701-898B-680FD40BD0C4}" name="Column593"/>
    <tableColumn id="601" xr3:uid="{AE277B5D-82F9-44DC-9286-EE7E51DF8339}" name="Column594"/>
    <tableColumn id="602" xr3:uid="{5261F9E6-EDE4-4F4A-B356-BC231696A627}" name="Column595"/>
    <tableColumn id="603" xr3:uid="{9EA677DD-A107-49CF-BE83-B4106C1CA06B}" name="Column596"/>
    <tableColumn id="604" xr3:uid="{E1D482FE-075B-47E3-9623-AA1A614E2843}" name="Column597"/>
    <tableColumn id="605" xr3:uid="{FD589BCC-8F9D-4D42-8A99-88BD282B5DBA}" name="Column598"/>
    <tableColumn id="606" xr3:uid="{403A5DBE-1E99-48AA-9D08-4772F4F7BF87}" name="Column599"/>
    <tableColumn id="607" xr3:uid="{3409C645-54D5-4FD3-BCDE-93D7837D859E}" name="Column600"/>
    <tableColumn id="608" xr3:uid="{0417D462-33BF-4706-9750-47266DEB0E49}" name="Column601"/>
    <tableColumn id="609" xr3:uid="{AE01AF85-9334-4630-B6C7-6F5C3971AE28}" name="Column602"/>
    <tableColumn id="610" xr3:uid="{BAF327DF-2383-4629-9D06-9FA87CE4DE99}" name="Column603"/>
    <tableColumn id="611" xr3:uid="{B58FC230-DE73-4111-BCCA-B9424EBD97AC}" name="Column604"/>
    <tableColumn id="612" xr3:uid="{33ED581F-212E-400A-85FE-778ECEBD1B6B}" name="Column605"/>
    <tableColumn id="613" xr3:uid="{88F60DFA-0B85-4E72-ACE9-C5BA946F0283}" name="Column606"/>
    <tableColumn id="614" xr3:uid="{8A777CFC-E39A-416A-AEFD-F82A61C2F52D}" name="Column607"/>
    <tableColumn id="615" xr3:uid="{F44C0DB6-C305-4BEA-A8DD-3611379AD62F}" name="Column608"/>
    <tableColumn id="616" xr3:uid="{438C0A39-BA70-4333-80B7-B776A632887C}" name="Column609"/>
    <tableColumn id="617" xr3:uid="{3EA6F68E-D707-48E7-967F-B510EE70C7E1}" name="Column610"/>
    <tableColumn id="618" xr3:uid="{AA04C6D7-4DF2-473C-A71D-F53F008C65AA}" name="Column611"/>
    <tableColumn id="619" xr3:uid="{C3757552-1558-430E-8E26-D99FAC4212CA}" name="Column612"/>
    <tableColumn id="620" xr3:uid="{1F42D36B-854C-470E-8EC2-CE5AD6307130}" name="Column613"/>
    <tableColumn id="621" xr3:uid="{64450CC8-5593-4DEE-8B2D-E2FE1286681F}" name="Column614"/>
    <tableColumn id="622" xr3:uid="{E995307C-EC2A-4D5D-8CB6-6762CC8D643F}" name="Column615"/>
    <tableColumn id="623" xr3:uid="{5C9B6BCD-8ACA-4325-B33D-37C952E2E104}" name="Column616"/>
    <tableColumn id="624" xr3:uid="{F3BB374B-B070-453D-A9AE-45B0DF922339}" name="Column617"/>
    <tableColumn id="625" xr3:uid="{B9B3618B-7F64-48D2-867E-648ADAECFDBE}" name="Column618"/>
    <tableColumn id="626" xr3:uid="{DBF46EAD-CB9C-4783-A346-EA2301077F2E}" name="Column619"/>
    <tableColumn id="627" xr3:uid="{D161A660-DE42-4BBA-9C46-2FBFC5946322}" name="Column620"/>
    <tableColumn id="628" xr3:uid="{8C501507-D700-454D-81B7-4FF1B4F7D370}" name="Column621"/>
    <tableColumn id="629" xr3:uid="{C83321F2-A184-43CA-8A1D-7A1C1B43563D}" name="Column622"/>
    <tableColumn id="630" xr3:uid="{E6596BDC-17C6-4BBD-A345-9CED9BEB5543}" name="Column623"/>
    <tableColumn id="631" xr3:uid="{EBCA30DE-690C-4919-B5AD-3750D1D27460}" name="Column624"/>
    <tableColumn id="632" xr3:uid="{81217ADC-60EC-44B5-BFEC-44FF6FFB7B04}" name="Column625"/>
    <tableColumn id="633" xr3:uid="{A1E99A66-6FE6-45AC-AADC-9574AE1E0A48}" name="Column626"/>
    <tableColumn id="634" xr3:uid="{56CFB7B9-AB08-4E67-8089-E3DB22D8ECEB}" name="Column627"/>
    <tableColumn id="635" xr3:uid="{E755F631-9280-4517-BCA7-5D10100C1588}" name="Column628"/>
    <tableColumn id="636" xr3:uid="{3135000A-29D9-4750-A81F-BACD8B33DE4A}" name="Column629"/>
    <tableColumn id="637" xr3:uid="{47098F78-A959-48A0-ADBD-311B9D3810E6}" name="Column630"/>
    <tableColumn id="638" xr3:uid="{5FED0F3B-519A-49E6-8C08-4B4F5A531D8F}" name="Column631"/>
    <tableColumn id="639" xr3:uid="{325CC0D0-7703-4A14-96F9-FBF92AAF9DF9}" name="Column632"/>
    <tableColumn id="640" xr3:uid="{47D9E855-E2CD-40B4-90E6-EC669DC36F38}" name="Column633"/>
    <tableColumn id="641" xr3:uid="{2A3B4C8F-940D-48A9-A740-38A35398678B}" name="Column634"/>
    <tableColumn id="642" xr3:uid="{9D7C72C6-047C-47C1-B519-9FD25FC30DB8}" name="Column635"/>
    <tableColumn id="643" xr3:uid="{56C8D864-7CC1-4DAA-B116-E55E38F87A7C}" name="Column636"/>
    <tableColumn id="644" xr3:uid="{E48293ED-C31E-4013-A71E-8C604C48E47B}" name="Column637"/>
    <tableColumn id="645" xr3:uid="{72E08250-0EFA-45F6-946F-AFD07FE616E4}" name="Column638"/>
    <tableColumn id="646" xr3:uid="{83EB599C-BFB3-4E3E-978E-E360E2705ED5}" name="Column639"/>
    <tableColumn id="647" xr3:uid="{876B1CA0-97B0-46AE-8A9C-191FCAF9D9FE}" name="Column640"/>
    <tableColumn id="648" xr3:uid="{2113EC53-588E-4682-8B4A-33391CA6EBC3}" name="Column641"/>
    <tableColumn id="649" xr3:uid="{1608D883-7331-4AF1-8527-C8701F6AE3A4}" name="Column642"/>
    <tableColumn id="650" xr3:uid="{ADF626A0-B688-423F-B4CE-FD34F8BA99AE}" name="Column643"/>
    <tableColumn id="651" xr3:uid="{35D69B41-B1E9-4CAA-9F09-ED94545F65B9}" name="Column644"/>
    <tableColumn id="652" xr3:uid="{9D64C39C-C3B9-4DD0-AABF-61C33938A03B}" name="Column645"/>
    <tableColumn id="653" xr3:uid="{B4CB9573-B0D4-4924-848A-D77E52E54365}" name="Column646"/>
    <tableColumn id="654" xr3:uid="{9B162108-2277-4FD2-A22C-68EDF3DF371A}" name="Column647"/>
    <tableColumn id="655" xr3:uid="{CAC4A39E-A72E-4217-86FC-A087E0EDA49F}" name="Column648"/>
    <tableColumn id="656" xr3:uid="{90A533C5-8450-48F4-B4DF-A00EF4047A43}" name="Column649"/>
    <tableColumn id="657" xr3:uid="{69427BE9-B88F-4209-99D3-006FF11CD65B}" name="Column650"/>
    <tableColumn id="658" xr3:uid="{122F30DE-F1B7-4B98-B776-4B75E21F2620}" name="Column651"/>
    <tableColumn id="659" xr3:uid="{25D9C0A1-41EB-4647-AF00-44F84DD3B976}" name="Column652"/>
    <tableColumn id="660" xr3:uid="{40E94F92-47A7-47D9-BD04-9A34A20ED8B9}" name="Column653"/>
    <tableColumn id="661" xr3:uid="{B87532ED-F091-4504-BAC2-4F86B0E8A622}" name="Column654"/>
    <tableColumn id="662" xr3:uid="{9F86FA70-237A-4888-B52E-0CA01C043796}" name="Column655"/>
    <tableColumn id="663" xr3:uid="{0941F27E-E5CB-4D78-9E53-364BE984BE50}" name="Column656"/>
    <tableColumn id="664" xr3:uid="{AEBC8950-C322-4F9A-BFB2-8A95D934C123}" name="Column657"/>
    <tableColumn id="665" xr3:uid="{06A03723-2590-427F-B0AC-DFB0A4107BE9}" name="Column658"/>
    <tableColumn id="666" xr3:uid="{97E92DEC-1DB1-48DB-8C29-C21D8BECD89A}" name="Column659"/>
    <tableColumn id="667" xr3:uid="{EC364248-23C9-45BF-99B7-B690F64E040D}" name="Column660"/>
    <tableColumn id="668" xr3:uid="{E55A004A-3AD8-4D06-885E-18CEB2E707F4}" name="Column661"/>
    <tableColumn id="669" xr3:uid="{083A0279-EB16-425B-9689-1BB230D6C27B}" name="Column662"/>
    <tableColumn id="670" xr3:uid="{833D55AD-ECE4-4CEE-902C-70D6F2A591AF}" name="Column663"/>
    <tableColumn id="671" xr3:uid="{EDBCC91B-C85A-48F7-82B3-20B213ACFD95}" name="Column664"/>
    <tableColumn id="672" xr3:uid="{3DB7C098-A312-43CB-8277-7EDC8549BD49}" name="Column665"/>
    <tableColumn id="673" xr3:uid="{D5DA1C0B-737B-4B01-93A4-BC9CBC2C4898}" name="Column666"/>
    <tableColumn id="674" xr3:uid="{5390E2B7-011B-4F93-82AB-437A2543715A}" name="Column667"/>
    <tableColumn id="675" xr3:uid="{2BB07C48-E689-4AC4-90B7-DAFDB2DC67DE}" name="Column668"/>
    <tableColumn id="676" xr3:uid="{61AEE73D-5963-408F-A67A-9F6580467284}" name="Column669"/>
    <tableColumn id="677" xr3:uid="{4732FF4F-DBDD-4F8C-998B-2BAC4B074B40}" name="Column670"/>
    <tableColumn id="678" xr3:uid="{834EB735-692E-4177-8BA1-155694F925D2}" name="Column671"/>
    <tableColumn id="679" xr3:uid="{5222C190-3EEC-4208-8E05-D25F5CB6BD49}" name="Column672"/>
    <tableColumn id="680" xr3:uid="{BE8F9CE3-9882-4EEB-9E74-27D01100DB18}" name="Column673"/>
    <tableColumn id="681" xr3:uid="{1AA26C06-46C3-4B61-BBC7-4C549E807AA5}" name="Column674"/>
    <tableColumn id="682" xr3:uid="{10B3556D-DADA-45BD-AFE0-5B42AEEDB977}" name="Column675"/>
    <tableColumn id="683" xr3:uid="{5C10F78D-BD22-4692-81E6-909CD72D63BD}" name="Column676"/>
    <tableColumn id="684" xr3:uid="{6BF81002-6F36-4BED-BC95-699EF5D4932A}" name="Column677"/>
    <tableColumn id="685" xr3:uid="{7035C4E4-76AD-4D88-BFFA-33E5745E011F}" name="Column678"/>
    <tableColumn id="686" xr3:uid="{B551B63B-C34E-45D1-827F-E87BA49532F4}" name="Column679"/>
    <tableColumn id="687" xr3:uid="{5C8C4008-BAB7-4D71-A66F-0665C2C65070}" name="Column680"/>
    <tableColumn id="688" xr3:uid="{29786ED0-D545-4C99-B3DC-58C0027FB86F}" name="Column681"/>
    <tableColumn id="689" xr3:uid="{0027F320-3840-4DDE-B33F-15DB1F3192D2}" name="Column682"/>
    <tableColumn id="690" xr3:uid="{75103991-B2A6-4CB1-990C-2E82340DAD21}" name="Column683"/>
    <tableColumn id="691" xr3:uid="{4FF7F6FB-60E5-4FBC-9117-8FAF7241DAD0}" name="Column684"/>
    <tableColumn id="692" xr3:uid="{686246BA-12CE-4229-9D7F-41E4A5978DAC}" name="Column685"/>
    <tableColumn id="693" xr3:uid="{D6A32CA7-0906-4D00-80C7-31316D6C2645}" name="Column686"/>
    <tableColumn id="694" xr3:uid="{B2212E23-6D9F-48C4-8E6E-8E0797166CE9}" name="Column687"/>
    <tableColumn id="695" xr3:uid="{47D05C94-64D5-47FE-934A-6FF618A5A8E2}" name="Column688"/>
    <tableColumn id="696" xr3:uid="{DEC10E97-B4E8-4A39-B487-189669829B99}" name="Column689"/>
    <tableColumn id="697" xr3:uid="{20714BF3-7164-41CF-8A71-B171AA5FB6C9}" name="Column690"/>
    <tableColumn id="698" xr3:uid="{F93C0DF5-A477-4A14-BE6E-01F9653A90E3}" name="Column691"/>
    <tableColumn id="699" xr3:uid="{E852AA2E-A7FD-4DF6-A4DB-F9A965EC7823}" name="Column692"/>
    <tableColumn id="700" xr3:uid="{5D745520-BB1F-4EA5-981D-23A554A66E52}" name="Column693"/>
    <tableColumn id="701" xr3:uid="{45A390DF-B00A-43A8-B52C-C3DE16D63F97}" name="Column694"/>
    <tableColumn id="702" xr3:uid="{ECE17B2A-51A4-4332-9E2C-6BB0CB9EC36E}" name="Column695"/>
    <tableColumn id="703" xr3:uid="{7750D6F5-6856-4EE9-A6AD-74746A8D7E37}" name="Column696"/>
    <tableColumn id="704" xr3:uid="{747124F0-D09A-44C2-A219-9B462678FCB6}" name="Column697"/>
    <tableColumn id="705" xr3:uid="{7AEC9E36-5DDE-4679-82B1-E0B87E6182C8}" name="Column698"/>
    <tableColumn id="706" xr3:uid="{236FA345-1A37-4936-917F-486F9C143CE5}" name="Column699"/>
    <tableColumn id="707" xr3:uid="{72EBF465-E8FF-41FE-ADD6-342071DCBAAD}" name="Column700"/>
    <tableColumn id="708" xr3:uid="{578ECEDB-DACF-4046-AD4B-DA8CA4B488D3}" name="Column701"/>
    <tableColumn id="709" xr3:uid="{40B17687-AD30-4D28-98DB-2E548E0CD06A}" name="Column702"/>
    <tableColumn id="710" xr3:uid="{CF6965D0-C566-478A-B440-D4F8F1E3E423}" name="Column703"/>
    <tableColumn id="711" xr3:uid="{7A180874-11BF-464C-A4E5-986078B3B5BA}" name="Column704"/>
    <tableColumn id="712" xr3:uid="{9BF51DB0-E60B-413C-9EC6-CFBD2968ED03}" name="Column705"/>
    <tableColumn id="713" xr3:uid="{C9B0032A-E24C-4623-9507-BB1A86394570}" name="Column706"/>
    <tableColumn id="714" xr3:uid="{64210BF8-3950-484D-A6D3-DE333F6C9379}" name="Column707"/>
    <tableColumn id="715" xr3:uid="{7AB5A8BE-0BEC-41BD-A4DD-41CAC73D8C7A}" name="Column708"/>
    <tableColumn id="716" xr3:uid="{31AE7343-B53E-4677-BFD9-D633F21DF163}" name="Column709"/>
    <tableColumn id="717" xr3:uid="{F484C27C-4A2A-4B8E-8FC1-C1F8F2F7DCA8}" name="Column710"/>
    <tableColumn id="718" xr3:uid="{91E45148-0877-444D-8895-71290851A690}" name="Column711"/>
    <tableColumn id="719" xr3:uid="{D7445E76-0D49-49AB-8A0E-6C30B04C440C}" name="Column712"/>
    <tableColumn id="720" xr3:uid="{A4343437-728D-4595-BF04-B4DF8B43D342}" name="Column713"/>
    <tableColumn id="721" xr3:uid="{CA5E12C2-52DB-4A8F-9E3E-50F88372E6C2}" name="Column714"/>
    <tableColumn id="722" xr3:uid="{2B436FF7-DCA4-4A4F-A660-0EE7F2063E8B}" name="Column715"/>
    <tableColumn id="723" xr3:uid="{35D16F3A-03B9-41E0-9133-93A46E8156F7}" name="Column716"/>
    <tableColumn id="724" xr3:uid="{6FB1E527-3D58-43FC-B5E3-3F49810AC451}" name="Column717"/>
    <tableColumn id="725" xr3:uid="{DA4CE963-F5AB-415B-82F0-C2D41695B60C}" name="Column718"/>
    <tableColumn id="726" xr3:uid="{EE084B84-5A1A-4ABE-91FF-EEFFCB20F800}" name="Column719"/>
    <tableColumn id="727" xr3:uid="{99676F06-E3CD-4F67-B6EC-5925A108E7F1}" name="Column720"/>
    <tableColumn id="728" xr3:uid="{6047398A-1A8D-4B04-8A44-DB95CEDED896}" name="Column721"/>
    <tableColumn id="729" xr3:uid="{07C026A5-CC62-45E9-93C0-477FF733644D}" name="Column722"/>
    <tableColumn id="730" xr3:uid="{E50126A2-90C7-4927-99B4-8E992D276574}" name="Column723"/>
    <tableColumn id="731" xr3:uid="{4D4BED6F-D867-4BC0-B0FB-AF7D647151C7}" name="Column724"/>
    <tableColumn id="732" xr3:uid="{4FAA57B7-1B3D-427E-B74C-67FE584BB119}" name="Column725"/>
    <tableColumn id="733" xr3:uid="{18F75851-4704-4CFE-9F5A-58F517926BDB}" name="Column726"/>
    <tableColumn id="734" xr3:uid="{262F9351-9504-4380-9CB7-7AAA5D2396CC}" name="Column727"/>
    <tableColumn id="735" xr3:uid="{35771CBD-6552-48F3-9022-5678697A7A82}" name="Column728"/>
    <tableColumn id="736" xr3:uid="{05F5FC10-EB6E-4373-BB7F-E043D305A64A}" name="Column729"/>
    <tableColumn id="737" xr3:uid="{0C40131A-2720-4A09-B1D3-15D6A6543686}" name="Column730"/>
    <tableColumn id="738" xr3:uid="{6683B9C1-0C14-486E-86AC-F129C7CC5763}" name="Column731"/>
    <tableColumn id="739" xr3:uid="{7DBFDEA3-512D-4F4C-B56A-2F16ECE0B346}" name="Column732"/>
    <tableColumn id="740" xr3:uid="{E0BC2C3A-0D2A-48A5-B1D5-18780DDBB1B9}" name="Column733"/>
    <tableColumn id="741" xr3:uid="{558D9413-121C-42EB-A395-19B8039E93C7}" name="Column734"/>
    <tableColumn id="742" xr3:uid="{7C9C4E65-6DCF-4E65-BD90-4295F09E7066}" name="Column735"/>
    <tableColumn id="743" xr3:uid="{F998C288-63CE-4303-BD29-36E2C9FEB6FD}" name="Column736"/>
    <tableColumn id="744" xr3:uid="{63B45D1C-0C03-458E-B3BE-1EAFA85F276A}" name="Column737"/>
    <tableColumn id="745" xr3:uid="{D6650624-4B88-4F48-AD87-F085334CF016}" name="Column738"/>
    <tableColumn id="746" xr3:uid="{9202151C-1552-4BAD-BE91-3CBFC4229C02}" name="Column739"/>
    <tableColumn id="747" xr3:uid="{5154DDD0-FD17-4924-80F6-38BC94EA8AC6}" name="Column740"/>
    <tableColumn id="748" xr3:uid="{400CAF15-F144-416D-BEF7-1EEA9FA3B146}" name="Column741"/>
    <tableColumn id="749" xr3:uid="{5463E134-C1EF-422A-A4D9-02A45C8FE19A}" name="Column742"/>
    <tableColumn id="750" xr3:uid="{39A4FE40-B3D2-43B2-99D8-359E751635F1}" name="Column743"/>
    <tableColumn id="751" xr3:uid="{9CE4D75D-D052-48EB-A3CF-5B237F38040F}" name="Column744"/>
    <tableColumn id="752" xr3:uid="{EFD3B7EA-3E82-4A8D-AF9B-3D847B4B4CE0}" name="Column745"/>
    <tableColumn id="753" xr3:uid="{A439280B-4B8D-4439-9FD2-4157FB40764E}" name="Column746"/>
    <tableColumn id="754" xr3:uid="{D48ECD33-07FB-44B9-8C3F-6EBDE3197BFA}" name="Column747"/>
    <tableColumn id="755" xr3:uid="{73702FBD-A082-4F92-AB07-72021513157F}" name="Column748"/>
    <tableColumn id="756" xr3:uid="{225070BD-11EC-4EAF-87A6-62C01FB25034}" name="Column749"/>
    <tableColumn id="757" xr3:uid="{729F2125-23A7-401A-AF04-6DE816E20096}" name="Column750"/>
    <tableColumn id="758" xr3:uid="{A277E0AC-0015-41F3-9507-45E4840D461F}" name="Column751"/>
    <tableColumn id="759" xr3:uid="{FA08EF0B-0EE0-40F9-9C10-F485715F36D1}" name="Column752"/>
    <tableColumn id="760" xr3:uid="{1D9FE757-3273-4673-9495-6D2AD2E9B8A1}" name="Column753"/>
    <tableColumn id="761" xr3:uid="{CAEC18A4-8D45-430D-89D7-3EE4621C0FD6}" name="Column754"/>
    <tableColumn id="762" xr3:uid="{165DA320-122D-43CA-849B-AA8A07AFAE6D}" name="Column755"/>
    <tableColumn id="763" xr3:uid="{5CD152C7-AB52-472D-BE7F-4C3A2D175EAC}" name="Column756"/>
    <tableColumn id="764" xr3:uid="{EF6F550C-95AD-4381-9AD8-07ACC45426F8}" name="Column757"/>
    <tableColumn id="765" xr3:uid="{4A94A2BC-14B4-4E44-83E5-9B8D3999F584}" name="Column758"/>
    <tableColumn id="766" xr3:uid="{464134E2-A455-4472-82F3-98B5FAB80F9F}" name="Column759"/>
    <tableColumn id="767" xr3:uid="{8638D125-C311-45A3-B3C7-C84C8D2A846C}" name="Column760"/>
    <tableColumn id="768" xr3:uid="{D0590989-8BDE-4E9E-AAC7-B9A48FA14DF6}" name="Column761"/>
    <tableColumn id="769" xr3:uid="{4405E0DB-6A0E-487B-9C05-7AA2F858AB53}" name="Column762"/>
    <tableColumn id="770" xr3:uid="{1DE95F42-CE4B-4365-8E4B-AFC62AA91731}" name="Column763"/>
    <tableColumn id="771" xr3:uid="{9176E464-5BBA-4336-B061-70BADA3FA157}" name="Column764"/>
    <tableColumn id="772" xr3:uid="{E644FD39-1897-4D49-98CB-C05113DE2831}" name="Column765"/>
    <tableColumn id="773" xr3:uid="{34618913-6A32-47E7-A49B-C9D7C21E46BD}" name="Column766"/>
    <tableColumn id="774" xr3:uid="{F1B1F609-45F7-475F-A2B1-B30CC39B169C}" name="Column767"/>
    <tableColumn id="775" xr3:uid="{776245DB-13CA-47F8-BD72-A0AE178165ED}" name="Column768"/>
    <tableColumn id="776" xr3:uid="{4BC5F8AE-5996-4EFE-8701-3B83F4966E36}" name="Column769"/>
    <tableColumn id="777" xr3:uid="{2C8B2FA5-30BD-4A1E-9180-F09A2ECB534D}" name="Column770"/>
    <tableColumn id="778" xr3:uid="{43A7CEAF-8DCB-4B6E-B091-8B21ADA0C3C2}" name="Column771"/>
    <tableColumn id="779" xr3:uid="{FC4EA33E-F6BE-4FE1-8D00-888260F543A1}" name="Column772"/>
    <tableColumn id="780" xr3:uid="{250FB556-89A7-4705-9027-7982C673FE5F}" name="Column773"/>
    <tableColumn id="781" xr3:uid="{D33C473F-A42F-432F-B6DA-D9DB89AB70B0}" name="Column774"/>
    <tableColumn id="782" xr3:uid="{AFE655C8-3476-4894-8D67-43BFA90F2564}" name="Column775"/>
    <tableColumn id="783" xr3:uid="{0A4F0603-CBCA-444E-9642-F89199E2EB98}" name="Column776"/>
    <tableColumn id="784" xr3:uid="{82A3A412-5724-4B34-A0B0-938860059242}" name="Column777"/>
    <tableColumn id="785" xr3:uid="{DE3EE022-4E03-4A6F-999E-CF8778306711}" name="Column778"/>
    <tableColumn id="786" xr3:uid="{595AE8A3-20EB-43B9-9FD9-F7D3304D84D8}" name="Column779"/>
    <tableColumn id="787" xr3:uid="{7B482054-302F-4C14-BBF0-7598223B5053}" name="Column780"/>
    <tableColumn id="788" xr3:uid="{67FE345D-F6D2-4834-8D6F-8871BC12F3FF}" name="Column781"/>
    <tableColumn id="789" xr3:uid="{F3D5F2B1-7227-4405-BD31-7FB09EC7736C}" name="Column782"/>
    <tableColumn id="790" xr3:uid="{3E7C65DD-47DD-4F9E-889D-FFA420EA69C8}" name="Column783"/>
    <tableColumn id="791" xr3:uid="{7E5B1932-0CFA-4090-A5D9-9192531D1233}" name="Column784"/>
    <tableColumn id="792" xr3:uid="{330BEBB0-9B52-427D-9A95-F3A25F615815}" name="Column785"/>
    <tableColumn id="793" xr3:uid="{7059C44E-EF8A-42E5-B299-CB5B2A4F81FC}" name="Column786"/>
    <tableColumn id="794" xr3:uid="{305324A8-871D-4657-A167-388EBB203CF0}" name="Column787"/>
    <tableColumn id="795" xr3:uid="{162434F4-0B81-4FD9-BBDC-89840BDE253D}" name="Column788"/>
    <tableColumn id="796" xr3:uid="{1B1689DA-67E9-4D6E-B51D-FD85AE5E5B90}" name="Column789"/>
    <tableColumn id="797" xr3:uid="{8E68F33B-3175-4E9C-9A8E-EA96E7D7ED2A}" name="Column790"/>
    <tableColumn id="798" xr3:uid="{12F6C605-B9EF-4A5A-86E9-E1DF724C831F}" name="Column791"/>
    <tableColumn id="799" xr3:uid="{670EAB1B-0218-42B6-ACAF-40F53E4416B8}" name="Column792"/>
    <tableColumn id="800" xr3:uid="{46DE70A5-9983-4273-998C-5B62FD474492}" name="Column793"/>
    <tableColumn id="801" xr3:uid="{653FDAEA-09F5-4AE4-A1F9-E61009410603}" name="Column794"/>
    <tableColumn id="802" xr3:uid="{110A7DBE-2775-4B1B-9162-672BD77F8C37}" name="Column795"/>
    <tableColumn id="803" xr3:uid="{C49989DD-A7D7-45F5-89FC-1431CF562FAE}" name="Column796"/>
    <tableColumn id="804" xr3:uid="{5539ED7C-2E53-411A-BB49-652601C8F8BE}" name="Column797"/>
    <tableColumn id="805" xr3:uid="{C0F28B39-6826-44A1-A03F-E070ACE85EE2}" name="Column798"/>
    <tableColumn id="806" xr3:uid="{F1D2EBD6-DAA2-48DB-AF64-ED4B6DE62BCC}" name="Column799"/>
    <tableColumn id="807" xr3:uid="{669BD046-011C-46E2-B494-1CE3D0381587}" name="Column800"/>
    <tableColumn id="808" xr3:uid="{A7A0AAD5-63B9-43D0-90FF-5528B387948D}" name="Column801"/>
    <tableColumn id="809" xr3:uid="{A8C5007D-1A11-499F-B721-88FB7C0A0176}" name="Column802"/>
    <tableColumn id="810" xr3:uid="{830429A0-2A21-4988-9522-939820D4657E}" name="Column803"/>
    <tableColumn id="811" xr3:uid="{2F897CD5-F1A6-426B-A3CD-7FA859DC1C1F}" name="Column804"/>
    <tableColumn id="812" xr3:uid="{52BD7B31-CBC9-4FA3-BA16-1D77E688B452}" name="Column805"/>
    <tableColumn id="813" xr3:uid="{E364F689-DC3D-43CC-AC26-8AF00DB6CF7E}" name="Column806"/>
    <tableColumn id="814" xr3:uid="{CE727121-4342-41FA-AF21-6E89D332A5FE}" name="Column807"/>
    <tableColumn id="815" xr3:uid="{8C9802DD-C2A9-4A5A-8DC0-297D64FC382E}" name="Column808"/>
    <tableColumn id="816" xr3:uid="{7625D101-FB59-4167-A0F9-351EACA86D30}" name="Column809"/>
    <tableColumn id="817" xr3:uid="{A1CA32CC-01F9-43A2-AC33-362D7E5375A4}" name="Column810"/>
    <tableColumn id="818" xr3:uid="{A73FC78C-0453-4007-B0C3-5040F639DDCA}" name="Column811"/>
    <tableColumn id="819" xr3:uid="{9E8F487A-B211-4982-8BB2-4A566A0D9D87}" name="Column812"/>
    <tableColumn id="820" xr3:uid="{F60C52DA-EDB1-4436-95CF-BA353DA8AF09}" name="Column813"/>
    <tableColumn id="821" xr3:uid="{4F0B66D4-AD38-448C-B5EB-392E4B40B93A}" name="Column814"/>
    <tableColumn id="822" xr3:uid="{4D7740F5-D68B-4CF6-AAE0-8C63C8B41A9F}" name="Column815"/>
    <tableColumn id="823" xr3:uid="{4EF39426-59FB-4A6C-B8E3-2ABDBAAD41A2}" name="Column816"/>
    <tableColumn id="824" xr3:uid="{B537469D-7A57-4DB9-9BF1-923956C992C2}" name="Column817"/>
    <tableColumn id="825" xr3:uid="{23DDAB17-862F-4F1D-8C6B-7AA70B5EB28B}" name="Column818"/>
    <tableColumn id="826" xr3:uid="{EA5834D3-7E41-4B85-8ECC-8FCAAF6A1F43}" name="Column819"/>
    <tableColumn id="827" xr3:uid="{7DB9F39B-3F7F-4368-9B5D-75271E1E5999}" name="Column820"/>
    <tableColumn id="828" xr3:uid="{092BF123-353D-488F-A494-9377E1DDC9CB}" name="Column821"/>
    <tableColumn id="829" xr3:uid="{A16F7B85-D2D3-4C74-B69E-CE53F33BEAA2}" name="Column822"/>
    <tableColumn id="830" xr3:uid="{C9FC0EA3-8019-4337-A5E6-756C76A1D3C0}" name="Column823"/>
    <tableColumn id="831" xr3:uid="{2392DDCA-1572-409C-B936-02CD1143B42B}" name="Column824"/>
    <tableColumn id="832" xr3:uid="{B51724A4-CD36-4CA3-BD12-730F718AA77D}" name="Column825"/>
    <tableColumn id="833" xr3:uid="{E1A60A5A-167C-426E-B7AD-9C62970C34F4}" name="Column826"/>
    <tableColumn id="834" xr3:uid="{8FA8BB5F-C9FD-4CFD-BEF8-33FD3F612C2A}" name="Column827"/>
    <tableColumn id="835" xr3:uid="{669A3819-20AB-4910-AD78-87AC1636DB91}" name="Column828"/>
    <tableColumn id="836" xr3:uid="{57162116-CD8F-4945-B2D3-C6C4FF18E609}" name="Column829"/>
    <tableColumn id="837" xr3:uid="{F660D3DF-2903-4534-9B54-E1C057FE935D}" name="Column830"/>
    <tableColumn id="838" xr3:uid="{DB6C1698-2875-48AC-A229-90845937E487}" name="Column831"/>
    <tableColumn id="839" xr3:uid="{146D9F03-2C0A-488F-8B99-2A4DF7E0DB84}" name="Column832"/>
    <tableColumn id="840" xr3:uid="{B859CED8-9834-44DE-A029-A4BCF155A4B8}" name="Column833"/>
    <tableColumn id="841" xr3:uid="{7A3A6A13-8B4E-4ED7-829C-BFEA4655CEDA}" name="Column834"/>
    <tableColumn id="842" xr3:uid="{46C9828B-FA4B-4459-8A33-C24BD768EF0C}" name="Column835"/>
    <tableColumn id="843" xr3:uid="{60F8839A-4510-44B2-99C9-55C384E9E9E9}" name="Column836"/>
    <tableColumn id="844" xr3:uid="{1C4A9C36-68D5-4CEF-9E79-8F0082A2E37F}" name="Column837"/>
    <tableColumn id="845" xr3:uid="{AF6ED522-8FC8-42D3-80AE-ABD74FB3FF62}" name="Column838"/>
    <tableColumn id="846" xr3:uid="{BAC3E741-4986-41A3-A2F5-0DA625584093}" name="Column839"/>
    <tableColumn id="847" xr3:uid="{05357A7A-5D27-4CC0-A48A-EFB88941268A}" name="Column840"/>
    <tableColumn id="848" xr3:uid="{3D59FA44-6DD1-4249-85D1-70C7438D4A2C}" name="Column841"/>
    <tableColumn id="849" xr3:uid="{019AE294-B03F-4D3E-9CE0-1DAB7EC3BBD5}" name="Column842"/>
    <tableColumn id="850" xr3:uid="{D84B750A-93AC-4832-98F8-A2814D4D6441}" name="Column843"/>
    <tableColumn id="851" xr3:uid="{80C7730C-E839-4A14-876E-6CA27AB65235}" name="Column844"/>
    <tableColumn id="852" xr3:uid="{5AA34C8E-EF82-42B3-AAB9-AC68E2C09843}" name="Column845"/>
    <tableColumn id="853" xr3:uid="{EA4DE3F6-20BA-43B8-9020-1B9ACB120C63}" name="Column846"/>
    <tableColumn id="854" xr3:uid="{52C59E86-7C5E-47B3-B8C4-CDC32BCFAD1D}" name="Column847"/>
    <tableColumn id="855" xr3:uid="{D30BFA82-14AC-4810-88D5-8323F07F9BF4}" name="Column848"/>
    <tableColumn id="856" xr3:uid="{0B740158-A22E-4DBC-AABB-D362D7169E74}" name="Column849"/>
    <tableColumn id="857" xr3:uid="{3096FF0F-DE89-47AB-BD3F-22891D4BF463}" name="Column850"/>
    <tableColumn id="858" xr3:uid="{792AAA49-CBED-488A-9312-CEA76F3FE890}" name="Column851"/>
    <tableColumn id="859" xr3:uid="{EFE23C82-A5B4-4D8F-816E-1929214437FF}" name="Column852"/>
    <tableColumn id="860" xr3:uid="{A1139516-C81B-43E3-B04A-9F6553A1371B}" name="Column853"/>
    <tableColumn id="861" xr3:uid="{66F0BC82-E776-4ED7-A854-39F93CFF2E82}" name="Column854"/>
    <tableColumn id="862" xr3:uid="{DDF235AD-3DCD-40F8-96DC-C056F31C5ABC}" name="Column855"/>
    <tableColumn id="863" xr3:uid="{71AF2FF3-9D28-44B2-AE12-98ECF9BB8FC1}" name="Column856"/>
    <tableColumn id="864" xr3:uid="{45CCEBA1-3346-47E9-954D-3300BDDD57D7}" name="Column857"/>
    <tableColumn id="865" xr3:uid="{E7489F80-4138-4FD0-8A9A-489D4698C0DC}" name="Column858"/>
    <tableColumn id="866" xr3:uid="{8F665BE4-1C95-41BA-946D-EDC68D449E84}" name="Column859"/>
    <tableColumn id="867" xr3:uid="{4D47CEEC-C0A8-4C36-AEE0-890F39BDDFEF}" name="Column860"/>
    <tableColumn id="868" xr3:uid="{E8778A7E-C138-47EF-BD3C-423FAD333F4A}" name="Column861"/>
    <tableColumn id="869" xr3:uid="{FE982EAA-79EA-46FE-AF86-26DFFDC886F3}" name="Column862"/>
    <tableColumn id="870" xr3:uid="{7FE06126-7D8F-489E-824F-2BC524E1AE74}" name="Column863"/>
    <tableColumn id="871" xr3:uid="{71C6EA68-2D7F-4EFF-B6BD-D0678C9DCB7F}" name="Column864"/>
    <tableColumn id="872" xr3:uid="{6EB28FB5-80A1-4782-8B8C-F4B43756632B}" name="Column865"/>
    <tableColumn id="873" xr3:uid="{A0ED551D-1B5B-462C-9C30-227A1499A747}" name="Column866"/>
    <tableColumn id="874" xr3:uid="{BA06E622-99DF-4398-9D0F-C2304809C7D9}" name="Column867"/>
    <tableColumn id="875" xr3:uid="{D459E589-5B6B-4EEE-BA90-6C63429F5A5D}" name="Column868"/>
    <tableColumn id="876" xr3:uid="{7E462127-8A33-4D2F-AA91-BA702EE9E090}" name="Column869"/>
    <tableColumn id="877" xr3:uid="{C5E18E77-33E1-4FF5-A228-55B93E7A539E}" name="Column870"/>
    <tableColumn id="878" xr3:uid="{89EB3384-F6C5-4397-B353-9A227F456260}" name="Column871"/>
    <tableColumn id="879" xr3:uid="{AEA78A49-A579-4CEE-AB1E-B8C8E0D7C596}" name="Column872"/>
    <tableColumn id="880" xr3:uid="{CDB69CC6-5CC6-4DFE-8378-6C2DA1AF957D}" name="Column873"/>
    <tableColumn id="881" xr3:uid="{58A29E5D-D95E-4969-857E-AEC3DDC23F0E}" name="Column874"/>
    <tableColumn id="882" xr3:uid="{7D9A5AE1-6A69-4A20-B361-A215C644D473}" name="Column875"/>
    <tableColumn id="883" xr3:uid="{F03E4742-020F-460E-8463-F123BA1735E2}" name="Column876"/>
    <tableColumn id="884" xr3:uid="{4F51FD3B-478D-4CE2-AEF5-91ED32985456}" name="Column877"/>
    <tableColumn id="885" xr3:uid="{50524640-7E58-4954-8C68-7F45586EF05C}" name="Column878"/>
    <tableColumn id="886" xr3:uid="{463DCEB4-5ABA-4789-B398-73BE7FF2F3C1}" name="Column879"/>
    <tableColumn id="887" xr3:uid="{BF00A640-D2A2-49FA-9678-04DA6E44A4FF}" name="Column880"/>
    <tableColumn id="888" xr3:uid="{72390290-9E91-4DFD-B609-5162EDD3576C}" name="Column881"/>
    <tableColumn id="889" xr3:uid="{31CF7D2D-8A5B-4461-BCA3-1DA3D8D1B221}" name="Column882"/>
    <tableColumn id="890" xr3:uid="{B02A4F66-2ECA-44D7-A854-7DE4259F3CAF}" name="Column883"/>
    <tableColumn id="891" xr3:uid="{18DF1839-A3E9-410A-BF3C-AF294EE7D4ED}" name="Column884"/>
    <tableColumn id="892" xr3:uid="{B3D9F131-4C94-441A-99C7-073182F678AD}" name="Column885"/>
    <tableColumn id="893" xr3:uid="{D028108B-AE9B-4136-80F9-4078C745AA09}" name="Column886"/>
    <tableColumn id="894" xr3:uid="{8AE85339-B403-4D23-A304-8FE74284BA16}" name="Column887"/>
    <tableColumn id="895" xr3:uid="{877C2E5A-C178-4ACA-AE04-E292C7EDE447}" name="Column888"/>
    <tableColumn id="896" xr3:uid="{11B24EBA-865C-4DF3-85DC-4BA46E01CC70}" name="Column889"/>
    <tableColumn id="897" xr3:uid="{DC53AB89-1662-44C5-A8BE-79919E313F72}" name="Column890"/>
    <tableColumn id="898" xr3:uid="{B20AEB2B-7DC5-4D7B-9A4C-E0C3EA86803E}" name="Column891"/>
    <tableColumn id="899" xr3:uid="{510DFEA0-58F4-4FAC-8F36-68867EC1D8C3}" name="Column892"/>
    <tableColumn id="900" xr3:uid="{EFB2F504-DC2B-41E4-A049-995D0ABA54B5}" name="Column893"/>
    <tableColumn id="901" xr3:uid="{EDE85F05-04D8-4901-BB3B-6ECC88DF85A0}" name="Column894"/>
    <tableColumn id="902" xr3:uid="{EF759906-E58E-4C1D-BB44-62D68D6CE552}" name="Column895"/>
    <tableColumn id="903" xr3:uid="{0485F933-544F-47A4-8109-002993DE26ED}" name="Column896"/>
    <tableColumn id="904" xr3:uid="{41625D59-8A51-4367-8004-FDC765C4750B}" name="Column897"/>
    <tableColumn id="905" xr3:uid="{D64FD781-FB3D-4B0A-A8A1-38E80EDA96AD}" name="Column898"/>
    <tableColumn id="906" xr3:uid="{58984220-FA90-41BA-9344-1B7B8F6F485C}" name="Column899"/>
    <tableColumn id="907" xr3:uid="{E1F4E370-E2A5-4532-8184-F6A07D2DD135}" name="Column900"/>
    <tableColumn id="908" xr3:uid="{D5C9AE35-2BD4-4CA7-86EC-781AB0974D03}" name="Column901"/>
    <tableColumn id="909" xr3:uid="{CEEA4590-E231-44BA-AAE9-FBC244D83328}" name="Column902"/>
    <tableColumn id="910" xr3:uid="{3B91B6F9-8071-4941-84CF-4EEC6426CAA3}" name="Column903"/>
    <tableColumn id="911" xr3:uid="{284C4238-B0B1-48B9-9AB9-D7D110E52FBD}" name="Column904"/>
    <tableColumn id="912" xr3:uid="{67F9079B-2220-4068-90C5-993F833BDEA6}" name="Column905"/>
    <tableColumn id="913" xr3:uid="{153186DD-0AAF-47D4-BF4D-9625444F5830}" name="Column906"/>
    <tableColumn id="914" xr3:uid="{E1551D4B-DCE7-4CB1-AEE8-8DB05CAA01BB}" name="Column907"/>
    <tableColumn id="915" xr3:uid="{1813F4CF-7AF9-4A25-B428-669737708D66}" name="Column908"/>
    <tableColumn id="916" xr3:uid="{B2D17B88-44F1-4444-90B1-1ADE79EE6EB0}" name="Column909"/>
    <tableColumn id="917" xr3:uid="{A7711B00-AC49-4A05-9EF2-A4801A39E6C6}" name="Column910"/>
    <tableColumn id="918" xr3:uid="{5FDB7E25-1770-4550-8F70-ACDFBDE0701C}" name="Column911"/>
    <tableColumn id="919" xr3:uid="{1155E518-C465-4281-9BDC-BD3CCCF78078}" name="Column912"/>
    <tableColumn id="920" xr3:uid="{62F0D8D3-EF2D-4A1A-8F6C-B13669A3B5FA}" name="Column913"/>
    <tableColumn id="921" xr3:uid="{95A25722-7D30-414F-AA7B-BEB189CBE20D}" name="Column914"/>
    <tableColumn id="922" xr3:uid="{B16D2311-6838-4885-B2B7-8D9D3B7B6CFE}" name="Column915"/>
    <tableColumn id="923" xr3:uid="{97F3E042-C5F0-4447-91F2-CB0DA5B21454}" name="Column916"/>
    <tableColumn id="924" xr3:uid="{F336FA22-3D67-442B-9054-B1592B3FF797}" name="Column917"/>
    <tableColumn id="925" xr3:uid="{F116170E-365D-4311-B639-B59C610C4A14}" name="Column918"/>
    <tableColumn id="926" xr3:uid="{9CF5AC5C-70B2-4E0D-A2EC-F5C2799C70BD}" name="Column919"/>
    <tableColumn id="927" xr3:uid="{DCB2D099-9822-4384-B8C3-4A25A3FB1B56}" name="Column920"/>
    <tableColumn id="928" xr3:uid="{BE8289EB-3136-403F-8636-F2131AA709E2}" name="Column921"/>
    <tableColumn id="929" xr3:uid="{630B5D57-09C1-46CD-B541-17F78F102C2F}" name="Column922"/>
    <tableColumn id="930" xr3:uid="{98FB60BE-C037-4A92-A8FF-2DE6DCA7FE89}" name="Column923"/>
    <tableColumn id="931" xr3:uid="{0AC6D6AE-9972-4D2C-B96B-4B5A272F17F9}" name="Column924"/>
    <tableColumn id="932" xr3:uid="{4D128AD7-DCEE-4347-8605-646DA139B9DD}" name="Column925"/>
    <tableColumn id="933" xr3:uid="{83E6FE65-AEF3-447C-A2A4-8DA9451B98E3}" name="Column926"/>
    <tableColumn id="934" xr3:uid="{601DD7D4-08E3-4BF8-915B-4015915410F3}" name="Column927"/>
    <tableColumn id="935" xr3:uid="{C0DE0E84-764A-4B4B-AEE1-E77DC4B0B702}" name="Column928"/>
    <tableColumn id="936" xr3:uid="{1A9BECF3-5A2B-4F69-B73F-664D1ED07A61}" name="Column929"/>
    <tableColumn id="937" xr3:uid="{FC9A9B93-4484-4A31-9FF7-2798E10013F8}" name="Column930"/>
    <tableColumn id="938" xr3:uid="{E9B49CFD-ADCA-4F67-AB63-77E470308859}" name="Column931"/>
    <tableColumn id="939" xr3:uid="{F99F42AB-389F-4451-8969-9AEC2B60EAB5}" name="Column932"/>
    <tableColumn id="940" xr3:uid="{A3865486-7416-441A-BB19-4BF3AB7E8E5C}" name="Column933"/>
    <tableColumn id="941" xr3:uid="{907A1F5E-1234-49CB-9DB6-0C02F3F91663}" name="Column934"/>
    <tableColumn id="942" xr3:uid="{64CEA692-08F5-4B9A-9D0E-FB84BD3AEDF3}" name="Column935"/>
    <tableColumn id="943" xr3:uid="{2EB3A632-5655-4134-AAAB-205CE8097E3F}" name="Column936"/>
    <tableColumn id="944" xr3:uid="{26BD427E-372A-46A7-93CB-B865E7521325}" name="Column937"/>
    <tableColumn id="945" xr3:uid="{E81F6207-0784-49AD-998A-DDCD973EA5E2}" name="Column938"/>
    <tableColumn id="946" xr3:uid="{4191295A-B8AD-4E4F-ACB8-1C1B42157CBE}" name="Column939"/>
    <tableColumn id="947" xr3:uid="{3B306D86-A49F-4E13-AFAE-C64BCC86A5CD}" name="Column940"/>
    <tableColumn id="948" xr3:uid="{8CD0210F-3FE7-4EF2-B4BF-81B3A010E86A}" name="Column941"/>
    <tableColumn id="949" xr3:uid="{2E9B9D16-C83C-4C05-80EA-61E2763C1DC1}" name="Column942"/>
    <tableColumn id="950" xr3:uid="{0D3BF2EC-44CB-4E33-B432-9B9D1A04E0B2}" name="Column943"/>
    <tableColumn id="951" xr3:uid="{348A75F2-BF52-46EF-9FFF-29FBB8E4AE8E}" name="Column944"/>
    <tableColumn id="952" xr3:uid="{C53BF8F1-BA9C-4486-AF1E-6E19DE887C5A}" name="Column945"/>
    <tableColumn id="953" xr3:uid="{B34B76BC-C1A0-4A5A-840C-54B81B48B33C}" name="Column946"/>
    <tableColumn id="954" xr3:uid="{2D1F302B-C4C1-4563-B113-069708614992}" name="Column947"/>
    <tableColumn id="955" xr3:uid="{ACEC4017-A9F3-490A-8277-22CE960C9CA1}" name="Column948"/>
    <tableColumn id="956" xr3:uid="{82832A4B-0822-443D-AF2A-4D0044872E81}" name="Column949"/>
    <tableColumn id="957" xr3:uid="{9BE00F19-0C61-4680-B33B-FFF13A898876}" name="Column950"/>
    <tableColumn id="958" xr3:uid="{83677F1D-8F95-48FD-9989-9EEE9E30864B}" name="Column951"/>
    <tableColumn id="959" xr3:uid="{F0F00674-6B46-417C-AFC2-87FBCBA9ABE5}" name="Column952"/>
    <tableColumn id="960" xr3:uid="{1AAA0E7F-8C3F-47F8-B325-3983D9A34AEE}" name="Column953"/>
    <tableColumn id="961" xr3:uid="{8449D50C-9709-4DC5-8AB6-2D151AC5D317}" name="Column954"/>
    <tableColumn id="962" xr3:uid="{70B19F80-FC4E-46E0-A60E-337077494EC7}" name="Column955"/>
    <tableColumn id="963" xr3:uid="{ADF31A42-C4EF-4B1B-B652-97FEC1AF2DB3}" name="Column956"/>
    <tableColumn id="964" xr3:uid="{62478192-A100-443B-9A99-A747AE248286}" name="Column957"/>
    <tableColumn id="965" xr3:uid="{719E1746-99FC-4770-97F3-011EBC33D686}" name="Column958"/>
    <tableColumn id="966" xr3:uid="{7F669A0A-56C8-4482-8302-E057238218B2}" name="Column959"/>
    <tableColumn id="967" xr3:uid="{F063EB5D-7ADB-4C5A-A7FE-137EB3A5FD47}" name="Column960"/>
    <tableColumn id="968" xr3:uid="{6F0FBCF3-1BF0-4F28-A96B-A8BD7AF4A217}" name="Column961"/>
    <tableColumn id="969" xr3:uid="{D8C3BADF-B135-438A-9CF6-F51B54DFF223}" name="Column962"/>
    <tableColumn id="970" xr3:uid="{45BB4BC7-BA21-4E6E-A1E8-4547684EECC4}" name="Column963"/>
    <tableColumn id="971" xr3:uid="{66A50159-618A-4BDD-8A80-878F54808F88}" name="Column964"/>
    <tableColumn id="972" xr3:uid="{4EDF7CF9-8B3F-4EDC-AFAA-CA0A51CEEAED}" name="Column965"/>
    <tableColumn id="973" xr3:uid="{75B9EFD9-34DC-4868-8398-88CA8F5DF29B}" name="Column966"/>
    <tableColumn id="974" xr3:uid="{6776A4C2-DB90-400E-9E29-8F2B65B8FB4E}" name="Column967"/>
    <tableColumn id="975" xr3:uid="{6D93EBF2-95A9-4A2D-92F4-0833B540E723}" name="Column968"/>
    <tableColumn id="976" xr3:uid="{77FD659F-C34D-462A-9E0E-A2D722B7D5B6}" name="Column969"/>
    <tableColumn id="977" xr3:uid="{E97A1BAB-C8EE-4DE5-B14E-0032F42BE08F}" name="Column970"/>
    <tableColumn id="978" xr3:uid="{33D83F49-F1D2-4405-93F8-EA31425C1643}" name="Column971"/>
    <tableColumn id="979" xr3:uid="{FA79745A-C1A8-4810-83AB-EE9A0525A5A2}" name="Column972"/>
    <tableColumn id="980" xr3:uid="{7039D57F-D556-4A20-B275-F028B9620EC8}" name="Column973"/>
    <tableColumn id="981" xr3:uid="{28F2808D-CEEF-460F-8279-387AD9429B30}" name="Column974"/>
    <tableColumn id="982" xr3:uid="{282A64A5-E837-46A1-9C4C-73E7E2A5ECDC}" name="Column975"/>
    <tableColumn id="983" xr3:uid="{BF4DD8A2-FE5B-42A6-B32C-78361B455E40}" name="Column976"/>
    <tableColumn id="984" xr3:uid="{ECA757E9-0DCA-404E-B0B7-42E26E35A2D6}" name="Column977"/>
    <tableColumn id="985" xr3:uid="{F1D92B24-9D43-4EC9-801D-0951E2F6F636}" name="Column978"/>
    <tableColumn id="986" xr3:uid="{D63A148E-4D82-47E6-8DB1-B2EA5A6FD749}" name="Column979"/>
    <tableColumn id="987" xr3:uid="{EDE104A4-5BC0-4C8B-A678-39084EB282C5}" name="Column980"/>
    <tableColumn id="988" xr3:uid="{3FC2B16D-F612-41CF-8BEE-5D5E3E047F19}" name="Column981"/>
    <tableColumn id="989" xr3:uid="{B13A6ADA-A413-4E55-9ABB-A34D11EFAD60}" name="Column982"/>
    <tableColumn id="990" xr3:uid="{ED8F115D-EBFD-4690-9EEA-43248B2E3C83}" name="Column983"/>
    <tableColumn id="991" xr3:uid="{5983BCB8-E6B1-4219-8F66-F1E8A7599796}" name="Column984"/>
    <tableColumn id="992" xr3:uid="{46E74F83-37D6-4DE7-AEE3-30BB41EEEDC8}" name="Column985"/>
    <tableColumn id="993" xr3:uid="{42884AC0-4644-484F-B9C7-769D9CA4ED8F}" name="Column986"/>
    <tableColumn id="994" xr3:uid="{0488CECF-10FC-47BA-8990-04B6E691C87E}" name="Column987"/>
    <tableColumn id="995" xr3:uid="{DEFBA2CC-2EF9-4FCA-8814-B4E91CA3F49C}" name="Column988"/>
    <tableColumn id="996" xr3:uid="{41C82B9E-3D88-4D07-8600-22641719A655}" name="Column989"/>
    <tableColumn id="997" xr3:uid="{BC92C27D-5144-4392-8177-E0894DA04A61}" name="Column990"/>
    <tableColumn id="998" xr3:uid="{060639CD-4A4B-4BCC-A23B-F9C0AC236960}" name="Column991"/>
    <tableColumn id="999" xr3:uid="{7929BC1B-D13E-43F4-9FA7-9477E7BE3CE2}" name="Column992"/>
    <tableColumn id="1000" xr3:uid="{688C02AB-C011-47CF-BF8A-666A2131FC9E}" name="Column993"/>
    <tableColumn id="1001" xr3:uid="{41ED6B3D-2EDD-4439-96C9-2EBABB5D89C1}" name="Column994"/>
    <tableColumn id="1002" xr3:uid="{91FD7C72-15EE-49DA-BBFA-9486A544309E}" name="Column995"/>
    <tableColumn id="1003" xr3:uid="{0BB17B0B-84D0-46C4-85BF-C67D5081249C}" name="Column996"/>
    <tableColumn id="1004" xr3:uid="{E2305839-A340-480D-A10E-85C30FD08069}" name="Column997"/>
    <tableColumn id="1005" xr3:uid="{C7D06D52-26BB-4266-BCA7-02BA7DBD3053}" name="Column998"/>
    <tableColumn id="1006" xr3:uid="{4ABA30F0-C33B-4EC5-8784-2838BA6B4891}" name="Column999"/>
    <tableColumn id="1007" xr3:uid="{996663AF-845D-4915-8B6A-18C73AD065F5}" name="Column1000"/>
    <tableColumn id="1008" xr3:uid="{3AA996A8-FFB0-4B66-8AAD-96F1B7204AF8}" name="Column1001"/>
    <tableColumn id="1009" xr3:uid="{110CECFC-E110-42DC-8EE7-45D04DE480B2}" name="Column1002"/>
    <tableColumn id="1010" xr3:uid="{4F3017F0-16E5-4EC0-B4A8-B37C14103626}" name="Column1003"/>
    <tableColumn id="1011" xr3:uid="{1723B02A-9D16-4319-9B18-1AD57587A015}" name="Column1004"/>
    <tableColumn id="1012" xr3:uid="{D9A7A565-65D2-4769-A718-00CB819F797B}" name="Column1005"/>
    <tableColumn id="1013" xr3:uid="{5A17FEFD-6C3B-4BB3-BB78-ED00A9615FDE}" name="Column1006"/>
    <tableColumn id="1014" xr3:uid="{B33DA2C7-D1C5-4BAF-8DEA-9A707F698C08}" name="Column1007"/>
    <tableColumn id="1015" xr3:uid="{0CD6FB15-F7AD-4A6B-A922-E93D5BD0402A}" name="Column1008"/>
    <tableColumn id="1016" xr3:uid="{623761E5-2199-4B04-8871-50C7674970C4}" name="Column1009"/>
    <tableColumn id="1017" xr3:uid="{3B26DF82-F8DE-4766-8FD7-F435AE75802A}" name="Column1010"/>
    <tableColumn id="1018" xr3:uid="{9B15FB8B-9E85-4FE0-BDDA-37E541EFD1B1}" name="Column1011"/>
    <tableColumn id="1019" xr3:uid="{04A05661-FD37-4DE0-BE8A-6A71503E5C4D}" name="Column1012"/>
    <tableColumn id="1020" xr3:uid="{8B23FAEE-36DC-4226-8584-06C72FFF3A3A}" name="Column1013"/>
    <tableColumn id="1021" xr3:uid="{CE70729F-37F3-47D4-A9AC-3B9E8F749EBC}" name="Column1014"/>
    <tableColumn id="1022" xr3:uid="{F1694F0E-DD6D-474D-B794-D138B4BE2A4A}" name="Column1015"/>
    <tableColumn id="1023" xr3:uid="{BAA33CB3-F07F-428C-9151-F352D4839258}" name="Column1016"/>
    <tableColumn id="1024" xr3:uid="{0DB46C18-0D44-444E-8B17-8CEF0397C8B3}" name="Column1017"/>
    <tableColumn id="1025" xr3:uid="{F2F22DA6-F0D5-4005-9885-BD2CEA466202}" name="Column1018"/>
    <tableColumn id="1026" xr3:uid="{05949BD7-A2AD-475C-BE46-03A216770B07}" name="Column1019"/>
    <tableColumn id="1027" xr3:uid="{C416B3AF-845D-4335-8CA4-09F676A4F88E}" name="Column1020"/>
    <tableColumn id="1028" xr3:uid="{4D1199DB-AED1-4025-A798-B7E2CAF7D946}" name="Column1021"/>
    <tableColumn id="1029" xr3:uid="{81EC09C1-6AC3-40BA-8DB2-4B6BCF3A26D2}" name="Column1022"/>
    <tableColumn id="1030" xr3:uid="{6AA0DE37-6DEA-4B2B-9ADA-A88A4C4BF348}" name="Column1023"/>
    <tableColumn id="1031" xr3:uid="{8CF9C36E-FEC2-4E1E-B3F3-B7F57B095444}" name="Column1024"/>
    <tableColumn id="1032" xr3:uid="{6374E349-BC05-4DBB-95C7-E28074F4099D}" name="Column1025"/>
    <tableColumn id="1033" xr3:uid="{19875D9E-CAFD-4AC3-8A68-68495E65E37E}" name="Column1026"/>
    <tableColumn id="1034" xr3:uid="{B6430D5C-602E-4531-82A1-33BA212A817E}" name="Column1027"/>
    <tableColumn id="1035" xr3:uid="{84613A02-8F15-4B4C-868F-CCAF5C156579}" name="Column1028"/>
    <tableColumn id="1036" xr3:uid="{6D45795A-FE3A-4D00-9DF1-5C17D1038420}" name="Column1029"/>
    <tableColumn id="1037" xr3:uid="{746BC467-C052-4968-9DBE-E7AC5CC811CE}" name="Column1030"/>
    <tableColumn id="1038" xr3:uid="{3D11C924-D452-45B8-BF45-D016556E72DF}" name="Column1031"/>
    <tableColumn id="1039" xr3:uid="{159453B4-7AFD-4524-8F92-728D85DE0DDE}" name="Column1032"/>
    <tableColumn id="1040" xr3:uid="{B22CD324-DD30-4DF4-8BF7-4A356457F34F}" name="Column1033"/>
    <tableColumn id="1041" xr3:uid="{182F5A3F-56BA-4301-AE3C-B033DDF37840}" name="Column1034"/>
    <tableColumn id="1042" xr3:uid="{53415B20-0D19-41F1-9E18-6B68D57C9616}" name="Column1035"/>
    <tableColumn id="1043" xr3:uid="{88D99CE4-ABE4-4424-81A9-389CE4B6DA81}" name="Column1036"/>
    <tableColumn id="1044" xr3:uid="{49843C87-8519-4E9C-B557-126BE7E53D9E}" name="Column1037"/>
    <tableColumn id="1045" xr3:uid="{34B1D3C4-1490-4364-B2AE-862AB0825EFA}" name="Column1038"/>
    <tableColumn id="1046" xr3:uid="{00FD9E29-B120-4817-AB9C-1A01C13A8634}" name="Column1039"/>
    <tableColumn id="1047" xr3:uid="{E46C3E65-1402-4FDC-A757-907C4A80FE97}" name="Column1040"/>
    <tableColumn id="1048" xr3:uid="{9F04CBDC-702E-4AF7-93CF-CD949F200F4D}" name="Column1041"/>
    <tableColumn id="1049" xr3:uid="{3486CEDA-4FC2-41F9-BCFD-D41829492439}" name="Column1042"/>
    <tableColumn id="1050" xr3:uid="{627A0098-53C3-4B5E-9E84-61B5C4203FCC}" name="Column1043"/>
    <tableColumn id="1051" xr3:uid="{C0C94058-80BC-40BC-B7CB-B19B9BF8D79F}" name="Column1044"/>
    <tableColumn id="1052" xr3:uid="{53DCC0C7-572C-42FD-990F-5A6418722F41}" name="Column1045"/>
    <tableColumn id="1053" xr3:uid="{4E7C57FF-E9E8-4A23-974E-24C1AB863BF4}" name="Column1046"/>
    <tableColumn id="1054" xr3:uid="{E243C47E-0ED7-4F06-B1FE-C166D235D027}" name="Column1047"/>
    <tableColumn id="1055" xr3:uid="{720EB5B2-8A72-4A6F-8EFE-F52F9F02A174}" name="Column1048"/>
    <tableColumn id="1056" xr3:uid="{C54DA872-C839-4298-B52B-107E42B15C43}" name="Column1049"/>
    <tableColumn id="1057" xr3:uid="{E8EB3D5A-D5E6-42C3-A8C4-1B69FEC0B50D}" name="Column1050"/>
    <tableColumn id="1058" xr3:uid="{F639C41C-00F6-4599-A6ED-3FAE5E9D290F}" name="Column1051"/>
    <tableColumn id="1059" xr3:uid="{D19323D3-3CBB-48CC-9F67-DB20C190F3D2}" name="Column1052"/>
    <tableColumn id="1060" xr3:uid="{D8113665-D29F-42BD-B1A3-D1CAEA421586}" name="Column1053"/>
    <tableColumn id="1061" xr3:uid="{FD29FE23-F4D5-4A64-B920-0BA44ECC9D69}" name="Column1054"/>
    <tableColumn id="1062" xr3:uid="{2CA91BC6-DAE2-4534-9DC7-BF777B521FE0}" name="Column1055"/>
    <tableColumn id="1063" xr3:uid="{4F9FF628-74E9-4064-A313-59C4A7F70D28}" name="Column1056"/>
    <tableColumn id="1064" xr3:uid="{E59FFA9A-F63F-4C16-A25F-0234B57FA35F}" name="Column1057"/>
    <tableColumn id="1065" xr3:uid="{0A89E2C9-DDBD-4101-8706-87AD2A475710}" name="Column1058"/>
    <tableColumn id="1066" xr3:uid="{F42A50C5-C905-49D5-8B7B-5536A5295FCA}" name="Column1059"/>
    <tableColumn id="1067" xr3:uid="{84C397E1-ACA4-4AD5-8D9B-5C1C5699939B}" name="Column1060"/>
    <tableColumn id="1068" xr3:uid="{4E5237C4-2865-492F-A7CE-F31CA0B6DA97}" name="Column1061"/>
    <tableColumn id="1069" xr3:uid="{F94003E7-A389-493D-9190-E74F9E92F0DF}" name="Column1062"/>
    <tableColumn id="1070" xr3:uid="{96ADE800-EAEB-48A5-AED4-5CABAE4767B9}" name="Column1063"/>
    <tableColumn id="1071" xr3:uid="{C7A34421-ACCE-42A7-9EDC-78F572CC6E35}" name="Column1064"/>
    <tableColumn id="1072" xr3:uid="{709D4F91-E79C-486C-8DE6-B2340A043874}" name="Column1065"/>
    <tableColumn id="1073" xr3:uid="{0E886DAE-D5A4-43C9-986A-C982C21E9DC0}" name="Column1066"/>
    <tableColumn id="1074" xr3:uid="{E9A004FB-F176-4796-80F2-7D87B36FAC00}" name="Column1067"/>
    <tableColumn id="1075" xr3:uid="{AF3CA8E0-B0C2-4793-B025-4D17A34FB5E2}" name="Column1068"/>
    <tableColumn id="1076" xr3:uid="{FE83F64E-CA0A-486D-A70F-F920D27FEDE2}" name="Column1069"/>
    <tableColumn id="1077" xr3:uid="{2D1907C5-2F9E-4A34-83B3-996D9AE29FE9}" name="Column1070"/>
    <tableColumn id="1078" xr3:uid="{F747ACD8-0AFD-4542-A9BF-9DAFF676CB9E}" name="Column1071"/>
    <tableColumn id="1079" xr3:uid="{43C6D2ED-37CC-4371-9348-535DAAD1F014}" name="Column1072"/>
    <tableColumn id="1080" xr3:uid="{07DF68A9-F73F-40E6-831E-76FE9840C997}" name="Column1073"/>
    <tableColumn id="1081" xr3:uid="{597A38A6-583A-4864-8BFD-06FD5F4C33FC}" name="Column1074"/>
    <tableColumn id="1082" xr3:uid="{C5FE9959-63BD-47AD-8F11-3EF7C0F337F8}" name="Column1075"/>
    <tableColumn id="1083" xr3:uid="{F1F70A51-EB7D-464A-91FF-9E34E16CD358}" name="Column1076"/>
    <tableColumn id="1084" xr3:uid="{7CC72AAF-2E12-4DE7-B3D7-9B6E27934479}" name="Column1077"/>
    <tableColumn id="1085" xr3:uid="{F4516D9B-C3F4-4846-BE3D-EF31FC58A9ED}" name="Column1078"/>
    <tableColumn id="1086" xr3:uid="{1A2C70CC-FD5E-49D8-93DC-60D6F17258F8}" name="Column1079"/>
    <tableColumn id="1087" xr3:uid="{74D92105-FB96-4AD1-A51A-748E5AE764B3}" name="Column1080"/>
    <tableColumn id="1088" xr3:uid="{DECFCC1A-9BAD-4986-A740-C534A0F2A419}" name="Column1081"/>
    <tableColumn id="1089" xr3:uid="{7C8A8854-6D5B-4A87-93C5-902FBACC1B9D}" name="Column1082"/>
    <tableColumn id="1090" xr3:uid="{F3F403ED-9799-4DE3-A4D5-B1AD138F9776}" name="Column1083"/>
    <tableColumn id="1091" xr3:uid="{E2E58929-3D19-4379-8D3F-D643F7408767}" name="Column1084"/>
    <tableColumn id="1092" xr3:uid="{9625CE23-13DB-473F-A8BB-5E74DFD67F65}" name="Column1085"/>
    <tableColumn id="1093" xr3:uid="{9F4AADFE-389D-46D7-AD66-CA1BB295C32A}" name="Column1086"/>
    <tableColumn id="1094" xr3:uid="{FA0DDD97-DFAB-467F-96F4-8F5BAB4F9B4B}" name="Column1087"/>
    <tableColumn id="1095" xr3:uid="{FF0A74AF-8429-4DA0-A3B7-68FD7D22C21C}" name="Column1088"/>
    <tableColumn id="1096" xr3:uid="{CC735F69-3172-42EC-B7ED-BE11FF46A618}" name="Column1089"/>
    <tableColumn id="1097" xr3:uid="{4F5BC9E4-27C3-4D81-B30F-467E90FD099D}" name="Column1090"/>
    <tableColumn id="1098" xr3:uid="{3C2BC792-30F5-456C-8805-7179A1ACB807}" name="Column1091"/>
    <tableColumn id="1099" xr3:uid="{E5443469-853E-430C-8E5F-908B71559A7E}" name="Column1092"/>
    <tableColumn id="1100" xr3:uid="{347E841B-9545-4049-91CE-767E6D2060B6}" name="Column1093"/>
    <tableColumn id="1101" xr3:uid="{9D563CB6-56A3-4F3D-ABEE-EF2768C274E0}" name="Column1094"/>
    <tableColumn id="1102" xr3:uid="{AE4C6E1D-526E-4840-A690-A3ADBF402CD3}" name="Column1095"/>
    <tableColumn id="1103" xr3:uid="{F55D3A0B-269F-4086-9423-9FCED5938C1D}" name="Column1096"/>
    <tableColumn id="1104" xr3:uid="{839ECE56-DFB3-4E59-9F93-60247A00488C}" name="Column1097"/>
    <tableColumn id="1105" xr3:uid="{350A7F1E-564B-4328-A240-6A55FCD8F36F}" name="Column1098"/>
    <tableColumn id="1106" xr3:uid="{F1F4186E-C101-455A-8BBB-2699A48708C7}" name="Column1099"/>
    <tableColumn id="1107" xr3:uid="{6580D84D-B3C4-462B-888C-1352F2637611}" name="Column1100"/>
    <tableColumn id="1108" xr3:uid="{989D78A1-D96D-4E12-82F5-19F566FC8D1A}" name="Column1101"/>
    <tableColumn id="1109" xr3:uid="{3BA4B604-4E8E-4198-8402-0A7DCFBC4941}" name="Column1102"/>
    <tableColumn id="1110" xr3:uid="{965C2A8C-0704-4C18-AC72-CF6A889230C5}" name="Column1103"/>
    <tableColumn id="1111" xr3:uid="{85D05A8A-9AC2-41BC-8001-BF3E5BFF6D2B}" name="Column1104"/>
    <tableColumn id="1112" xr3:uid="{D2DBADB6-006A-400E-91B3-A18AE45DAE8C}" name="Column1105"/>
    <tableColumn id="1113" xr3:uid="{4331B44B-429F-451A-955C-5F7EABDB3976}" name="Column1106"/>
    <tableColumn id="1114" xr3:uid="{21A0DA8E-70E6-49E4-96F8-30F1D2EBD8EF}" name="Column1107"/>
    <tableColumn id="1115" xr3:uid="{526D8928-749F-4099-A52A-199A9893369A}" name="Column1108"/>
    <tableColumn id="1116" xr3:uid="{D367BC34-7A05-4ABC-A2B2-B9CC31A85F7F}" name="Column1109"/>
    <tableColumn id="1117" xr3:uid="{33773E6C-694F-47B6-8B27-777D8A9CDB4E}" name="Column1110"/>
    <tableColumn id="1118" xr3:uid="{09B707AA-7A59-4C07-9382-33E9A20A3CDF}" name="Column1111"/>
    <tableColumn id="1119" xr3:uid="{E5D33E99-354B-41A9-99E2-15864F8C6643}" name="Column1112"/>
    <tableColumn id="1120" xr3:uid="{E835ECEB-A9AA-4E42-A296-65A9BF3C3D72}" name="Column1113"/>
    <tableColumn id="1121" xr3:uid="{1019D56F-A6EA-4549-A647-7FCA1E1F7294}" name="Column1114"/>
    <tableColumn id="1122" xr3:uid="{126BD3DC-C6D5-49F9-A704-56CBECB7B296}" name="Column1115"/>
    <tableColumn id="1123" xr3:uid="{0591AF63-3A96-46E3-8D58-D2623A14B8BC}" name="Column1116"/>
    <tableColumn id="1124" xr3:uid="{2ED553E9-4248-4E61-A879-647C6E2013E9}" name="Column1117"/>
    <tableColumn id="1125" xr3:uid="{673C6D06-CAFA-4F8A-9BC4-60EC269F8E71}" name="Column1118"/>
    <tableColumn id="1126" xr3:uid="{52E66402-7644-4F92-8531-443C1EEDC42C}" name="Column1119"/>
    <tableColumn id="1127" xr3:uid="{E5F349C0-B951-418E-9344-2491163D9015}" name="Column1120"/>
    <tableColumn id="1128" xr3:uid="{1F640A3D-8CB5-45F4-A21D-A0BE61BD43EC}" name="Column1121"/>
    <tableColumn id="1129" xr3:uid="{1214B23B-4199-43CB-AE7A-4270AB37FE5B}" name="Column1122"/>
    <tableColumn id="1130" xr3:uid="{33B2FB5E-EB6D-47D6-9A1B-3B5D96D3A01E}" name="Column1123"/>
    <tableColumn id="1131" xr3:uid="{C8EC0BC4-2073-4DCA-9B3A-6DD051735CAA}" name="Column1124"/>
    <tableColumn id="1132" xr3:uid="{0207D617-7C3F-4408-8B10-C061F9C11B46}" name="Column1125"/>
    <tableColumn id="1133" xr3:uid="{37F4E1D2-E92F-4BC2-A2F6-CA0773D5FB7A}" name="Column1126"/>
    <tableColumn id="1134" xr3:uid="{EC279B2B-5503-49D8-AE6C-D69A1B1A4E71}" name="Column1127"/>
    <tableColumn id="1135" xr3:uid="{C12D5E22-3632-436E-8AD3-5B125F5C5E99}" name="Column1128"/>
    <tableColumn id="1136" xr3:uid="{1188E910-B27A-4412-AB71-387CAE147559}" name="Column1129"/>
    <tableColumn id="1137" xr3:uid="{35328207-17AD-4C03-8F2D-B50D6B1CEA13}" name="Column1130"/>
    <tableColumn id="1138" xr3:uid="{15B4FCEF-57DE-4933-8462-2685665ECB93}" name="Column1131"/>
    <tableColumn id="1139" xr3:uid="{BBED62C5-21C2-4B39-9AA3-00E426C113C5}" name="Column1132"/>
    <tableColumn id="1140" xr3:uid="{53D79D8B-79C4-4778-B04B-D1E04DBD5BC7}" name="Column1133"/>
    <tableColumn id="1141" xr3:uid="{997AFDAC-7A91-4203-92E7-12551DA0D4E5}" name="Column1134"/>
    <tableColumn id="1142" xr3:uid="{8F171FB5-2849-464C-9D2A-BF940B194EE8}" name="Column1135"/>
    <tableColumn id="1143" xr3:uid="{5FF94F81-BA45-4719-BBB2-45B4DDC74DCF}" name="Column1136"/>
    <tableColumn id="1144" xr3:uid="{62806049-845E-444E-9D4D-BC9F8A590838}" name="Column1137"/>
    <tableColumn id="1145" xr3:uid="{B778973C-4B07-473B-B794-D27B3080E4BF}" name="Column1138"/>
    <tableColumn id="1146" xr3:uid="{36C4883A-65A7-43AF-8BB1-DE9D1857E4C1}" name="Column1139"/>
    <tableColumn id="1147" xr3:uid="{65DF5463-F694-4DE7-8864-9E48655954B3}" name="Column1140"/>
    <tableColumn id="1148" xr3:uid="{693424E5-0577-41FA-A388-2729CAB0485D}" name="Column1141"/>
    <tableColumn id="1149" xr3:uid="{C8386872-5866-4C54-B98E-519A99C9C8E6}" name="Column1142"/>
    <tableColumn id="1150" xr3:uid="{D0FE23EF-7876-4DD8-B614-FA06548DA6EF}" name="Column1143"/>
    <tableColumn id="1151" xr3:uid="{8604072E-0F24-4895-9F7C-2032DF7D860A}" name="Column1144"/>
    <tableColumn id="1152" xr3:uid="{F9474915-ED9B-46E7-ADB3-20BD57B664F2}" name="Column1145"/>
    <tableColumn id="1153" xr3:uid="{D3912FE8-56AD-4869-8503-F6E81FF3BC1D}" name="Column1146"/>
    <tableColumn id="1154" xr3:uid="{7FCE4A5D-8B98-490A-848C-18A0DC1FE781}" name="Column1147"/>
    <tableColumn id="1155" xr3:uid="{68759CF1-2FDA-4501-84CF-3156B29AB197}" name="Column1148"/>
    <tableColumn id="1156" xr3:uid="{42ECB1FD-23E4-4359-B2C6-B28BCC11F6F4}" name="Column1149"/>
    <tableColumn id="1157" xr3:uid="{6B0C8AFF-839E-49A9-BECC-789282A4C06F}" name="Column1150"/>
    <tableColumn id="1158" xr3:uid="{65BB83F8-0149-4904-8BDB-72742FE99D1E}" name="Column1151"/>
    <tableColumn id="1159" xr3:uid="{13BDC294-9EA8-464C-9708-239CAF8907D2}" name="Column1152"/>
    <tableColumn id="1160" xr3:uid="{C2A345D1-D686-4395-8760-5EB470359F83}" name="Column1153"/>
    <tableColumn id="1161" xr3:uid="{98916E14-82DE-4BCE-978D-BB7F9C10FDF3}" name="Column1154"/>
    <tableColumn id="1162" xr3:uid="{F04AC83E-8B06-4A68-B75D-05C44570CD1D}" name="Column1155"/>
    <tableColumn id="1163" xr3:uid="{54705AA5-3D8C-406D-94E3-D8D76127E0B3}" name="Column1156"/>
    <tableColumn id="1164" xr3:uid="{ADFC7F4B-8AA9-4BAB-B67E-206E696E1CEC}" name="Column1157"/>
    <tableColumn id="1165" xr3:uid="{8269B97D-03EC-4605-BE67-E68FF9065797}" name="Column1158"/>
    <tableColumn id="1166" xr3:uid="{383F8F6B-7B0E-4142-BC67-1667CC776319}" name="Column1159"/>
    <tableColumn id="1167" xr3:uid="{DB6702DD-3FAE-4657-A7C7-16184B3E3142}" name="Column1160"/>
    <tableColumn id="1168" xr3:uid="{8E858F64-31EE-4BEB-9FD6-C10B509C78DE}" name="Column1161"/>
    <tableColumn id="1169" xr3:uid="{0EAF4E01-ACE0-47F6-8A65-5126C128F395}" name="Column1162"/>
    <tableColumn id="1170" xr3:uid="{19EBC85E-57CB-43DC-8B02-AB4E1853A0E1}" name="Column1163"/>
    <tableColumn id="1171" xr3:uid="{2B255B35-00E9-4A1C-B8FD-EE0DC3E99E81}" name="Column1164"/>
    <tableColumn id="1172" xr3:uid="{F983EEBD-065B-4D6D-B97C-C9EC4450F15E}" name="Column1165"/>
    <tableColumn id="1173" xr3:uid="{92D6C50F-BDDF-4FFE-A864-F801B1AF1265}" name="Column1166"/>
    <tableColumn id="1174" xr3:uid="{5A751D60-7925-448A-9FE2-7B5647E75093}" name="Column1167"/>
    <tableColumn id="1175" xr3:uid="{83B91E4D-EA3B-4CD5-8F38-7FDBF691F128}" name="Column1168"/>
    <tableColumn id="1176" xr3:uid="{3BEAC5DB-5CD5-4DB9-818B-20C2562F9423}" name="Column1169"/>
    <tableColumn id="1177" xr3:uid="{09194BA7-A215-4B7C-B6C1-9CAA40876E40}" name="Column1170"/>
    <tableColumn id="1178" xr3:uid="{5D89C38F-A5F5-4C7B-9D38-AE8F6C074BA4}" name="Column1171"/>
    <tableColumn id="1179" xr3:uid="{D6607253-739D-4F98-A6A5-1ACA46951D86}" name="Column1172"/>
    <tableColumn id="1180" xr3:uid="{416663C2-8CA9-4172-A2BF-330AC45CFBD0}" name="Column1173"/>
    <tableColumn id="1181" xr3:uid="{57B0E034-2DEE-4C78-96CD-59AB26778D25}" name="Column1174"/>
    <tableColumn id="1182" xr3:uid="{57C39F20-D2CE-437D-8980-921E3716BE29}" name="Column1175"/>
    <tableColumn id="1183" xr3:uid="{84A21E7F-2842-4CD2-89B4-8D8C70F07F0A}" name="Column1176"/>
    <tableColumn id="1184" xr3:uid="{72894520-84DC-44EC-BEE3-651A86069A8A}" name="Column1177"/>
    <tableColumn id="1185" xr3:uid="{19C1AED7-801B-4E0A-93A9-E6080882FFA9}" name="Column1178"/>
    <tableColumn id="1186" xr3:uid="{46F668DE-EF06-410C-8E55-47B0EBA82E98}" name="Column1179"/>
    <tableColumn id="1187" xr3:uid="{E9F9C9A3-2F93-4372-B448-46212887A3AE}" name="Column1180"/>
    <tableColumn id="1188" xr3:uid="{E9A87170-5566-4A23-85B6-EF90660CB91B}" name="Column1181"/>
    <tableColumn id="1189" xr3:uid="{DB389C38-9D00-4DF2-85C2-5F1FFFEF2BA4}" name="Column1182"/>
    <tableColumn id="1190" xr3:uid="{A87EA475-9FB6-4E7D-ABEF-193006B64719}" name="Column1183"/>
    <tableColumn id="1191" xr3:uid="{136FD25C-52E7-4926-AB22-077D2DFCA67B}" name="Column1184"/>
    <tableColumn id="1192" xr3:uid="{DB5BC8B7-0C83-4B1E-9304-53C4E77779D3}" name="Column1185"/>
    <tableColumn id="1193" xr3:uid="{DE364A51-E6A8-4495-9A80-66A6C782531D}" name="Column1186"/>
    <tableColumn id="1194" xr3:uid="{46E94303-EFCB-422B-A709-860986E05FB9}" name="Column1187"/>
    <tableColumn id="1195" xr3:uid="{77B9C9A6-CF79-4628-B5C5-35F5D8A943C0}" name="Column1188"/>
    <tableColumn id="1196" xr3:uid="{20D2D5D4-3468-44F0-BA14-6204B29E7BEE}" name="Column1189"/>
    <tableColumn id="1197" xr3:uid="{0E78278F-5383-4CDC-A5D4-04C99300622D}" name="Column1190"/>
    <tableColumn id="1198" xr3:uid="{90ABEC80-8B37-4401-A616-D06A42999293}" name="Column1191"/>
    <tableColumn id="1199" xr3:uid="{33F4E8B6-1968-4D4B-970C-F196A55AC28D}" name="Column1192"/>
    <tableColumn id="1200" xr3:uid="{9E00ABE0-2F5F-464C-8E9C-41AE687E58E7}" name="Column1193"/>
    <tableColumn id="1201" xr3:uid="{3F2418CA-A1A6-4F1E-BB34-BFE8571A75C4}" name="Column1194"/>
    <tableColumn id="1202" xr3:uid="{79FA0CE3-6C84-4BCD-9A6D-8DAC3FCC03B7}" name="Column1195"/>
    <tableColumn id="1203" xr3:uid="{C7741DB3-2F07-4D05-B665-28E5744F971D}" name="Column1196"/>
    <tableColumn id="1204" xr3:uid="{B6592115-497B-4DE7-AFD3-430C88BA7D20}" name="Column1197"/>
    <tableColumn id="1205" xr3:uid="{364C9010-2E2A-4ED6-A19F-5054D63CF6DD}" name="Column1198"/>
    <tableColumn id="1206" xr3:uid="{EC508958-A85F-4E82-B6AD-7C413E38FB67}" name="Column1199"/>
    <tableColumn id="1207" xr3:uid="{CA4F0BDC-82C9-4DB7-858B-C7B3D5B596AE}" name="Column1200"/>
    <tableColumn id="1208" xr3:uid="{13756618-45CC-469C-B9B5-CBDBF40B8B1C}" name="Column1201"/>
    <tableColumn id="1209" xr3:uid="{5BEAE87A-67B2-4048-8A83-864DC2732F46}" name="Column1202"/>
    <tableColumn id="1210" xr3:uid="{BA52CF0F-55EB-4C5D-B11C-88B4C8AAE2C4}" name="Column1203"/>
    <tableColumn id="1211" xr3:uid="{120AEA32-B7C5-491B-AA4C-A7658924EBA6}" name="Column1204"/>
    <tableColumn id="1212" xr3:uid="{754E96CD-9D6E-4164-AEED-7C560C671592}" name="Column1205"/>
    <tableColumn id="1213" xr3:uid="{79A66541-E002-4A64-9833-4F05665A9E38}" name="Column1206"/>
    <tableColumn id="1214" xr3:uid="{F9EE6F56-FC69-4B9F-A65C-FBBA098E6AF8}" name="Column1207"/>
    <tableColumn id="1215" xr3:uid="{A2F16DED-E8FC-48B7-B953-F5D9579D669F}" name="Column1208"/>
    <tableColumn id="1216" xr3:uid="{A3B7D5C1-BC95-4FBC-BFC9-6248870C3F8F}" name="Column1209"/>
    <tableColumn id="1217" xr3:uid="{A44E44BE-C8DD-4492-9E39-D6615D40BB17}" name="Column1210"/>
    <tableColumn id="1218" xr3:uid="{BC023626-EF9B-42F1-96A8-9F09D3975E46}" name="Column1211"/>
    <tableColumn id="1219" xr3:uid="{C32268F0-5C84-47F6-AE12-DC238603525E}" name="Column1212"/>
    <tableColumn id="1220" xr3:uid="{33EBD083-0E0E-43C7-8254-FA42BA61032D}" name="Column1213"/>
    <tableColumn id="1221" xr3:uid="{8B8D2782-50FE-4D5B-9B6C-999DD866C3E4}" name="Column1214"/>
    <tableColumn id="1222" xr3:uid="{9593C0A3-8390-4975-AE8D-57DC23617552}" name="Column1215"/>
    <tableColumn id="1223" xr3:uid="{F8FD32CE-89CE-4EB4-BAB5-5A33A5BCE8E9}" name="Column1216"/>
    <tableColumn id="1224" xr3:uid="{A1B583B9-C943-4C9F-A578-4F3DA78B8EBC}" name="Column1217"/>
    <tableColumn id="1225" xr3:uid="{BDDB6377-20A5-4512-BAAA-0A945D3416B3}" name="Column1218"/>
    <tableColumn id="1226" xr3:uid="{0CD8CED1-6925-48DF-BD11-E39178EEE2DA}" name="Column1219"/>
    <tableColumn id="1227" xr3:uid="{70287B01-1BE1-421D-A783-D654474C0AFF}" name="Column1220"/>
    <tableColumn id="1228" xr3:uid="{2953911F-9AB2-4007-8ADB-FA5F51893A4D}" name="Column1221"/>
    <tableColumn id="1229" xr3:uid="{35117846-897F-4306-A843-20487DD4FC40}" name="Column1222"/>
    <tableColumn id="1230" xr3:uid="{8EAE2D90-66C2-4AB4-A361-7B9A8291080E}" name="Column1223"/>
    <tableColumn id="1231" xr3:uid="{98065B06-7985-47AF-A81D-2A53BD3889EA}" name="Column1224"/>
    <tableColumn id="1232" xr3:uid="{54E2CA44-CABD-4338-B3A2-B23A08F48E3C}" name="Column1225"/>
    <tableColumn id="1233" xr3:uid="{CE633A00-FCC8-4F4A-8307-E7F06E577D26}" name="Column1226"/>
    <tableColumn id="1234" xr3:uid="{CBD816B5-0A10-4273-9526-86DCE7A025E6}" name="Column1227"/>
    <tableColumn id="1235" xr3:uid="{B8EFC20A-6584-4BD5-B698-9B2C274E9631}" name="Column1228"/>
    <tableColumn id="1236" xr3:uid="{ECD75950-AEAF-421B-A2EB-8175F818D1D2}" name="Column1229"/>
    <tableColumn id="1237" xr3:uid="{D26AF4C1-30BC-442A-8F26-EB9DD63AF797}" name="Column1230"/>
    <tableColumn id="1238" xr3:uid="{964D0641-E176-491B-8CA1-96CDFD86DC17}" name="Column1231"/>
    <tableColumn id="1239" xr3:uid="{490C42EE-7109-4CBE-B67F-A5FC6EACA761}" name="Column1232"/>
    <tableColumn id="1240" xr3:uid="{3C5EDA8E-1ED4-4F86-9F43-2CBA5D55BEF4}" name="Column1233"/>
    <tableColumn id="1241" xr3:uid="{7F4EDC28-BC02-4E00-A973-FE4DA13913F6}" name="Column1234"/>
    <tableColumn id="1242" xr3:uid="{352C4062-4111-4EBA-A0E5-6A9A421D120F}" name="Column1235"/>
    <tableColumn id="1243" xr3:uid="{29BB4F74-0285-4D68-AC8B-DB20DB4AEF6D}" name="Column1236"/>
    <tableColumn id="1244" xr3:uid="{E9A3EC06-A5DB-4FB6-9C46-3834E02DD221}" name="Column1237"/>
    <tableColumn id="1245" xr3:uid="{7864345F-9AFC-4294-8424-8AD81A6BBEDC}" name="Column1238"/>
    <tableColumn id="1246" xr3:uid="{E59D369A-3300-4652-B943-7CDF50CC8DB4}" name="Column1239"/>
    <tableColumn id="1247" xr3:uid="{CE37D593-7A11-489B-B336-4CBC01F8DD80}" name="Column1240"/>
    <tableColumn id="1248" xr3:uid="{72016EDB-AE50-45FD-BCDA-EA90F3863772}" name="Column1241"/>
    <tableColumn id="1249" xr3:uid="{6AAC7845-FC27-4141-83E8-8AED993C5184}" name="Column1242"/>
    <tableColumn id="1250" xr3:uid="{610824D5-8B67-450C-AB49-1B7494D78DCC}" name="Column1243"/>
    <tableColumn id="1251" xr3:uid="{B105A7B6-0093-4C1A-BD3D-E621B1321C39}" name="Column1244"/>
    <tableColumn id="1252" xr3:uid="{FC78BB6C-1648-4998-B236-17AD286A9172}" name="Column1245"/>
    <tableColumn id="1253" xr3:uid="{E98B54D9-768D-490A-B5BA-C257406780A3}" name="Column1246"/>
    <tableColumn id="1254" xr3:uid="{4E707E32-A4EA-4A30-A664-B515AA169A45}" name="Column1247"/>
    <tableColumn id="1255" xr3:uid="{103BBF55-48B7-4803-89E4-ADA11667B211}" name="Column1248"/>
    <tableColumn id="1256" xr3:uid="{4A56B1E5-D449-43D7-B615-B5D7A1CCAAA9}" name="Column1249"/>
    <tableColumn id="1257" xr3:uid="{ED731B5D-09B2-466A-B43C-68FAF0B84C8E}" name="Column1250"/>
    <tableColumn id="1258" xr3:uid="{6C9B1BE7-3765-4224-8BC4-9A616B308CA4}" name="Column1251"/>
    <tableColumn id="1259" xr3:uid="{2C0004CC-CE49-4E82-889E-E5AFC011EBB6}" name="Column1252"/>
    <tableColumn id="1260" xr3:uid="{CA09C132-862D-4BE1-AE69-A34F1FF81A7E}" name="Column1253"/>
    <tableColumn id="1261" xr3:uid="{2C26CAB7-4BAF-47C3-9097-5A2FDD2F3D9D}" name="Column1254"/>
    <tableColumn id="1262" xr3:uid="{751DC1A3-A0EB-463A-B844-7E4C76941C71}" name="Column1255"/>
    <tableColumn id="1263" xr3:uid="{9628C57B-1DF3-44F0-BB33-2BC09A169086}" name="Column1256"/>
    <tableColumn id="1264" xr3:uid="{105A3627-E6C3-46DF-978A-8F1F13A0FE93}" name="Column1257"/>
    <tableColumn id="1265" xr3:uid="{DBD6E344-9B69-450E-9C60-0F9970F5F7E4}" name="Column1258"/>
    <tableColumn id="1266" xr3:uid="{D9A45B05-3E67-4EEE-8437-D973BBAF814D}" name="Column1259"/>
    <tableColumn id="1267" xr3:uid="{31C134F3-CE13-4B80-B4BB-D7302F87DF6E}" name="Column1260"/>
    <tableColumn id="1268" xr3:uid="{37E328A3-677C-4A2F-94F8-9A1080B1D94E}" name="Column1261"/>
    <tableColumn id="1269" xr3:uid="{C0262EAE-9B14-4DC7-8A20-D5CCE122F2BC}" name="Column1262"/>
    <tableColumn id="1270" xr3:uid="{0EF69B79-49F4-4F33-B88E-C36A96B215C2}" name="Column1263"/>
    <tableColumn id="1271" xr3:uid="{C5FDEA1D-9D46-4343-8B86-5CA2CFD66743}" name="Column1264"/>
    <tableColumn id="1272" xr3:uid="{30C114BF-2412-4F65-91F0-C77BB3A126C1}" name="Column1265"/>
    <tableColumn id="1273" xr3:uid="{514AE5AC-04A7-4E4E-9C8F-73C30A738674}" name="Column1266"/>
    <tableColumn id="1274" xr3:uid="{99913828-E2F9-4C03-A90E-4DA5FDDD615E}" name="Column1267"/>
    <tableColumn id="1275" xr3:uid="{794E7E91-69A2-4CA6-9CB0-6B11DC822184}" name="Column1268"/>
    <tableColumn id="1276" xr3:uid="{F1737FD8-D942-4762-A355-68C39A3E57D0}" name="Column1269"/>
    <tableColumn id="1277" xr3:uid="{016B466D-1A9E-4EF7-B096-AD1BC6784B2E}" name="Column1270"/>
    <tableColumn id="1278" xr3:uid="{F0A76899-B265-41BA-A033-EB53101D57BA}" name="Column1271"/>
    <tableColumn id="1279" xr3:uid="{79B8C0AF-E57A-4E8A-A80E-C19F751C6DD2}" name="Column1272"/>
    <tableColumn id="1280" xr3:uid="{9723B320-6588-4EB0-99E0-8B596CF01247}" name="Column1273"/>
    <tableColumn id="1281" xr3:uid="{F827913A-7A08-40D1-8CBB-40FEEF260E43}" name="Column1274"/>
    <tableColumn id="1282" xr3:uid="{27729FE2-B106-416C-BFE9-5E7CC090A84E}" name="Column1275"/>
    <tableColumn id="1283" xr3:uid="{7B03CE7E-3953-4034-AD2E-3B69B1BC0807}" name="Column1276"/>
    <tableColumn id="1284" xr3:uid="{19EB11E1-11B2-4149-8FDC-0160A0F163C6}" name="Column1277"/>
    <tableColumn id="1285" xr3:uid="{116C2F86-09DA-4AC3-829A-67A115962D17}" name="Column1278"/>
    <tableColumn id="1286" xr3:uid="{02BEF05C-D574-4F44-9176-4DC527176999}" name="Column1279"/>
    <tableColumn id="1287" xr3:uid="{3A1D9857-6C05-4E75-886B-01F5EEC5FC45}" name="Column1280"/>
    <tableColumn id="1288" xr3:uid="{879199BB-5FCB-4E1E-B68B-B25DE5675877}" name="Column1281"/>
    <tableColumn id="1289" xr3:uid="{325C694D-95C0-41A5-9304-68488062448B}" name="Column1282"/>
    <tableColumn id="1290" xr3:uid="{CBDD819B-C2D4-46BF-9698-FC97571B6F4C}" name="Column1283"/>
    <tableColumn id="1291" xr3:uid="{A100EA98-C8BC-4FCA-92A8-FF3C853ED0AE}" name="Column1284"/>
    <tableColumn id="1292" xr3:uid="{850DBF2B-2DB0-4E78-92FF-D77BEF512D3F}" name="Column1285"/>
    <tableColumn id="1293" xr3:uid="{E84AB1F1-062A-42B7-B7DC-9A711CFE1CF5}" name="Column1286"/>
    <tableColumn id="1294" xr3:uid="{E19471CA-9B42-4F11-AE44-98B0A90033A5}" name="Column1287"/>
    <tableColumn id="1295" xr3:uid="{4E8840A0-D651-407F-8659-8C6B03B10844}" name="Column1288"/>
    <tableColumn id="1296" xr3:uid="{701DE4A9-9571-4730-AB8E-FC02CD1E489F}" name="Column1289"/>
    <tableColumn id="1297" xr3:uid="{EF98E833-D37E-499B-AFCD-38CBCB452B61}" name="Column1290"/>
    <tableColumn id="1298" xr3:uid="{2CAE4E3F-9AB4-49C3-8C2E-9DDDB3BBEE4D}" name="Column1291"/>
    <tableColumn id="1299" xr3:uid="{EE9789DF-4155-40C7-9C74-59F156835B20}" name="Column1292"/>
    <tableColumn id="1300" xr3:uid="{B4A42E97-9DF4-48FB-89D4-D0652B09E674}" name="Column1293"/>
    <tableColumn id="1301" xr3:uid="{B0BD9B90-0508-45AB-9EA2-528DB748CDC4}" name="Column1294"/>
    <tableColumn id="1302" xr3:uid="{9E57379F-DF4A-4D34-B101-B21BA5C3B23D}" name="Column1295"/>
    <tableColumn id="1303" xr3:uid="{BDBD32A1-5333-430B-9815-A04C87BBAD42}" name="Column1296"/>
    <tableColumn id="1304" xr3:uid="{E3C9947F-A86E-42D9-943B-20073BB3C232}" name="Column1297"/>
    <tableColumn id="1305" xr3:uid="{362E9EF3-B728-4331-9DE4-20F192C78112}" name="Column1298"/>
    <tableColumn id="1306" xr3:uid="{107CC56D-A20B-4CE9-AC20-789FC31B4869}" name="Column1299"/>
    <tableColumn id="1307" xr3:uid="{9AB4B847-FF5B-45AD-8812-B53BF538D8DE}" name="Column1300"/>
    <tableColumn id="1308" xr3:uid="{E3066B0B-469E-4DC6-9413-1DFFA6D45284}" name="Column1301"/>
    <tableColumn id="1309" xr3:uid="{A158FE38-8716-4C63-B1FC-10781B3B6C53}" name="Column1302"/>
    <tableColumn id="1310" xr3:uid="{BC848A28-4776-4BB8-AAAA-94A894E92550}" name="Column1303"/>
    <tableColumn id="1311" xr3:uid="{09369519-8604-4AA9-8025-E425C8A81E28}" name="Column1304"/>
    <tableColumn id="1312" xr3:uid="{DA6F2003-75C7-48EC-A378-E50554569AB4}" name="Column1305"/>
    <tableColumn id="1313" xr3:uid="{BD19869B-FE9B-4365-AC24-40F5B61DBD08}" name="Column1306"/>
    <tableColumn id="1314" xr3:uid="{61F30BD5-D436-4020-A660-1D89E3E00328}" name="Column1307"/>
    <tableColumn id="1315" xr3:uid="{FAC54758-FF9C-4F2A-967A-D54D2FB45E6C}" name="Column1308"/>
    <tableColumn id="1316" xr3:uid="{95D11543-8480-46AB-8645-71E1841653FF}" name="Column1309"/>
    <tableColumn id="1317" xr3:uid="{625F5E71-9120-4CF6-8612-CBA57E2A5E0A}" name="Column1310"/>
    <tableColumn id="1318" xr3:uid="{4782F7D8-23A1-4C1A-BBE6-40D113650E34}" name="Column1311"/>
    <tableColumn id="1319" xr3:uid="{A299E640-D045-4F7E-BBE9-83DFCCA22280}" name="Column1312"/>
    <tableColumn id="1320" xr3:uid="{10A9EC03-FF20-4DF9-8426-925CB1560275}" name="Column1313"/>
    <tableColumn id="1321" xr3:uid="{E5D8ACB4-5CF6-45A8-A9E0-64F95F4D5D8E}" name="Column1314"/>
    <tableColumn id="1322" xr3:uid="{A3C8B5CF-AD7A-4CF2-9ED9-F27448C7645A}" name="Column1315"/>
    <tableColumn id="1323" xr3:uid="{3E3B217F-3DE9-494D-83A7-6DDB210025DF}" name="Column1316"/>
    <tableColumn id="1324" xr3:uid="{0D165251-C0AC-4511-AA0D-C98504B163AA}" name="Column1317"/>
    <tableColumn id="1325" xr3:uid="{21759005-2FC3-400D-950B-746049C000AB}" name="Column1318"/>
    <tableColumn id="1326" xr3:uid="{4D52B01C-DA60-409D-8C87-2D46D2CC7DC3}" name="Column1319"/>
    <tableColumn id="1327" xr3:uid="{666529AD-64B4-4EDF-94CF-9F97D540A21F}" name="Column1320"/>
    <tableColumn id="1328" xr3:uid="{5312F3C1-C826-42EE-9573-484EEDB43AF6}" name="Column1321"/>
    <tableColumn id="1329" xr3:uid="{A7106701-B2B7-4297-9C69-4FBACEEB4F37}" name="Column1322"/>
    <tableColumn id="1330" xr3:uid="{F469B205-1C82-425A-B118-BA46F98E3277}" name="Column1323"/>
    <tableColumn id="1331" xr3:uid="{20E7F44A-E1F5-4A12-A3DA-EEE3CF340592}" name="Column1324"/>
    <tableColumn id="1332" xr3:uid="{0D348B72-7E65-4B10-80C8-90B9C2637D58}" name="Column1325"/>
    <tableColumn id="1333" xr3:uid="{B730FEDD-54C5-4DA6-A1D6-AF565C6BF4D5}" name="Column1326"/>
    <tableColumn id="1334" xr3:uid="{F4F05B90-7E10-46A8-81C0-5A04F7BDDEF0}" name="Column1327"/>
    <tableColumn id="1335" xr3:uid="{25AC3302-955E-4052-BB5E-AC4D5A6E461A}" name="Column1328"/>
    <tableColumn id="1336" xr3:uid="{C10B5062-7441-46DB-9B42-7C7370E49D28}" name="Column1329"/>
    <tableColumn id="1337" xr3:uid="{ADFDBBE8-2E05-4C3B-85DD-7D9A7152CDFE}" name="Column1330"/>
    <tableColumn id="1338" xr3:uid="{07DDE742-18A0-444B-8BB3-38A769698A27}" name="Column1331"/>
    <tableColumn id="1339" xr3:uid="{7E1D2C65-C227-4ECD-BE13-10D9D3405B2E}" name="Column1332"/>
    <tableColumn id="1340" xr3:uid="{809A93EC-8E93-4E77-810B-BF16BFFC63C9}" name="Column1333"/>
    <tableColumn id="1341" xr3:uid="{27DF21F0-D7B9-4E9B-AF41-44948BFDE956}" name="Column1334"/>
    <tableColumn id="1342" xr3:uid="{84C6BF2E-E2CA-48CF-BAF2-97A5B186932F}" name="Column1335"/>
    <tableColumn id="1343" xr3:uid="{C3C79BE2-3224-4C20-8858-7ED36C3B791D}" name="Column1336"/>
    <tableColumn id="1344" xr3:uid="{10912989-1E23-4A99-AD0B-4072AF8417B1}" name="Column1337"/>
    <tableColumn id="1345" xr3:uid="{C8527551-597D-4E7C-A75D-6ADE98C25852}" name="Column1338"/>
    <tableColumn id="1346" xr3:uid="{6CD68BD4-4355-4027-B94D-E1E0B8DBF8D2}" name="Column1339"/>
    <tableColumn id="1347" xr3:uid="{A48D334E-2620-4146-B3CA-130AAA85E2E9}" name="Column1340"/>
    <tableColumn id="1348" xr3:uid="{BDE3422E-C7CF-4288-9950-322DB659C84C}" name="Column1341"/>
    <tableColumn id="1349" xr3:uid="{1E50E90A-F16B-4457-A29B-C34E84CA88B6}" name="Column1342"/>
    <tableColumn id="1350" xr3:uid="{9D2F842D-86ED-43B6-B0E3-99980CED732D}" name="Column1343"/>
    <tableColumn id="1351" xr3:uid="{C1B3ED44-6A8A-4443-8E17-158F99C6698B}" name="Column1344"/>
    <tableColumn id="1352" xr3:uid="{1E2F1F4C-8B99-4234-B9E8-5AF46FA0BB9F}" name="Column1345"/>
    <tableColumn id="1353" xr3:uid="{865D358C-83C3-4968-9281-D38B356A03A7}" name="Column1346"/>
    <tableColumn id="1354" xr3:uid="{AC8387CC-CFEA-44AB-B109-0EA921EA1D46}" name="Column1347"/>
    <tableColumn id="1355" xr3:uid="{CEE17C71-09FB-432E-AB4A-CDB6E914C550}" name="Column1348"/>
    <tableColumn id="1356" xr3:uid="{124F7905-05AC-470B-9B29-46C388CCBB1D}" name="Column1349"/>
    <tableColumn id="1357" xr3:uid="{29FA08E2-C1DA-4264-A62D-8E7B80E0F9D3}" name="Column1350"/>
    <tableColumn id="1358" xr3:uid="{A3D8BF89-4066-48DC-B9F9-96BEE7B9C17E}" name="Column1351"/>
    <tableColumn id="1359" xr3:uid="{DA4DFF0E-E549-4D34-8DAC-746C7C78B5A6}" name="Column1352"/>
    <tableColumn id="1360" xr3:uid="{DD6B4DE5-774E-4741-829B-DC48CC468E70}" name="Column1353"/>
    <tableColumn id="1361" xr3:uid="{62661ECD-42EA-4DA3-951E-4BFF23BC53DB}" name="Column1354"/>
    <tableColumn id="1362" xr3:uid="{76D5F0D0-8EA6-47FE-8A31-4F5B7AE8CB74}" name="Column1355"/>
    <tableColumn id="1363" xr3:uid="{D626E838-162D-4CC7-83D5-B396220A50FA}" name="Column1356"/>
    <tableColumn id="1364" xr3:uid="{7C193C86-9CC6-415E-A130-81BE05AE9865}" name="Column1357"/>
    <tableColumn id="1365" xr3:uid="{3B8847B1-CB5C-48D1-806F-333BF35B9401}" name="Column1358"/>
    <tableColumn id="1366" xr3:uid="{102BDB59-342D-4227-8777-5C6E181D29AC}" name="Column1359"/>
    <tableColumn id="1367" xr3:uid="{DEBDFB7C-AEBA-4DDE-957C-5954EC58E4FB}" name="Column1360"/>
    <tableColumn id="1368" xr3:uid="{889F7E9E-F228-4C6D-A791-F5DF073F8D25}" name="Column1361"/>
    <tableColumn id="1369" xr3:uid="{ECD05F58-64DB-45F8-82E5-7F638914CEC8}" name="Column1362"/>
    <tableColumn id="1370" xr3:uid="{F2814761-D57A-4725-A68A-EFCFDBD33FEF}" name="Column1363"/>
    <tableColumn id="1371" xr3:uid="{E69C1690-A1A9-4523-96D7-9ABA7C65658C}" name="Column1364"/>
    <tableColumn id="1372" xr3:uid="{32580544-C37A-4C7A-BB31-FEFABEDE8637}" name="Column1365"/>
    <tableColumn id="1373" xr3:uid="{DB5CF48D-3D62-4530-A005-D83307B995A2}" name="Column1366"/>
    <tableColumn id="1374" xr3:uid="{2F0CD65D-1021-4D36-B8C4-23F218723B70}" name="Column1367"/>
    <tableColumn id="1375" xr3:uid="{4A6A1CE0-C26F-465C-B585-74E874A03E48}" name="Column1368"/>
    <tableColumn id="1376" xr3:uid="{3C82D564-C88D-4741-8BB3-DA66B7E82762}" name="Column1369"/>
    <tableColumn id="1377" xr3:uid="{5506DBB2-8494-416E-8584-F3A515C3D60A}" name="Column1370"/>
    <tableColumn id="1378" xr3:uid="{EB6C5E68-6F32-49D8-B940-755E281060AA}" name="Column1371"/>
    <tableColumn id="1379" xr3:uid="{82F75282-90C1-44B6-BB87-767AF95E76A9}" name="Column1372"/>
    <tableColumn id="1380" xr3:uid="{A64A1E39-DA12-49D2-91D7-48493989A0CB}" name="Column1373"/>
    <tableColumn id="1381" xr3:uid="{F37D028F-9CF3-40AE-AEDE-8459DDC7DCC7}" name="Column1374"/>
    <tableColumn id="1382" xr3:uid="{550F3575-7E9E-4F67-B47C-4A56D4CFE416}" name="Column1375"/>
    <tableColumn id="1383" xr3:uid="{6E174C22-38EF-44A9-A24F-E65B41A70AA6}" name="Column1376"/>
    <tableColumn id="1384" xr3:uid="{7D635627-9572-4FEE-AACC-C018CD91A168}" name="Column1377"/>
    <tableColumn id="1385" xr3:uid="{C96EA295-DAEE-4B7B-8BCF-9F76B899621B}" name="Column1378"/>
    <tableColumn id="1386" xr3:uid="{60D628E2-EAE3-41A4-A7FF-B23804588EFB}" name="Column1379"/>
    <tableColumn id="1387" xr3:uid="{3B8788A8-7555-4909-B533-8063DB3800CA}" name="Column1380"/>
    <tableColumn id="1388" xr3:uid="{FE9A04FA-9587-4CBD-8937-BA23DA25C6EA}" name="Column1381"/>
    <tableColumn id="1389" xr3:uid="{AFEF3526-5EB3-43A0-948F-EFCDE0C862F4}" name="Column1382"/>
    <tableColumn id="1390" xr3:uid="{3478E2EA-F366-4618-BC57-982AD727219F}" name="Column1383"/>
    <tableColumn id="1391" xr3:uid="{07D682B7-B4D6-4A1E-898A-086486FA4F6F}" name="Column1384"/>
    <tableColumn id="1392" xr3:uid="{F74DC649-81CE-4C7A-AB6D-D724DF6B84A2}" name="Column1385"/>
    <tableColumn id="1393" xr3:uid="{795D2578-BFB4-4B1C-B7E3-18AC1598DF94}" name="Column1386"/>
    <tableColumn id="1394" xr3:uid="{5ACCFC9B-98A5-46AB-A010-B0855B8F08F2}" name="Column1387"/>
    <tableColumn id="1395" xr3:uid="{318A5256-2D1C-474A-BC9C-2A9A11FB4C2F}" name="Column1388"/>
    <tableColumn id="1396" xr3:uid="{58C94D85-9495-4329-A061-F0E34E99FE77}" name="Column1389"/>
    <tableColumn id="1397" xr3:uid="{FD21CF8E-28EB-4DD7-A25A-C36443EDC5CE}" name="Column1390"/>
    <tableColumn id="1398" xr3:uid="{27DB3C5B-4B7D-4842-97A9-C2AC4E5F0A55}" name="Column1391"/>
    <tableColumn id="1399" xr3:uid="{17406A9D-35D0-4F64-A9DC-1E0CA0B7901E}" name="Column1392"/>
    <tableColumn id="1400" xr3:uid="{CA4CC2FB-8C4B-4A21-89DA-C47817897630}" name="Column1393"/>
    <tableColumn id="1401" xr3:uid="{E99D91B4-0886-4E30-A303-48813EE51837}" name="Column1394"/>
    <tableColumn id="1402" xr3:uid="{4E0BCB2C-5089-4216-A71E-E30020E56486}" name="Column1395"/>
    <tableColumn id="1403" xr3:uid="{9F6B9981-FC21-4DEC-B42E-C715C5B93158}" name="Column1396"/>
    <tableColumn id="1404" xr3:uid="{AD17BFD0-B7C5-48B1-B64F-B32F5E972FF7}" name="Column1397"/>
    <tableColumn id="1405" xr3:uid="{77214947-3521-498F-9940-0DFD5A808559}" name="Column1398"/>
    <tableColumn id="1406" xr3:uid="{B46DB91A-8073-4B22-9609-42BC61E1238D}" name="Column1399"/>
    <tableColumn id="1407" xr3:uid="{BC408377-E397-480F-B2B8-BFD17C1EBED9}" name="Column1400"/>
    <tableColumn id="1408" xr3:uid="{333E25B9-0C69-4F97-A1F8-BCDBAF71BA98}" name="Column1401"/>
    <tableColumn id="1409" xr3:uid="{A7306CB3-7EBD-4977-8DA4-D311C46A57F2}" name="Column1402"/>
    <tableColumn id="1410" xr3:uid="{5D0896C6-3805-4712-8D89-398861800986}" name="Column1403"/>
    <tableColumn id="1411" xr3:uid="{2EA2EE7C-4E06-4FA6-A709-577C24803B74}" name="Column1404"/>
    <tableColumn id="1412" xr3:uid="{E497E087-2915-489E-9A5B-9359FFAE8FB1}" name="Column1405"/>
    <tableColumn id="1413" xr3:uid="{F4C54DF9-A7C6-4D20-A31F-1F07DA16D02B}" name="Column1406"/>
    <tableColumn id="1414" xr3:uid="{0D24C9E5-9C11-4DC6-B0D6-5E9E0C3FFC66}" name="Column1407"/>
    <tableColumn id="1415" xr3:uid="{11510ABF-56A7-4283-9069-34DEF7B2516D}" name="Column1408"/>
    <tableColumn id="1416" xr3:uid="{21B912FD-C7F2-4BB5-A482-23E709B4EC59}" name="Column1409"/>
    <tableColumn id="1417" xr3:uid="{29686BC2-7169-4930-A5F8-A9ECF8A17649}" name="Column1410"/>
    <tableColumn id="1418" xr3:uid="{00CF802A-9915-4B01-B105-C7CBBBD49A01}" name="Column1411"/>
    <tableColumn id="1419" xr3:uid="{387AD72E-A1F7-4394-890D-364465D43621}" name="Column1412"/>
    <tableColumn id="1420" xr3:uid="{A23A2A80-21F0-4EB6-BB5B-5D22F392FFDC}" name="Column1413"/>
    <tableColumn id="1421" xr3:uid="{A2F30C66-D83A-42B9-A808-6A861CBF7377}" name="Column1414"/>
    <tableColumn id="1422" xr3:uid="{CAC99B7C-3A7A-4FD2-B630-F4D4C1EC2D6A}" name="Column1415"/>
    <tableColumn id="1423" xr3:uid="{C0959BFA-B2FF-4952-B5D7-BB27A5C380DF}" name="Column1416"/>
    <tableColumn id="1424" xr3:uid="{D91C471B-D269-420F-91BE-BD7AB3C88809}" name="Column1417"/>
    <tableColumn id="1425" xr3:uid="{A03A9EA7-14B5-49F9-BE9A-DAA5BCE47139}" name="Column1418"/>
    <tableColumn id="1426" xr3:uid="{5219DC00-1A1C-450F-9FB0-6742AA553AEF}" name="Column1419"/>
    <tableColumn id="1427" xr3:uid="{62872EB0-A43E-4521-9563-2D8B8357A804}" name="Column1420"/>
    <tableColumn id="1428" xr3:uid="{C17F2E70-F0FD-4FCC-BF8D-D19E729A9EAF}" name="Column1421"/>
    <tableColumn id="1429" xr3:uid="{E8EABA0C-ABD6-4DDF-97AC-A4C5E9568B4B}" name="Column1422"/>
    <tableColumn id="1430" xr3:uid="{8387E36C-6C4A-4C55-A5AA-D3D1161693B8}" name="Column1423"/>
    <tableColumn id="1431" xr3:uid="{06221C7A-B521-4F5A-8328-749CBB2756E6}" name="Column1424"/>
    <tableColumn id="1432" xr3:uid="{972C048F-A695-4573-B60C-265805408CA0}" name="Column1425"/>
    <tableColumn id="1433" xr3:uid="{C8D1D373-94C9-40A3-9097-50DDD3F8EA77}" name="Column1426"/>
    <tableColumn id="1434" xr3:uid="{DF446A45-BF09-4F5C-A33C-309AAC6B48B0}" name="Column1427"/>
    <tableColumn id="1435" xr3:uid="{93F0756F-95CC-4F62-BB1F-BE436E2E2D87}" name="Column1428"/>
    <tableColumn id="1436" xr3:uid="{CFBB7E07-D816-4C4C-803F-E0EB5D714556}" name="Column1429"/>
    <tableColumn id="1437" xr3:uid="{135525EC-46A3-487F-A7D1-037656406BE6}" name="Column1430"/>
    <tableColumn id="1438" xr3:uid="{8D2FE54A-BA46-4957-B6DB-AA6F9AF6CE5D}" name="Column1431"/>
    <tableColumn id="1439" xr3:uid="{F9EA339F-94A2-4638-8DA2-7F70E2A411E9}" name="Column1432"/>
    <tableColumn id="1440" xr3:uid="{71E688F2-2891-4023-B74D-DF62DB5FFB26}" name="Column1433"/>
    <tableColumn id="1441" xr3:uid="{CF9470EF-B9A9-46AE-9C8D-E99C37C7ACEA}" name="Column1434"/>
    <tableColumn id="1442" xr3:uid="{085960D2-86B2-416B-9EF9-ED8DDD752A0D}" name="Column1435"/>
    <tableColumn id="1443" xr3:uid="{95F58BB4-419E-4C5F-9E18-1D728E7EC6A3}" name="Column1436"/>
    <tableColumn id="1444" xr3:uid="{E20C35BB-2ED6-4234-9EDD-32E5784A6FE9}" name="Column1437"/>
    <tableColumn id="1445" xr3:uid="{DC246509-BB9C-4E26-8E79-A114C60BAF61}" name="Column1438"/>
    <tableColumn id="1446" xr3:uid="{D879099D-15A3-408A-8159-D3AEE4BAD6A9}" name="Column1439"/>
    <tableColumn id="1447" xr3:uid="{36362C1F-0A58-4183-BADD-6F45FFA34DB2}" name="Column1440"/>
    <tableColumn id="1448" xr3:uid="{25EA6078-19EE-4B5C-ABAB-99EF941728A2}" name="Column1441"/>
    <tableColumn id="1449" xr3:uid="{8F2B22EC-DEB8-4A86-9BC7-94039C661C14}" name="Column1442"/>
    <tableColumn id="1450" xr3:uid="{822B2F54-2B6E-4C46-8614-B1C58833CD32}" name="Column1443"/>
    <tableColumn id="1451" xr3:uid="{38237CD1-5409-47C0-8127-75D93A3E85BF}" name="Column1444"/>
    <tableColumn id="1452" xr3:uid="{7CE37B88-B4A7-4D54-9FC3-F9A69F6F6E78}" name="Column1445"/>
    <tableColumn id="1453" xr3:uid="{896A49A7-3DC7-4848-8905-370A28429413}" name="Column1446"/>
    <tableColumn id="1454" xr3:uid="{34F74A37-09D5-4793-96A3-060C6FDA2AE5}" name="Column1447"/>
    <tableColumn id="1455" xr3:uid="{5EE6F08A-C3AF-403E-B257-4086EC45C0C2}" name="Column1448"/>
    <tableColumn id="1456" xr3:uid="{507D99B9-F8D6-42CF-9E78-D6E36433495D}" name="Column1449"/>
    <tableColumn id="1457" xr3:uid="{9CBD3ABA-30D5-49F5-AA96-7DE5A1ABF428}" name="Column1450"/>
    <tableColumn id="1458" xr3:uid="{4EDB2A29-A832-449E-90C6-974BB8FC2F0E}" name="Column1451"/>
    <tableColumn id="1459" xr3:uid="{B022E30C-8879-4015-AE30-8CE12C9DA768}" name="Column1452"/>
    <tableColumn id="1460" xr3:uid="{AD4B82CA-6032-4FCF-B4B5-176A8B50137C}" name="Column1453"/>
    <tableColumn id="1461" xr3:uid="{AE6895A4-5E4D-4C73-8893-A426528408CD}" name="Column1454"/>
    <tableColumn id="1462" xr3:uid="{BD80020F-192A-4893-B28E-40994BBFECAE}" name="Column1455"/>
    <tableColumn id="1463" xr3:uid="{24BB2269-BFBE-4269-8FF7-16A12330E7F3}" name="Column1456"/>
    <tableColumn id="1464" xr3:uid="{F7A372B5-70BC-4711-A81B-594AF47D5B16}" name="Column1457"/>
    <tableColumn id="1465" xr3:uid="{24B776D6-9D05-4747-B33B-31554125E58C}" name="Column1458"/>
    <tableColumn id="1466" xr3:uid="{14BC7D30-A40E-4FC3-8592-7406E485504C}" name="Column1459"/>
    <tableColumn id="1467" xr3:uid="{B8C7280B-BF4E-4886-9F51-0561E888B932}" name="Column1460"/>
    <tableColumn id="1468" xr3:uid="{F7C8C469-7777-46D6-9DE3-7550A6C0141D}" name="Column1461"/>
    <tableColumn id="1469" xr3:uid="{1AB3768D-10BA-4568-9A1F-FA0F5F22DBE4}" name="Column1462"/>
    <tableColumn id="1470" xr3:uid="{997446BA-6CC4-4DA4-808E-7A2089D29D20}" name="Column1463"/>
    <tableColumn id="1471" xr3:uid="{A17BFA38-FD63-4EA6-B3CE-DC8039AAE717}" name="Column1464"/>
    <tableColumn id="1472" xr3:uid="{41F7C120-82FF-4405-A9EF-AD79C54600EF}" name="Column1465"/>
    <tableColumn id="1473" xr3:uid="{DFB1883A-17C7-4C78-97A3-86A9640B1C3D}" name="Column1466"/>
    <tableColumn id="1474" xr3:uid="{E0C45ACF-7A34-48FA-A16C-99F18BEDD94A}" name="Column1467"/>
    <tableColumn id="1475" xr3:uid="{FFA99BA9-FD74-41CC-BE31-9137D9A41507}" name="Column1468"/>
    <tableColumn id="1476" xr3:uid="{22FD3937-FE1E-4EE6-844B-452E4532FE78}" name="Column1469"/>
    <tableColumn id="1477" xr3:uid="{6905B7B6-A024-4F9D-AE1A-7A84B3E78ABF}" name="Column1470"/>
    <tableColumn id="1478" xr3:uid="{B212807B-CBDA-4799-865C-FE41C62A89ED}" name="Column1471"/>
    <tableColumn id="1479" xr3:uid="{03EBAC2E-A19F-4800-9C98-AE2CEBB5F381}" name="Column1472"/>
    <tableColumn id="1480" xr3:uid="{192B6E92-4DEE-4968-85AD-8BB27DC61CF6}" name="Column1473"/>
    <tableColumn id="1481" xr3:uid="{4429B028-039B-439E-B327-5BF710E2B8F0}" name="Column1474"/>
    <tableColumn id="1482" xr3:uid="{941AEC0D-C365-48A8-BCFC-821623BDB99B}" name="Column1475"/>
    <tableColumn id="1483" xr3:uid="{E931C20E-4AF7-46BA-9F35-B16F66622490}" name="Column1476"/>
    <tableColumn id="1484" xr3:uid="{C1325AC8-B0D0-4B15-B784-871DF955503D}" name="Column1477"/>
    <tableColumn id="1485" xr3:uid="{E0F8CFD9-8420-4F5A-BFC5-FA72367F95D8}" name="Column1478"/>
    <tableColumn id="1486" xr3:uid="{EC3BB3ED-356A-4E19-9731-FA27D759D48E}" name="Column1479"/>
    <tableColumn id="1487" xr3:uid="{094A614E-C701-4295-9823-89045B5D1CE0}" name="Column1480"/>
    <tableColumn id="1488" xr3:uid="{4550F0AB-DCBD-465C-AB9F-85FC901AA252}" name="Column1481"/>
    <tableColumn id="1489" xr3:uid="{44C6FDA9-4264-484F-BBF2-597EC2331658}" name="Column1482"/>
    <tableColumn id="1490" xr3:uid="{5C11ABA9-8050-4F97-85C2-7FA56EB8127C}" name="Column1483"/>
    <tableColumn id="1491" xr3:uid="{6BE1CE5B-2817-4452-B3B9-586456FE6367}" name="Column1484"/>
    <tableColumn id="1492" xr3:uid="{9C8495A3-2DFF-4FAA-88A7-34D81D57851E}" name="Column1485"/>
    <tableColumn id="1493" xr3:uid="{74C2EF6E-44DC-41EA-B667-1CD28C0B8DF2}" name="Column1486"/>
    <tableColumn id="1494" xr3:uid="{BA44E3F0-BF94-47F6-B8B9-B18085F94112}" name="Column1487"/>
    <tableColumn id="1495" xr3:uid="{E5AE2A33-4275-4E1E-8AC5-786E76578DE1}" name="Column1488"/>
    <tableColumn id="1496" xr3:uid="{511163D5-11BE-4C9B-AA46-BCCFB9E49365}" name="Column1489"/>
    <tableColumn id="1497" xr3:uid="{E00F524B-80DE-40DD-9FFB-2575885F6AC6}" name="Column1490"/>
    <tableColumn id="1498" xr3:uid="{1EE2FDFC-2782-4B5F-919D-44B152ABC57D}" name="Column1491"/>
    <tableColumn id="1499" xr3:uid="{94AA290D-5136-490C-BFFB-D0FC09C7C2C9}" name="Column1492"/>
    <tableColumn id="1500" xr3:uid="{52ACDE21-A0F8-4D46-A223-DFA361D986F2}" name="Column1493"/>
    <tableColumn id="1501" xr3:uid="{2AAE03A8-281B-468E-B67F-0F94C4E8AB43}" name="Column1494"/>
    <tableColumn id="1502" xr3:uid="{0547C532-77AF-45EF-BD00-3DC5F27DCF70}" name="Column1495"/>
    <tableColumn id="1503" xr3:uid="{24DF389D-AA0B-44CA-B873-248A0D2F3E7A}" name="Column1496"/>
    <tableColumn id="1504" xr3:uid="{87983932-C36B-4C42-A9B6-999B6B289D48}" name="Column1497"/>
    <tableColumn id="1505" xr3:uid="{1E7605D9-1FC8-424C-9E42-0C24CF08CA41}" name="Column1498"/>
    <tableColumn id="1506" xr3:uid="{6EA88370-66A4-470D-8AF6-82C3B729CF5B}" name="Column1499"/>
    <tableColumn id="1507" xr3:uid="{A29D29DD-3592-4298-99C1-9DDD35868AD3}" name="Column1500"/>
    <tableColumn id="1508" xr3:uid="{E3C4FDED-B120-4B19-9B55-BDDB2DC5BE71}" name="Column1501"/>
    <tableColumn id="1509" xr3:uid="{6507BACE-7787-495D-AEDB-08AF5392B318}" name="Column1502"/>
    <tableColumn id="1510" xr3:uid="{CCE9F33F-B9F4-444C-AFDB-59220BC9B886}" name="Column1503"/>
    <tableColumn id="1511" xr3:uid="{C40FD3D3-EC40-4B48-85FE-BF8C3B0802A1}" name="Column1504"/>
    <tableColumn id="1512" xr3:uid="{BD6F0A6B-9FDA-4F3A-82FB-E5012883C92D}" name="Column1505"/>
    <tableColumn id="1513" xr3:uid="{04806A34-42CC-40D1-9558-7DA1B13B17F8}" name="Column1506"/>
    <tableColumn id="1514" xr3:uid="{CA947496-C9C8-4623-8E3C-87162061DEC5}" name="Column1507"/>
    <tableColumn id="1515" xr3:uid="{C1E33E21-68C5-41BB-8FC9-79C41B286763}" name="Column1508"/>
    <tableColumn id="1516" xr3:uid="{D30AF829-61C1-47B7-946B-F2A956B9E6A2}" name="Column1509"/>
    <tableColumn id="1517" xr3:uid="{324B15DD-243C-41F3-8D35-925049D97BFA}" name="Column1510"/>
    <tableColumn id="1518" xr3:uid="{7EFF7949-5B74-4866-B3EC-353E2AD2DE72}" name="Column1511"/>
    <tableColumn id="1519" xr3:uid="{F1BFC625-C95D-430A-B4AA-DEDDABCE71A8}" name="Column1512"/>
    <tableColumn id="1520" xr3:uid="{BA189E8B-35A2-4CBD-9490-6B5FC963A8AF}" name="Column1513"/>
    <tableColumn id="1521" xr3:uid="{BD0AF715-FE8D-4634-AB63-CFED455C4528}" name="Column1514"/>
    <tableColumn id="1522" xr3:uid="{78311843-B996-41E4-97F3-EF8E284F117A}" name="Column1515"/>
    <tableColumn id="1523" xr3:uid="{EF45547E-E5FD-4575-83F3-544A8CAA96D8}" name="Column1516"/>
    <tableColumn id="1524" xr3:uid="{A3B34119-8CC4-4EA1-B74B-DE5674195CDA}" name="Column1517"/>
    <tableColumn id="1525" xr3:uid="{0A65095E-768D-473E-A3F9-44961CE812A7}" name="Column1518"/>
    <tableColumn id="1526" xr3:uid="{1DFD7075-68BC-4B36-999F-7307714A6819}" name="Column1519"/>
    <tableColumn id="1527" xr3:uid="{199E21CF-9313-4B14-8523-3A555FFCEFBC}" name="Column1520"/>
    <tableColumn id="1528" xr3:uid="{175F869C-E0F8-4048-8166-343F1C43AEF3}" name="Column1521"/>
    <tableColumn id="1529" xr3:uid="{E29035CD-F643-4AE2-B944-8C597BCD3AFF}" name="Column1522"/>
    <tableColumn id="1530" xr3:uid="{94A7245A-751E-4A8B-B4A4-364F6CA20C91}" name="Column1523"/>
    <tableColumn id="1531" xr3:uid="{90058903-B562-498D-8C76-F8E69DE4DFF3}" name="Column1524"/>
    <tableColumn id="1532" xr3:uid="{073BE32E-1921-4FBB-8D5A-7281E41B01CD}" name="Column1525"/>
    <tableColumn id="1533" xr3:uid="{5FB35AD5-D1A7-4551-8CBE-E1AC1885106A}" name="Column1526"/>
    <tableColumn id="1534" xr3:uid="{9FC1030D-363A-4108-904A-C0ADE0138A17}" name="Column1527"/>
    <tableColumn id="1535" xr3:uid="{20AA0571-B3FB-4BF8-ADC5-36426F29C9B9}" name="Column1528"/>
    <tableColumn id="1536" xr3:uid="{4F3C617A-955D-48F9-9D9C-63128BC7A6BB}" name="Column1529"/>
    <tableColumn id="1537" xr3:uid="{38E57074-B74E-46E7-8C43-0C285190E0A7}" name="Column1530"/>
    <tableColumn id="1538" xr3:uid="{5AC214F6-4523-4CD7-8065-FFD88C24699B}" name="Column1531"/>
    <tableColumn id="1539" xr3:uid="{275F55F7-9DA9-4CCF-8DC4-350744738038}" name="Column1532"/>
    <tableColumn id="1540" xr3:uid="{C6B7CD53-7798-409B-A64C-338EA028A7DD}" name="Column1533"/>
    <tableColumn id="1541" xr3:uid="{EB2FEF1D-4428-494D-9700-1DF451CEDC82}" name="Column1534"/>
    <tableColumn id="1542" xr3:uid="{EF38A1FD-5DD4-4429-83D7-08EA2B53E36F}" name="Column1535"/>
    <tableColumn id="1543" xr3:uid="{1E0FBFD4-16C6-4559-B2E0-57F87C02AD2B}" name="Column1536"/>
    <tableColumn id="1544" xr3:uid="{93D6CA49-6A5D-4217-8220-608DF8EFC281}" name="Column1537"/>
    <tableColumn id="1545" xr3:uid="{94FDB480-BF02-432D-8BBA-FA46FF49126A}" name="Column1538"/>
    <tableColumn id="1546" xr3:uid="{8FC94316-30AE-4982-9C54-40DF0413433C}" name="Column1539"/>
    <tableColumn id="1547" xr3:uid="{597A3E83-1DD1-4653-AFDD-C15F380E7437}" name="Column1540"/>
    <tableColumn id="1548" xr3:uid="{8B7CC1BF-D48D-4DF4-8DFE-4F56D65238DA}" name="Column1541"/>
    <tableColumn id="1549" xr3:uid="{B313BCB9-0A54-4368-A2F6-FB84F8EEA466}" name="Column1542"/>
    <tableColumn id="1550" xr3:uid="{726BF577-3FF8-4BF4-AB29-91FA191688EB}" name="Column1543"/>
    <tableColumn id="1551" xr3:uid="{D8F669F7-0940-4CA7-BB3E-0722AF309A17}" name="Column1544"/>
    <tableColumn id="1552" xr3:uid="{086E87C0-D86F-4BB4-91EF-F0F94EB8AB1F}" name="Column1545"/>
    <tableColumn id="1553" xr3:uid="{EEDBA89A-8EC1-4E0A-A43C-6CE21E598862}" name="Column1546"/>
    <tableColumn id="1554" xr3:uid="{9085D923-88FE-43F2-BA47-B14411CD438B}" name="Column1547"/>
    <tableColumn id="1555" xr3:uid="{FEBD031C-0729-47B7-A92D-01F47ADED5A0}" name="Column1548"/>
    <tableColumn id="1556" xr3:uid="{6D5445B0-D77D-42D7-9738-976B725BE75F}" name="Column1549"/>
    <tableColumn id="1557" xr3:uid="{489C18AF-B345-4534-8BF4-02B1A59197F7}" name="Column1550"/>
    <tableColumn id="1558" xr3:uid="{1645A28F-42E8-4C88-AF09-8BCD24EBDA49}" name="Column1551"/>
    <tableColumn id="1559" xr3:uid="{4D335BD8-2AA8-45FC-B589-D772853317FA}" name="Column1552"/>
    <tableColumn id="1560" xr3:uid="{5267B3E9-61B6-4E49-91A3-1E3B10B477B8}" name="Column1553"/>
    <tableColumn id="1561" xr3:uid="{008B3C4C-05E4-462B-8E5E-49E1B670555D}" name="Column1554"/>
    <tableColumn id="1562" xr3:uid="{7BEBC23F-17BC-4B73-BA8D-455F9524D652}" name="Column1555"/>
    <tableColumn id="1563" xr3:uid="{A6C9C145-BE01-4241-9008-3CC8165F7792}" name="Column1556"/>
    <tableColumn id="1564" xr3:uid="{ED316357-811B-40A3-AA9D-78BF10184117}" name="Column1557"/>
    <tableColumn id="1565" xr3:uid="{172A9E6F-4D54-4279-A9B2-4B550F843DEE}" name="Column1558"/>
    <tableColumn id="1566" xr3:uid="{B4FC6D83-F263-45DE-A7C1-52A166DC0879}" name="Column1559"/>
    <tableColumn id="1567" xr3:uid="{1C985900-734C-4E31-8ACA-7183CF9C86F7}" name="Column1560"/>
    <tableColumn id="1568" xr3:uid="{24307434-10D5-4283-807B-D7453CCD08ED}" name="Column1561"/>
    <tableColumn id="1569" xr3:uid="{481960DA-53CE-4EF8-A092-5A54062F59BB}" name="Column1562"/>
    <tableColumn id="1570" xr3:uid="{8CA52D03-8F31-40E5-979C-225A241C4515}" name="Column1563"/>
    <tableColumn id="1571" xr3:uid="{E807A7AE-8ED4-4DF7-AC1A-962E2D268049}" name="Column1564"/>
    <tableColumn id="1572" xr3:uid="{25C60717-27DD-43D7-B38C-571B474BB34F}" name="Column1565"/>
    <tableColumn id="1573" xr3:uid="{F23B1A48-E1E6-417F-BA28-C39466EB77F7}" name="Column1566"/>
    <tableColumn id="1574" xr3:uid="{057931E6-36E4-40E1-9390-5791CCE80468}" name="Column1567"/>
    <tableColumn id="1575" xr3:uid="{01ABA942-D712-4C01-8717-7E95CFA24C90}" name="Column1568"/>
    <tableColumn id="1576" xr3:uid="{D78DC0EF-05E2-4803-8B49-747DA4671CFA}" name="Column1569"/>
    <tableColumn id="1577" xr3:uid="{B0F58FF6-0BC6-405E-921E-8DE6FE994076}" name="Column1570"/>
    <tableColumn id="1578" xr3:uid="{3A8BCB48-C0E6-4B2F-9B0D-760E9E6E40A8}" name="Column1571"/>
    <tableColumn id="1579" xr3:uid="{90E2C27D-73CA-4CBE-852D-C5FCEB4C6265}" name="Column1572"/>
    <tableColumn id="1580" xr3:uid="{D42A216F-461D-4E37-9C4F-AB1A85BC7269}" name="Column1573"/>
    <tableColumn id="1581" xr3:uid="{0B681CCF-2FED-4839-B8AC-746FF538B63D}" name="Column1574"/>
    <tableColumn id="1582" xr3:uid="{D2BB6AF4-85E6-4133-82A6-8ED4E0B9A2CC}" name="Column1575"/>
    <tableColumn id="1583" xr3:uid="{62124B15-DD9B-4CB7-AABF-BDA8D2D859E1}" name="Column1576"/>
    <tableColumn id="1584" xr3:uid="{BDA57850-14E1-45E5-9B48-B13D42DD6E89}" name="Column1577"/>
    <tableColumn id="1585" xr3:uid="{52FDBB6E-5098-48D0-AF38-5EF9A056B1BA}" name="Column1578"/>
    <tableColumn id="1586" xr3:uid="{C5DD2DF7-45C3-4F97-AD6F-D138E4CD7A35}" name="Column1579"/>
    <tableColumn id="1587" xr3:uid="{9402C9B0-868D-43D8-9903-D832917D2E0A}" name="Column1580"/>
    <tableColumn id="1588" xr3:uid="{E8737F31-922B-40E7-99B4-66BBBF593D26}" name="Column1581"/>
    <tableColumn id="1589" xr3:uid="{7CF31A15-9983-4D4A-BAAF-FCBEDEE4BB03}" name="Column1582"/>
    <tableColumn id="1590" xr3:uid="{3D691EFD-8BD8-42AA-A06D-F1BDD3ECE8A0}" name="Column1583"/>
    <tableColumn id="1591" xr3:uid="{A3798030-ADAC-48A6-98FE-9AE36B1F0A91}" name="Column1584"/>
    <tableColumn id="1592" xr3:uid="{C07E3711-F982-4B6B-BA07-7B2F355E2EED}" name="Column1585"/>
    <tableColumn id="1593" xr3:uid="{CC908558-144A-4E36-B065-62DCCA4D718E}" name="Column1586"/>
    <tableColumn id="1594" xr3:uid="{B66F8C32-0E04-4795-9AD1-4FCF71957F19}" name="Column1587"/>
    <tableColumn id="1595" xr3:uid="{F2E7FCC3-CB5E-4E6D-83A4-3C2729E0BE73}" name="Column1588"/>
    <tableColumn id="1596" xr3:uid="{CBE3B5ED-760B-4A30-A150-CAF68AD9B8D3}" name="Column1589"/>
    <tableColumn id="1597" xr3:uid="{F194826E-625C-45CA-A669-5613A26CD7BC}" name="Column1590"/>
    <tableColumn id="1598" xr3:uid="{126A9B44-C3E7-4D3A-832F-5539E3876B96}" name="Column1591"/>
    <tableColumn id="1599" xr3:uid="{C3791FFF-5F51-466C-9ADB-4C1E920C1A74}" name="Column1592"/>
    <tableColumn id="1600" xr3:uid="{F228A97B-E613-4E5D-93A0-56517E75AC4C}" name="Column1593"/>
    <tableColumn id="1601" xr3:uid="{F8F66A1A-6C21-4856-9304-C4901A0EAC6C}" name="Column1594"/>
    <tableColumn id="1602" xr3:uid="{E2BC3822-7D32-4117-952D-D41626B90684}" name="Column1595"/>
    <tableColumn id="1603" xr3:uid="{48586AFA-1F43-4DF6-8723-355721DBA012}" name="Column1596"/>
    <tableColumn id="1604" xr3:uid="{FDC5FF06-37DC-46AE-91CE-C9988537D4EC}" name="Column1597"/>
    <tableColumn id="1605" xr3:uid="{CD645DBE-8157-4728-84C1-8C4A500CD628}" name="Column1598"/>
    <tableColumn id="1606" xr3:uid="{473F6227-0F34-41E6-A28B-258F95237DEF}" name="Column1599"/>
    <tableColumn id="1607" xr3:uid="{86DE2722-AF5B-4E44-AA97-03D28DB8B8FF}" name="Column1600"/>
    <tableColumn id="1608" xr3:uid="{66A1366C-EEA4-47F3-A464-64F6B4D745CA}" name="Column1601"/>
    <tableColumn id="1609" xr3:uid="{E7CA7003-EFE8-4DE3-AF07-F2F463E87ECA}" name="Column1602"/>
    <tableColumn id="1610" xr3:uid="{EE4FCFEF-EF80-4079-A745-82491E4AF16C}" name="Column1603"/>
    <tableColumn id="1611" xr3:uid="{F3F5E480-BC1C-4CFE-90C2-23CDB9BC2183}" name="Column1604"/>
    <tableColumn id="1612" xr3:uid="{0160ADB9-E570-4B1A-A037-717E8CB67B09}" name="Column1605"/>
    <tableColumn id="1613" xr3:uid="{EE837932-2919-4739-A674-AF5B7C2FA492}" name="Column1606"/>
    <tableColumn id="1614" xr3:uid="{2ADC55DC-5E40-4FF7-8B6A-0B875FA1DAEB}" name="Column1607"/>
    <tableColumn id="1615" xr3:uid="{5C462B2D-E6BC-4292-B965-D33D1EB53A8D}" name="Column1608"/>
    <tableColumn id="1616" xr3:uid="{0C3102CD-548C-4E34-82A5-531A7400D6A3}" name="Column1609"/>
    <tableColumn id="1617" xr3:uid="{A810B16D-B3A5-4442-9A3F-60EDEC9BBB67}" name="Column1610"/>
    <tableColumn id="1618" xr3:uid="{B89DF7F9-55E1-469C-A5EC-D8B708F2684E}" name="Column1611"/>
    <tableColumn id="1619" xr3:uid="{63552CF8-112F-4B84-B02D-3B036A846120}" name="Column1612"/>
    <tableColumn id="1620" xr3:uid="{552A0F18-A26F-4FE8-A0FE-9FB369A2E131}" name="Column1613"/>
    <tableColumn id="1621" xr3:uid="{6887FBC0-DD4A-4E2A-BBCE-F371C010676D}" name="Column1614"/>
    <tableColumn id="1622" xr3:uid="{AED228AE-7967-4071-98C0-EDDA76C6F299}" name="Column1615"/>
    <tableColumn id="1623" xr3:uid="{691745A3-EBFE-4C26-BFEE-B0CB11F56368}" name="Column1616"/>
    <tableColumn id="1624" xr3:uid="{CAF72795-C8AC-4C03-8EAE-BDE5F97C8089}" name="Column1617"/>
    <tableColumn id="1625" xr3:uid="{1E15EA0D-6879-45A0-8710-C60AC9947440}" name="Column1618"/>
    <tableColumn id="1626" xr3:uid="{B3D64CC8-2837-49EB-BD98-8095374EC113}" name="Column1619"/>
    <tableColumn id="1627" xr3:uid="{1EBBAC70-E774-4D5F-8065-FC73F5B263EC}" name="Column1620"/>
    <tableColumn id="1628" xr3:uid="{69699FEC-5AE6-40C0-BB4A-6B61B31672DD}" name="Column1621"/>
    <tableColumn id="1629" xr3:uid="{4173331C-791F-4914-B96B-EE98B14D3D18}" name="Column1622"/>
    <tableColumn id="1630" xr3:uid="{60590FE3-E5BD-4ED6-AAF2-901674F70ABE}" name="Column1623"/>
    <tableColumn id="1631" xr3:uid="{D89ACCED-A412-4F40-9C18-85374345E54F}" name="Column1624"/>
    <tableColumn id="1632" xr3:uid="{A3EDE7BB-7CD0-4B3A-AFA4-2073A84C2105}" name="Column1625"/>
    <tableColumn id="1633" xr3:uid="{631F2AAC-7F12-49BF-98E5-AC277073B46C}" name="Column1626"/>
    <tableColumn id="1634" xr3:uid="{F889DC6F-1146-4674-95DD-29599CB950F9}" name="Column1627"/>
    <tableColumn id="1635" xr3:uid="{A6BCEC3B-56AC-4614-8C88-43A551959613}" name="Column1628"/>
    <tableColumn id="1636" xr3:uid="{502F81CD-37D4-4E14-AD7B-A9E8320F4576}" name="Column1629"/>
    <tableColumn id="1637" xr3:uid="{04F21106-7A6F-4D8C-81FF-C24902E9AB74}" name="Column1630"/>
    <tableColumn id="1638" xr3:uid="{E2BF74C4-5E6B-43DE-B4BA-BD14B4DA24A9}" name="Column1631"/>
    <tableColumn id="1639" xr3:uid="{305B9664-CE00-4BDF-B1DF-874424276A8D}" name="Column1632"/>
    <tableColumn id="1640" xr3:uid="{AA40490A-A1A5-43E1-806A-F5785D888C42}" name="Column1633"/>
    <tableColumn id="1641" xr3:uid="{DD9DD777-FD9E-4632-924F-2A6BD760E9B9}" name="Column1634"/>
    <tableColumn id="1642" xr3:uid="{D41D98A8-1003-48A0-BDED-AAE49A16FEB6}" name="Column1635"/>
    <tableColumn id="1643" xr3:uid="{33DEA631-56B1-4FC2-AC45-A2917B75B301}" name="Column1636"/>
    <tableColumn id="1644" xr3:uid="{3E0938A5-350A-4287-8B7A-823AE6F60793}" name="Column1637"/>
    <tableColumn id="1645" xr3:uid="{4ACAFB2E-73AC-4E82-89D2-894ED24FEEDA}" name="Column1638"/>
    <tableColumn id="1646" xr3:uid="{05FA0497-D378-4041-A2DD-7A5DCE3353AD}" name="Column1639"/>
    <tableColumn id="1647" xr3:uid="{7672D97D-1634-4D69-ADEE-6A9D4B3C6F0B}" name="Column1640"/>
    <tableColumn id="1648" xr3:uid="{47857FEF-B4EA-4E14-898F-31DBF6944859}" name="Column1641"/>
    <tableColumn id="1649" xr3:uid="{CBE8D796-9D0D-4162-AE13-79D35AC3348B}" name="Column1642"/>
    <tableColumn id="1650" xr3:uid="{2A4F74C5-5F37-42A2-A5B4-CF9258979E4C}" name="Column1643"/>
    <tableColumn id="1651" xr3:uid="{02437304-86E5-48A5-A3FD-47466A1AD8CB}" name="Column1644"/>
    <tableColumn id="1652" xr3:uid="{AE606F45-1359-4E89-90A1-6C82472E580F}" name="Column1645"/>
    <tableColumn id="1653" xr3:uid="{7F23509C-288E-4B52-A950-A924F834052C}" name="Column1646"/>
    <tableColumn id="1654" xr3:uid="{7A293D72-1E52-483B-BC23-4DD0D4FE7869}" name="Column1647"/>
    <tableColumn id="1655" xr3:uid="{30B2921C-0D50-4338-91AD-884717E036AE}" name="Column1648"/>
    <tableColumn id="1656" xr3:uid="{8DA5BCCB-56CC-4FC2-8B32-A3A2A53ED520}" name="Column1649"/>
    <tableColumn id="1657" xr3:uid="{0A3770C5-8FB2-49FC-BB31-D7F62AE49164}" name="Column1650"/>
    <tableColumn id="1658" xr3:uid="{A1B311FF-3DFA-48CD-8EC9-0B2924E0FCFA}" name="Column1651"/>
    <tableColumn id="1659" xr3:uid="{BB3ECD7E-BEEB-4376-BD13-014C004373C2}" name="Column1652"/>
    <tableColumn id="1660" xr3:uid="{D4E65039-42F3-4275-AC1D-0E21930255AC}" name="Column1653"/>
    <tableColumn id="1661" xr3:uid="{A3C12EED-DBB9-445A-BFB5-BB710542A325}" name="Column1654"/>
    <tableColumn id="1662" xr3:uid="{E6EEE638-90EB-4E03-B882-198CCD8C0D97}" name="Column1655"/>
    <tableColumn id="1663" xr3:uid="{DE32080B-F6CE-4243-953C-47E703CB6399}" name="Column1656"/>
    <tableColumn id="1664" xr3:uid="{DBEA6CBD-2AC5-4B1D-AEDE-04B55F39EF66}" name="Column1657"/>
    <tableColumn id="1665" xr3:uid="{5741AD20-4173-4CD0-BC1A-00B25CB8C2A7}" name="Column1658"/>
    <tableColumn id="1666" xr3:uid="{77C8E407-D856-4138-8F9D-C7DEBEC5DF50}" name="Column1659"/>
    <tableColumn id="1667" xr3:uid="{FBC37FE9-90E5-4629-B9C2-6CAB8F015188}" name="Column1660"/>
    <tableColumn id="1668" xr3:uid="{4A5AE428-1E38-429E-B91B-0EF95A4427DD}" name="Column1661"/>
    <tableColumn id="1669" xr3:uid="{AE46AF25-E28F-4234-920F-F1EBA823083B}" name="Column1662"/>
    <tableColumn id="1670" xr3:uid="{394E70AB-E6BF-4BBF-943E-5855551D9E51}" name="Column1663"/>
    <tableColumn id="1671" xr3:uid="{0652D79A-F1AB-4D93-863A-55CEEF0FF929}" name="Column1664"/>
    <tableColumn id="1672" xr3:uid="{F7E30341-61C1-4D59-9167-72E3ADB10FCD}" name="Column1665"/>
    <tableColumn id="1673" xr3:uid="{CB3E4CA7-4E8F-43D4-95E1-EA688D2B404B}" name="Column1666"/>
    <tableColumn id="1674" xr3:uid="{94636BD6-7ACB-480C-8038-AF80AAC76AF1}" name="Column1667"/>
    <tableColumn id="1675" xr3:uid="{56F62E43-C572-45B8-8E07-6703B34B0CCA}" name="Column1668"/>
    <tableColumn id="1676" xr3:uid="{93B1003D-791D-4D23-8DF1-2B5A393A4560}" name="Column1669"/>
    <tableColumn id="1677" xr3:uid="{B7D73025-970C-455F-9002-67E17FB5706F}" name="Column1670"/>
    <tableColumn id="1678" xr3:uid="{1209CB2E-5F44-451A-96D8-46C9B542BC8C}" name="Column1671"/>
    <tableColumn id="1679" xr3:uid="{752CAC31-58E3-4F84-B06A-07330F97B89B}" name="Column1672"/>
    <tableColumn id="1680" xr3:uid="{EAA7615E-0998-4FC1-8D9D-BB2066DE1E71}" name="Column1673"/>
    <tableColumn id="1681" xr3:uid="{C4802B23-0BE6-4558-94BB-9706B27F60CE}" name="Column1674"/>
    <tableColumn id="1682" xr3:uid="{DC7CE55D-23B3-47A1-BD57-0455BDA1DC83}" name="Column1675"/>
    <tableColumn id="1683" xr3:uid="{47FD848E-D1F5-464A-9975-8C1D4902944D}" name="Column1676"/>
    <tableColumn id="1684" xr3:uid="{89C6880F-4458-42C8-9A52-FB18A1AE8CCF}" name="Column1677"/>
    <tableColumn id="1685" xr3:uid="{642475CE-C3AD-43E2-B545-CC6CE6AC6E77}" name="Column1678"/>
    <tableColumn id="1686" xr3:uid="{80B5981A-8C8E-4A14-9F64-9106D53B6DFD}" name="Column1679"/>
    <tableColumn id="1687" xr3:uid="{331FE2F5-CB79-4DB2-B97B-9F1A4F1E4037}" name="Column1680"/>
    <tableColumn id="1688" xr3:uid="{AA5AF887-5D5F-458D-91FC-4E9103CBAAD3}" name="Column1681"/>
    <tableColumn id="1689" xr3:uid="{25EA482D-DF01-4358-81AD-88203063EF4D}" name="Column1682"/>
    <tableColumn id="1690" xr3:uid="{4101DC00-9567-4A2C-88E9-F31EB21EC3EE}" name="Column1683"/>
    <tableColumn id="1691" xr3:uid="{AF422D56-93C9-450B-981E-D7A178446704}" name="Column1684"/>
    <tableColumn id="1692" xr3:uid="{15E4B3D5-D4F7-4430-9EA6-D77BED0350C0}" name="Column1685"/>
    <tableColumn id="1693" xr3:uid="{A2BFD21A-E250-4FE4-94C6-60131B6A1804}" name="Column1686"/>
    <tableColumn id="1694" xr3:uid="{36D5D77E-DE1F-4921-83BD-CB0A4860376B}" name="Column1687"/>
    <tableColumn id="1695" xr3:uid="{9613ADD3-9721-48A0-A504-5AF3CD1A3BEC}" name="Column1688"/>
    <tableColumn id="1696" xr3:uid="{91B98456-5B4B-407D-A25F-E18BFC915153}" name="Column1689"/>
    <tableColumn id="1697" xr3:uid="{D7E19611-6BB2-4F28-96AC-D178A87572B9}" name="Column1690"/>
    <tableColumn id="1698" xr3:uid="{9700BF86-6383-4BD4-A352-91ADA9CBE3A7}" name="Column1691"/>
    <tableColumn id="1699" xr3:uid="{AAA98645-2CCC-4484-A4E7-7CB0CB1FEE8E}" name="Column1692"/>
    <tableColumn id="1700" xr3:uid="{1042247F-1773-475C-9AB0-738C10575E03}" name="Column1693"/>
    <tableColumn id="1701" xr3:uid="{6C839691-6F39-4F68-8C6A-85D7B52114BF}" name="Column1694"/>
    <tableColumn id="1702" xr3:uid="{CF95B97E-A9F0-4174-B0EB-7C6AAF4CD24A}" name="Column1695"/>
    <tableColumn id="1703" xr3:uid="{592CD63D-0BAA-4CF0-8E5B-06D8B9526FB3}" name="Column1696"/>
    <tableColumn id="1704" xr3:uid="{A454E6B9-3C56-4A14-85A1-3872B19370C6}" name="Column1697"/>
    <tableColumn id="1705" xr3:uid="{BDDE930E-69DE-4E17-ABDB-4B3DF6DE8508}" name="Column1698"/>
    <tableColumn id="1706" xr3:uid="{84C3A704-E5BA-4BF5-A0B7-FC5934F203AF}" name="Column1699"/>
    <tableColumn id="1707" xr3:uid="{7914643F-4120-4228-9470-1DEEA82945D8}" name="Column1700"/>
    <tableColumn id="1708" xr3:uid="{AE5CDCE1-D466-4775-982F-D5FE74AD1ADE}" name="Column1701"/>
    <tableColumn id="1709" xr3:uid="{ED89523E-D0D3-4416-9983-FD769AF978F9}" name="Column1702"/>
    <tableColumn id="1710" xr3:uid="{61CF50ED-B051-41C1-83C0-E8A470EE21A6}" name="Column1703"/>
    <tableColumn id="1711" xr3:uid="{FC772654-E9E7-451C-8D04-C6D5C0A2DDF3}" name="Column1704"/>
    <tableColumn id="1712" xr3:uid="{745FCAC0-0D52-478D-BB19-126A77A3EABB}" name="Column1705"/>
    <tableColumn id="1713" xr3:uid="{20BFE2F4-E3AF-4768-8F7C-7E4DDB40210B}" name="Column1706"/>
    <tableColumn id="1714" xr3:uid="{8664B903-8AB8-4517-AEA4-1CE43CF93A7F}" name="Column1707"/>
    <tableColumn id="1715" xr3:uid="{4F2B112B-97B9-47A8-A65E-80CD6E73FD8A}" name="Column1708"/>
    <tableColumn id="1716" xr3:uid="{A74824DE-C50C-4C63-A673-F35CC7EF55EF}" name="Column1709"/>
    <tableColumn id="1717" xr3:uid="{75A80430-355D-4A8F-B3DF-C74D4781C157}" name="Column1710"/>
    <tableColumn id="1718" xr3:uid="{47F760A3-A358-4EA3-9587-0B62D98943F9}" name="Column1711"/>
    <tableColumn id="1719" xr3:uid="{CC88879F-A4AD-4E0C-8FB4-B95A8FE01BC2}" name="Column1712"/>
    <tableColumn id="1720" xr3:uid="{00B13EF0-CE56-4529-8FC9-6B9024B6EB84}" name="Column1713"/>
    <tableColumn id="1721" xr3:uid="{D2D6AFB8-A795-4EF4-A864-7661D486E5EB}" name="Column1714"/>
    <tableColumn id="1722" xr3:uid="{963E7BC4-2670-4DD1-8756-0E576F159297}" name="Column1715"/>
    <tableColumn id="1723" xr3:uid="{1B7C5302-3D1B-4AB5-85BD-A0785E6567AC}" name="Column1716"/>
    <tableColumn id="1724" xr3:uid="{91284A7A-F966-4913-A50E-5BF0945E9432}" name="Column1717"/>
    <tableColumn id="1725" xr3:uid="{8D154B32-036B-47AF-A5A0-AC52B9A38D7B}" name="Column1718"/>
    <tableColumn id="1726" xr3:uid="{5BE5D00E-4C90-49BC-9E3C-B600239623B1}" name="Column1719"/>
    <tableColumn id="1727" xr3:uid="{A14D0FEA-6A38-4FEA-9BA1-AF7AD78E9FF4}" name="Column1720"/>
    <tableColumn id="1728" xr3:uid="{2411BE82-1CA1-4BA5-8850-A53F9427228A}" name="Column1721"/>
    <tableColumn id="1729" xr3:uid="{483F9553-EDA6-477A-A3C2-A9F352E609BC}" name="Column1722"/>
    <tableColumn id="1730" xr3:uid="{1E8CDCF5-F925-40CE-8687-D99C10219B69}" name="Column1723"/>
    <tableColumn id="1731" xr3:uid="{71EB50C7-838E-49C0-AF5F-A5906B875F1F}" name="Column1724"/>
    <tableColumn id="1732" xr3:uid="{B5DD2737-06D7-4BB6-809A-58520E628629}" name="Column1725"/>
    <tableColumn id="1733" xr3:uid="{E2340606-3D0C-46A4-B874-9F0AF45B940C}" name="Column1726"/>
    <tableColumn id="1734" xr3:uid="{9A982455-7C5D-4D5B-93A4-9ABF7E711263}" name="Column1727"/>
    <tableColumn id="1735" xr3:uid="{36971D9C-04CB-4F70-A73A-2A17141B59D9}" name="Column1728"/>
    <tableColumn id="1736" xr3:uid="{EE2F1EFF-7333-4FBD-8143-99FBF43060B3}" name="Column1729"/>
    <tableColumn id="1737" xr3:uid="{E9A0CA2E-436F-42AD-BF03-B3AC2472237B}" name="Column1730"/>
    <tableColumn id="1738" xr3:uid="{55024F46-C904-4FFD-AD4D-9F91F01A3808}" name="Column1731"/>
    <tableColumn id="1739" xr3:uid="{753FF1B7-BD56-48A1-A141-6D5111C9C74C}" name="Column1732"/>
    <tableColumn id="1740" xr3:uid="{955388F0-408C-401E-8667-65D015969A6E}" name="Column1733"/>
    <tableColumn id="1741" xr3:uid="{4E0820C3-0204-4BD6-B27F-C28DECC01368}" name="Column1734"/>
    <tableColumn id="1742" xr3:uid="{B4E4093C-4ADC-4363-A984-A50FF0C21AF7}" name="Column1735"/>
    <tableColumn id="1743" xr3:uid="{91070EDD-853E-4CD3-B4D1-50D3A11CF06C}" name="Column1736"/>
    <tableColumn id="1744" xr3:uid="{F88013FE-7524-4576-A1D8-C3846E870E8C}" name="Column1737"/>
    <tableColumn id="1745" xr3:uid="{6D78E7D2-3F4B-47FF-9FBD-0B6863343A8C}" name="Column1738"/>
    <tableColumn id="1746" xr3:uid="{9233074A-98FA-4C37-ADA6-F42FE2C6FA3D}" name="Column1739"/>
    <tableColumn id="1747" xr3:uid="{12A8EA2D-5DD6-4153-8C6B-B12B65F4A062}" name="Column1740"/>
    <tableColumn id="1748" xr3:uid="{5C0DA51A-4716-472C-8A26-93FF4814FCF5}" name="Column1741"/>
    <tableColumn id="1749" xr3:uid="{D05C4988-D2A4-4BCC-8E54-025241F62B58}" name="Column1742"/>
    <tableColumn id="1750" xr3:uid="{A939A7B6-7CCA-48E6-924A-3FF3F2F4BF8E}" name="Column1743"/>
    <tableColumn id="1751" xr3:uid="{26478B50-7A36-4BFD-BADA-EC7D6A7B0EE6}" name="Column1744"/>
    <tableColumn id="1752" xr3:uid="{BEB5D2CD-C0F6-4779-A7E4-0BB07753A6A0}" name="Column1745"/>
    <tableColumn id="1753" xr3:uid="{9E3BED0C-88F4-4142-BC64-3E324CFCB347}" name="Column1746"/>
    <tableColumn id="1754" xr3:uid="{C33D9273-C120-45C7-912B-C0F969CEEA9F}" name="Column1747"/>
    <tableColumn id="1755" xr3:uid="{41C410FF-7EF7-4944-AFD7-876BE871A0C9}" name="Column1748"/>
    <tableColumn id="1756" xr3:uid="{F4BA7DE2-ADDD-4312-8DCA-323A09643B4C}" name="Column1749"/>
    <tableColumn id="1757" xr3:uid="{FDAAE390-C196-4F76-8BF6-08B1CFC0344F}" name="Column1750"/>
    <tableColumn id="1758" xr3:uid="{92A4A960-1D8F-4622-A339-006232E174CC}" name="Column1751"/>
    <tableColumn id="1759" xr3:uid="{877C5BE9-5E8A-4F20-8128-AB8DBBFAA44B}" name="Column1752"/>
    <tableColumn id="1760" xr3:uid="{1D5CDDB6-767C-407B-ABB3-8CCDEF3AEE5C}" name="Column1753"/>
    <tableColumn id="1761" xr3:uid="{9B7FBB82-8B14-4F33-9F45-4B05A37E4ADC}" name="Column1754"/>
    <tableColumn id="1762" xr3:uid="{3B7DC7C7-6429-424F-9D28-1470D8BFC2A7}" name="Column1755"/>
    <tableColumn id="1763" xr3:uid="{2403CAC7-DCD5-4AB8-9987-DFE63811AA1B}" name="Column1756"/>
    <tableColumn id="1764" xr3:uid="{2E0D28C1-2F24-4C17-9347-07E7B5F47153}" name="Column1757"/>
    <tableColumn id="1765" xr3:uid="{AF957B34-785F-44FA-929A-2E6884C53448}" name="Column1758"/>
    <tableColumn id="1766" xr3:uid="{BA92204E-6E5D-4C3F-BBAE-1A8055C14E30}" name="Column1759"/>
    <tableColumn id="1767" xr3:uid="{C4439758-B891-4064-97D4-7B213388C329}" name="Column1760"/>
    <tableColumn id="1768" xr3:uid="{B8549357-0D48-4759-A7B9-D1798E96DAA4}" name="Column1761"/>
    <tableColumn id="1769" xr3:uid="{2C6226D6-6BEC-48DC-B5CC-A979A89C58DC}" name="Column1762"/>
    <tableColumn id="1770" xr3:uid="{ABD860B8-3D68-44D3-8CBA-5B31E04EFBC7}" name="Column1763"/>
    <tableColumn id="1771" xr3:uid="{B46BD1A1-37C8-46BC-BF7A-3BE97D0F6333}" name="Column1764"/>
    <tableColumn id="1772" xr3:uid="{AEF3A8C7-2551-40A0-99B5-EE2599660D48}" name="Column1765"/>
    <tableColumn id="1773" xr3:uid="{795E1501-D65E-4AF9-ABE6-8A8D6BA1644D}" name="Column1766"/>
    <tableColumn id="1774" xr3:uid="{EBE3DE30-4C09-4C96-B546-206D389FB0CF}" name="Column1767"/>
    <tableColumn id="1775" xr3:uid="{9E90C329-4258-48CD-BF99-2EF89012EA1F}" name="Column1768"/>
    <tableColumn id="1776" xr3:uid="{867DAD27-D18F-45A2-8393-A8D7E4811618}" name="Column1769"/>
    <tableColumn id="1777" xr3:uid="{8360AE9F-72E9-48A4-BA8A-CF210034451B}" name="Column1770"/>
    <tableColumn id="1778" xr3:uid="{84B5D837-329A-4B76-8103-318D49C9659C}" name="Column1771"/>
    <tableColumn id="1779" xr3:uid="{142EF598-439B-44CF-B20A-A1731D54FC7C}" name="Column1772"/>
    <tableColumn id="1780" xr3:uid="{8C146F93-159E-4704-97FC-250255D06D5E}" name="Column1773"/>
    <tableColumn id="1781" xr3:uid="{4CDEFA8A-A805-448D-893A-EDED6E44D968}" name="Column1774"/>
    <tableColumn id="1782" xr3:uid="{90A3758C-9B68-4803-AD17-E9EA449E34EF}" name="Column1775"/>
    <tableColumn id="1783" xr3:uid="{1E0ABC88-E25F-42AB-A7C3-C4C04AA001D2}" name="Column1776"/>
    <tableColumn id="1784" xr3:uid="{C8B23A8A-A49D-494C-9A13-57908169540D}" name="Column1777"/>
    <tableColumn id="1785" xr3:uid="{6E3BE399-907C-42CA-8655-EC7E5275B87D}" name="Column1778"/>
    <tableColumn id="1786" xr3:uid="{5E87D1D1-FA70-4568-B552-CC1ECDC7B5DE}" name="Column1779"/>
    <tableColumn id="1787" xr3:uid="{6047E2C5-B421-408E-8CD2-1CFA2F280246}" name="Column1780"/>
    <tableColumn id="1788" xr3:uid="{AC5FAB25-3FE3-4244-B554-8CC0DDF218A1}" name="Column1781"/>
    <tableColumn id="1789" xr3:uid="{FD603193-4693-4AE9-9830-2FAE6F489B41}" name="Column1782"/>
    <tableColumn id="1790" xr3:uid="{808C47E2-40E6-4545-9A93-A6E365E5FA7C}" name="Column1783"/>
    <tableColumn id="1791" xr3:uid="{8FA376D7-DBD6-4019-8573-2A8D7169379C}" name="Column1784"/>
    <tableColumn id="1792" xr3:uid="{6CE80F9B-AD87-44A7-9788-48DD7D218432}" name="Column1785"/>
    <tableColumn id="1793" xr3:uid="{81040C49-4B7D-416C-BA4F-9720C1976935}" name="Column1786"/>
    <tableColumn id="1794" xr3:uid="{3ADFBA20-F37C-4D43-8D29-F143261A01D9}" name="Column1787"/>
    <tableColumn id="1795" xr3:uid="{9639AE4C-D75F-45B9-B505-D6A2BED74A86}" name="Column1788"/>
    <tableColumn id="1796" xr3:uid="{B426D3D2-D2BC-42ED-911C-F61382E2877E}" name="Column1789"/>
    <tableColumn id="1797" xr3:uid="{79E031F9-6C85-4665-8EAC-DF3E4BD44AC3}" name="Column1790"/>
    <tableColumn id="1798" xr3:uid="{FC84BE8F-8E7D-4813-98BE-410990E836F3}" name="Column1791"/>
    <tableColumn id="1799" xr3:uid="{DA982FDA-5789-491B-B6A4-007438A9B91A}" name="Column1792"/>
    <tableColumn id="1800" xr3:uid="{7F4DDF8C-97C2-44FA-9187-57C1C0FB5801}" name="Column1793"/>
    <tableColumn id="1801" xr3:uid="{6EE9035A-7EF4-4996-9EE0-1C6CCB2705A5}" name="Column1794"/>
    <tableColumn id="1802" xr3:uid="{DA83730D-C202-4C68-BE87-CE213B498DF4}" name="Column1795"/>
    <tableColumn id="1803" xr3:uid="{0293E0D3-DE42-4774-ADB5-79FFEC410B27}" name="Column1796"/>
    <tableColumn id="1804" xr3:uid="{2FD97DF4-C401-4530-B32A-226E296FFCEB}" name="Column1797"/>
    <tableColumn id="1805" xr3:uid="{D1E7F3AE-F18D-4165-A15D-4EE4C7543451}" name="Column1798"/>
    <tableColumn id="1806" xr3:uid="{2C8C038F-9804-4088-819C-1752854FBA29}" name="Column1799"/>
    <tableColumn id="1807" xr3:uid="{87AFDB3E-0935-40E8-9980-EAFD4E0226AB}" name="Column1800"/>
    <tableColumn id="1808" xr3:uid="{FDF145E3-3770-4502-AA4B-BA28308E9514}" name="Column1801"/>
    <tableColumn id="1809" xr3:uid="{DB415B73-E318-4169-AB8A-1D9696C1E90B}" name="Column1802"/>
    <tableColumn id="1810" xr3:uid="{55388048-CF5B-43A4-84F6-F552AF4AE62F}" name="Column1803"/>
    <tableColumn id="1811" xr3:uid="{1659D7A0-0A97-49A5-8E11-A0253C93E0BF}" name="Column1804"/>
    <tableColumn id="1812" xr3:uid="{A93E2AF7-375F-4E17-9820-206695264827}" name="Column1805"/>
    <tableColumn id="1813" xr3:uid="{35C8CBE9-4E63-428E-9FD6-1DB7DE83F75D}" name="Column1806"/>
    <tableColumn id="1814" xr3:uid="{3E2FBB3A-649E-417D-8671-6237601EB414}" name="Column1807"/>
    <tableColumn id="1815" xr3:uid="{FA2786E1-F84C-4DAE-B67B-8D35E51BA3F8}" name="Column1808"/>
    <tableColumn id="1816" xr3:uid="{73221BBA-6B47-4EE8-9D6E-59F57AFCAB74}" name="Column1809"/>
    <tableColumn id="1817" xr3:uid="{F9D426F5-1193-4B86-83E7-63B0BEAE3815}" name="Column1810"/>
    <tableColumn id="1818" xr3:uid="{AC7E951A-FF07-4ACC-AB9A-396E50CF2D80}" name="Column1811"/>
    <tableColumn id="1819" xr3:uid="{BE581376-9DE0-45A4-A85E-7122A627328A}" name="Column1812"/>
    <tableColumn id="1820" xr3:uid="{F594A929-A645-4580-B512-ACD1712F92C1}" name="Column1813"/>
    <tableColumn id="1821" xr3:uid="{2691C2F2-F36A-4FA4-824A-C363A08BCC29}" name="Column1814"/>
    <tableColumn id="1822" xr3:uid="{CD973BBF-7ACA-43D5-B199-18D8BFCD452D}" name="Column1815"/>
    <tableColumn id="1823" xr3:uid="{23FA29CD-92AC-4161-8E13-46268FD23424}" name="Column1816"/>
    <tableColumn id="1824" xr3:uid="{3AF4683D-5971-4A9B-A491-7AD80B451C82}" name="Column1817"/>
    <tableColumn id="1825" xr3:uid="{447EFB56-EA10-49B8-AA51-4AAE072CC520}" name="Column1818"/>
    <tableColumn id="1826" xr3:uid="{36643B9F-0E73-49CF-8E0D-CD23FDA3AD69}" name="Column1819"/>
    <tableColumn id="1827" xr3:uid="{46DA2C5C-443C-4531-9AAF-F758D72CB02E}" name="Column1820"/>
    <tableColumn id="1828" xr3:uid="{4A1EF334-0505-48B2-BA05-F7AD8E926998}" name="Column1821"/>
    <tableColumn id="1829" xr3:uid="{DF6FA212-38D1-420F-A500-1F7383EAB973}" name="Column1822"/>
    <tableColumn id="1830" xr3:uid="{53C400E5-3753-45A1-9D60-07C4465AB152}" name="Column1823"/>
    <tableColumn id="1831" xr3:uid="{4EDBC502-986A-4764-9145-E8B89AB89D65}" name="Column1824"/>
    <tableColumn id="1832" xr3:uid="{97E61089-4AAB-4766-9DE2-012C3AF13A40}" name="Column1825"/>
    <tableColumn id="1833" xr3:uid="{2A018D84-9BDD-45C3-A77F-0AA2FA59456C}" name="Column1826"/>
    <tableColumn id="1834" xr3:uid="{E96FBFF2-27E6-45E4-ABD3-2697634B4EFF}" name="Column1827"/>
    <tableColumn id="1835" xr3:uid="{B42DF055-533A-4A88-A736-31038150A07C}" name="Column1828"/>
    <tableColumn id="1836" xr3:uid="{92E48939-F916-4836-8A1A-2C5171BE0916}" name="Column1829"/>
    <tableColumn id="1837" xr3:uid="{0BB45A54-EEA0-44D6-BC75-F57F67DA03C1}" name="Column1830"/>
    <tableColumn id="1838" xr3:uid="{D94B2930-2DBC-471F-B24E-E97B51B6C34F}" name="Column1831"/>
    <tableColumn id="1839" xr3:uid="{527EA64D-EAA7-4CA5-A126-680AED7A7006}" name="Column1832"/>
    <tableColumn id="1840" xr3:uid="{2B2515C8-4452-4938-BDF3-A6E6D0FB69FB}" name="Column1833"/>
    <tableColumn id="1841" xr3:uid="{6D84DEEA-0E96-448C-8AF0-0AF821B2E3EA}" name="Column1834"/>
    <tableColumn id="1842" xr3:uid="{AD86F8F6-EC5F-4129-AC41-ECC301CF4323}" name="Column1835"/>
    <tableColumn id="1843" xr3:uid="{D46A143E-68C2-4E69-8037-BA98171E4461}" name="Column1836"/>
    <tableColumn id="1844" xr3:uid="{3BD5B306-1642-4BD7-B01F-DAA7A8702345}" name="Column1837"/>
    <tableColumn id="1845" xr3:uid="{21B2ED85-7A4C-4E69-A3B9-D9ED6F9F2A62}" name="Column1838"/>
    <tableColumn id="1846" xr3:uid="{2874AB69-C31A-4931-88DE-5D4B4E400B47}" name="Column1839"/>
    <tableColumn id="1847" xr3:uid="{C7DDACB2-82F4-41DE-96D2-A901A355B233}" name="Column1840"/>
    <tableColumn id="1848" xr3:uid="{1BC36210-4036-4217-B358-F8DA1831BA95}" name="Column1841"/>
    <tableColumn id="1849" xr3:uid="{1A9AEAD6-ACB8-491B-BAC6-5E76755A9334}" name="Column1842"/>
    <tableColumn id="1850" xr3:uid="{B125AFFF-AA4C-428A-84CB-C39733183498}" name="Column1843"/>
    <tableColumn id="1851" xr3:uid="{2EDC2996-6ABA-419F-AECA-EF8ABBE39B5F}" name="Column1844"/>
    <tableColumn id="1852" xr3:uid="{798FDC98-6353-4DD1-BFAF-DC358E6B0290}" name="Column1845"/>
    <tableColumn id="1853" xr3:uid="{68996590-1705-4EB5-9015-78874B8E1741}" name="Column1846"/>
    <tableColumn id="1854" xr3:uid="{74305160-9E43-4FC8-8D6C-59C3DD709243}" name="Column1847"/>
    <tableColumn id="1855" xr3:uid="{FEB5BAA1-406F-47B3-ADF2-8F99343F06AB}" name="Column1848"/>
    <tableColumn id="1856" xr3:uid="{F5A37F07-149B-4070-B2D8-2A9344DCC3AB}" name="Column1849"/>
    <tableColumn id="1857" xr3:uid="{43F2FB46-1388-4A12-9A7F-93864658FAB0}" name="Column1850"/>
    <tableColumn id="1858" xr3:uid="{A8E8CD88-F360-420A-9ADB-7CBBF92E36B3}" name="Column1851"/>
    <tableColumn id="1859" xr3:uid="{A8E49152-A9B9-4656-89A8-4BC9EC060E7E}" name="Column1852"/>
    <tableColumn id="1860" xr3:uid="{33A91060-3D40-43BF-9709-5D18B898F2DB}" name="Column1853"/>
    <tableColumn id="1861" xr3:uid="{E60BE614-15A6-4284-B344-010A13C55001}" name="Column1854"/>
    <tableColumn id="1862" xr3:uid="{9B0C9A52-9F89-4D0C-A5CA-345E7448F641}" name="Column1855"/>
    <tableColumn id="1863" xr3:uid="{50A1A27A-3893-4481-8DFC-4FCA1DCF10DB}" name="Column1856"/>
    <tableColumn id="1864" xr3:uid="{69343F55-4E4D-4EE7-9100-8FFE45E1B637}" name="Column1857"/>
    <tableColumn id="1865" xr3:uid="{605269C1-895E-4094-B9F1-0EF304D20688}" name="Column1858"/>
    <tableColumn id="1866" xr3:uid="{074997F2-84AB-4840-8F1E-A7D0D52AA80A}" name="Column1859"/>
    <tableColumn id="1867" xr3:uid="{DF6DA5A2-0FDD-45D3-8D44-EC6C3F28A1FD}" name="Column1860"/>
    <tableColumn id="1868" xr3:uid="{FCBD99CF-3D1C-4368-995A-414BAFB138F5}" name="Column1861"/>
    <tableColumn id="1869" xr3:uid="{1BFEB575-2AB8-4731-AB73-851B55B1AB43}" name="Column1862"/>
    <tableColumn id="1870" xr3:uid="{CA560D06-DBF1-492C-B1DD-B67ACE89A023}" name="Column1863"/>
    <tableColumn id="1871" xr3:uid="{9EF86ECD-FCE1-4E45-A0E6-B027614E1E2A}" name="Column1864"/>
    <tableColumn id="1872" xr3:uid="{8FD60DC5-33E6-47B5-958D-3C05840046ED}" name="Column1865"/>
    <tableColumn id="1873" xr3:uid="{27ED090C-644D-4DA2-B2EA-AC9DBFF20D64}" name="Column1866"/>
    <tableColumn id="1874" xr3:uid="{0EF122C7-058F-4D39-8B49-B23C2DD6B054}" name="Column1867"/>
    <tableColumn id="1875" xr3:uid="{A7E77C19-6482-4BB9-82C2-6433F51A1092}" name="Column1868"/>
    <tableColumn id="1876" xr3:uid="{8D772700-5B6A-413E-A284-6E9CB1E3B5E6}" name="Column1869"/>
    <tableColumn id="1877" xr3:uid="{618DA0D2-1AF7-406C-AA33-9E01F3C536C5}" name="Column1870"/>
    <tableColumn id="1878" xr3:uid="{A1A23615-9D2A-4325-AFC7-B0368D3E2B83}" name="Column1871"/>
    <tableColumn id="1879" xr3:uid="{438A3027-ABFF-44EE-8A6F-0199D6AF122E}" name="Column1872"/>
    <tableColumn id="1880" xr3:uid="{4BBCFFE8-44EB-426B-88F6-197BEA52DB17}" name="Column1873"/>
    <tableColumn id="1881" xr3:uid="{0C14E8EA-BEF7-4F74-89F1-A9D2DCADA976}" name="Column1874"/>
    <tableColumn id="1882" xr3:uid="{C85600D7-EB96-4886-964E-3D1083A8B135}" name="Column1875"/>
    <tableColumn id="1883" xr3:uid="{7ECD33FD-8206-40A9-B8D1-5C7B0E3E51CF}" name="Column1876"/>
    <tableColumn id="1884" xr3:uid="{0AF7E193-8D1F-45D9-9BDB-71F5E710215F}" name="Column1877"/>
    <tableColumn id="1885" xr3:uid="{F3290B36-B8BB-46EE-A5AF-051850101B15}" name="Column1878"/>
    <tableColumn id="1886" xr3:uid="{AD9E24A7-A8BE-42DF-9397-F10C9B3DDBE9}" name="Column1879"/>
    <tableColumn id="1887" xr3:uid="{0DE72648-410C-4546-91F3-F2AE33C38598}" name="Column1880"/>
    <tableColumn id="1888" xr3:uid="{93B4FDFD-3EBD-497B-B9DC-912785492298}" name="Column1881"/>
    <tableColumn id="1889" xr3:uid="{F1DD8EB7-09D5-4846-B5AB-FCE40F73B51D}" name="Column1882"/>
    <tableColumn id="1890" xr3:uid="{69C9BFF9-91FB-4571-854F-8787D721031A}" name="Column1883"/>
    <tableColumn id="1891" xr3:uid="{2080F5F8-AC9D-4C88-A843-793C93CB7750}" name="Column1884"/>
    <tableColumn id="1892" xr3:uid="{CD347CA7-0E4A-4D71-B404-D2A1D86B81CA}" name="Column1885"/>
    <tableColumn id="1893" xr3:uid="{89C50E67-7C67-49D6-BCC5-612E7EE26614}" name="Column1886"/>
    <tableColumn id="1894" xr3:uid="{DF5E5C86-0C33-4612-A960-4DCD0D945B90}" name="Column1887"/>
    <tableColumn id="1895" xr3:uid="{49C2DCA0-C085-46DB-BBAB-04AA2539F6B1}" name="Column1888"/>
    <tableColumn id="1896" xr3:uid="{BEA39EC4-A0AA-40D0-9895-B5A8B5D30320}" name="Column1889"/>
    <tableColumn id="1897" xr3:uid="{24EF496E-CB57-4B81-9C71-22E2C9118F9F}" name="Column1890"/>
    <tableColumn id="1898" xr3:uid="{85722D3E-AD86-494E-8176-1ECAF398C89D}" name="Column1891"/>
    <tableColumn id="1899" xr3:uid="{EED17528-EB71-4A17-BBAD-AD5E78AE3CA3}" name="Column1892"/>
    <tableColumn id="1900" xr3:uid="{742C5A9A-5A4F-4D66-96C9-85C363CC8F71}" name="Column1893"/>
    <tableColumn id="1901" xr3:uid="{3054F8BE-CF4B-4C05-B16E-133657DFCC0E}" name="Column1894"/>
    <tableColumn id="1902" xr3:uid="{4D9DD5E3-41E5-4C33-A933-75828DED43DC}" name="Column1895"/>
    <tableColumn id="1903" xr3:uid="{EA8DB30F-E58D-4094-9CFA-EF291AE0D2CF}" name="Column1896"/>
    <tableColumn id="1904" xr3:uid="{98B45ADE-42F9-4941-9C2D-791216E7169C}" name="Column1897"/>
    <tableColumn id="1905" xr3:uid="{E652E1AB-884C-4076-BF51-49FAC8EE7A94}" name="Column1898"/>
    <tableColumn id="1906" xr3:uid="{698A17F0-56A5-4359-8006-A97C7E58A47C}" name="Column1899"/>
    <tableColumn id="1907" xr3:uid="{C4EC3A52-4C23-4E63-84AC-DFE9D6AC37F2}" name="Column1900"/>
    <tableColumn id="1908" xr3:uid="{84FA4CD7-5EF2-4905-93A2-2B6E39A9AA76}" name="Column1901"/>
    <tableColumn id="1909" xr3:uid="{A08F5C8A-CB07-4B21-9597-D27D91D01D56}" name="Column1902"/>
    <tableColumn id="1910" xr3:uid="{3FEDD988-E861-4F3A-A076-0F96BDB3DAED}" name="Column1903"/>
    <tableColumn id="1911" xr3:uid="{38F908E1-7EBB-458A-89A8-0D805999A907}" name="Column1904"/>
    <tableColumn id="1912" xr3:uid="{C53E0AA4-487C-4192-B35F-D1DC81A1FEC1}" name="Column1905"/>
    <tableColumn id="1913" xr3:uid="{43B7C6DC-5341-484C-AD0D-07C01D576727}" name="Column1906"/>
    <tableColumn id="1914" xr3:uid="{FD96B793-ED1D-470D-846B-ACE4DBD87ED1}" name="Column1907"/>
    <tableColumn id="1915" xr3:uid="{5F032C64-1C49-404F-9EC4-507AF22E825F}" name="Column1908"/>
    <tableColumn id="1916" xr3:uid="{9AD5D210-1801-4BA5-AD00-F005D595B8A7}" name="Column1909"/>
    <tableColumn id="1917" xr3:uid="{6671AA65-0D9D-4AAA-91B4-B64C07536848}" name="Column1910"/>
    <tableColumn id="1918" xr3:uid="{0466DC44-6B86-4DDE-98D8-37C5E8BABB69}" name="Column1911"/>
    <tableColumn id="1919" xr3:uid="{EB433DD6-A6A8-4572-B383-EF00D42034FD}" name="Column1912"/>
    <tableColumn id="1920" xr3:uid="{7B85F6A6-28C7-4EAA-9114-2D95A6D81A0E}" name="Column1913"/>
    <tableColumn id="1921" xr3:uid="{1E797229-8CAC-4AD9-841F-150794F460BB}" name="Column1914"/>
    <tableColumn id="1922" xr3:uid="{530A9502-CD12-471E-BFB0-3522C61F68A2}" name="Column1915"/>
    <tableColumn id="1923" xr3:uid="{69EF5D9A-74C1-456D-9296-2CF4EDB62CDA}" name="Column1916"/>
    <tableColumn id="1924" xr3:uid="{A21E5782-DB02-4096-84B4-E45AB4065FEE}" name="Column1917"/>
    <tableColumn id="1925" xr3:uid="{B0AFD93E-4CEB-4680-81FC-D848B882764B}" name="Column1918"/>
    <tableColumn id="1926" xr3:uid="{1B11847E-B03A-4D2B-9B95-DB6C980697A0}" name="Column1919"/>
    <tableColumn id="1927" xr3:uid="{B35C5DF6-8984-4E35-B4A6-AC9C861F5E37}" name="Column1920"/>
    <tableColumn id="1928" xr3:uid="{6696CE09-73B4-40A0-90F8-6B5B3ED65D2B}" name="Column1921"/>
    <tableColumn id="1929" xr3:uid="{1DFAF910-92B5-418F-9658-B1CF284EAF9F}" name="Column1922"/>
    <tableColumn id="1930" xr3:uid="{68949C48-9034-4571-A655-156EBEDCB990}" name="Column1923"/>
    <tableColumn id="1931" xr3:uid="{F94786C7-BF54-4EDE-9019-57201DC7F0E9}" name="Column1924"/>
    <tableColumn id="1932" xr3:uid="{86CABAF2-42E4-4ABF-A452-510218967D95}" name="Column1925"/>
    <tableColumn id="1933" xr3:uid="{2FEA3226-025D-43A5-BE50-E1E442F4EE19}" name="Column1926"/>
    <tableColumn id="1934" xr3:uid="{B75E3C77-416B-40B1-A4EB-F05827C6EEC2}" name="Column1927"/>
    <tableColumn id="1935" xr3:uid="{7E58C543-AA6F-4032-856C-34B16E9A9B05}" name="Column1928"/>
    <tableColumn id="1936" xr3:uid="{65EE712E-413B-4F20-83CE-231BF81F4022}" name="Column1929"/>
    <tableColumn id="1937" xr3:uid="{3B7E0A4B-DA4C-46DE-8211-B4EB9D87D65F}" name="Column1930"/>
    <tableColumn id="1938" xr3:uid="{82C5375E-9042-4A1A-9313-B7C7BECFE534}" name="Column1931"/>
    <tableColumn id="1939" xr3:uid="{A0B3063D-A6FC-44E3-B56F-D6FC421888CC}" name="Column1932"/>
    <tableColumn id="1940" xr3:uid="{32775AD0-DCDA-4827-9F3F-2D4BA96E81DB}" name="Column1933"/>
    <tableColumn id="1941" xr3:uid="{6411DD22-99BE-46D6-838B-8F091C3FD4A0}" name="Column1934"/>
    <tableColumn id="1942" xr3:uid="{3862F613-35E5-47E1-9A90-ECD17CB652CB}" name="Column1935"/>
    <tableColumn id="1943" xr3:uid="{22260668-4221-4BFD-B6F3-8D8814A5BBB0}" name="Column1936"/>
    <tableColumn id="1944" xr3:uid="{EBF7CAC1-2B7A-4967-B773-7A61B310D88B}" name="Column1937"/>
    <tableColumn id="1945" xr3:uid="{EE2AA668-2FFE-4F17-B9A4-A047FF0CD03D}" name="Column1938"/>
    <tableColumn id="1946" xr3:uid="{A15FDFA9-AFC1-4E85-A0B6-34E405E16FBD}" name="Column1939"/>
    <tableColumn id="1947" xr3:uid="{665722EC-C585-4756-9F4F-D5846C92E735}" name="Column1940"/>
    <tableColumn id="1948" xr3:uid="{5E29CC36-449E-4D81-A30C-2773DDEF79F3}" name="Column1941"/>
    <tableColumn id="1949" xr3:uid="{2F85E1EF-13A3-4D27-9536-95ADB399A815}" name="Column1942"/>
    <tableColumn id="1950" xr3:uid="{7456E7B8-9133-425F-99C7-BC36106D238E}" name="Column1943"/>
    <tableColumn id="1951" xr3:uid="{7910F43D-1C64-4460-B8CF-FF12836DD2B8}" name="Column1944"/>
    <tableColumn id="1952" xr3:uid="{0CEAEE04-3EFD-4E8A-B542-62ABB2EACB8C}" name="Column1945"/>
    <tableColumn id="1953" xr3:uid="{1B803437-9616-4CDB-BAB7-4A87497186CD}" name="Column1946"/>
    <tableColumn id="1954" xr3:uid="{1A840F89-92C1-4303-A0A0-CC3D7E9CE126}" name="Column1947"/>
    <tableColumn id="1955" xr3:uid="{66989C88-3D2B-4399-9D8F-0E6D1E25DC0D}" name="Column1948"/>
    <tableColumn id="1956" xr3:uid="{D61B7F67-EC5F-4742-B01E-EF76CEF995F0}" name="Column1949"/>
    <tableColumn id="1957" xr3:uid="{0B4BE7CF-3D47-42B0-AB24-60D322CD47A6}" name="Column1950"/>
    <tableColumn id="1958" xr3:uid="{991848E6-2651-40DC-A56D-8BEADA0260FC}" name="Column1951"/>
    <tableColumn id="1959" xr3:uid="{CA9E6055-0BB7-4EC8-B3D1-38331D6FFF26}" name="Column1952"/>
    <tableColumn id="1960" xr3:uid="{4BC10D23-582D-4CCE-A337-255AC9D747DF}" name="Column1953"/>
    <tableColumn id="1961" xr3:uid="{7B16E01E-36CF-4732-B140-F10BDC1DA68F}" name="Column1954"/>
    <tableColumn id="1962" xr3:uid="{0EF47F13-1C5C-4C6B-9044-732EA0157350}" name="Column1955"/>
    <tableColumn id="1963" xr3:uid="{644CA4AE-BD61-414D-BCF7-D76E7E72CF95}" name="Column1956"/>
    <tableColumn id="1964" xr3:uid="{35897672-B51A-4B74-80DA-F3D0FC8208A9}" name="Column1957"/>
    <tableColumn id="1965" xr3:uid="{5DA0BADB-ABBA-4D72-BDCB-E67FDCBAC480}" name="Column1958"/>
    <tableColumn id="1966" xr3:uid="{98D01CD0-1F82-4F82-929F-291539CD522D}" name="Column1959"/>
    <tableColumn id="1967" xr3:uid="{EF4D8F5E-B491-470E-94F6-80854C856AE3}" name="Column1960"/>
    <tableColumn id="1968" xr3:uid="{C3DFEC3E-5CD3-4551-8F1C-85103201557B}" name="Column1961"/>
    <tableColumn id="1969" xr3:uid="{D5905680-F149-46EE-8AC7-AE4FE0C7E527}" name="Column1962"/>
    <tableColumn id="1970" xr3:uid="{8C4858F6-3B34-4DA0-87E7-52107A0E9A69}" name="Column1963"/>
    <tableColumn id="1971" xr3:uid="{BD06C6F7-C25C-49F7-A794-11F355D39257}" name="Column1964"/>
    <tableColumn id="1972" xr3:uid="{3A533D82-6BF0-4A51-A1D4-7531A8FC6A78}" name="Column1965"/>
    <tableColumn id="1973" xr3:uid="{EB8AB258-4340-4668-949B-7C0B85A7A3A3}" name="Column1966"/>
    <tableColumn id="1974" xr3:uid="{3056DD60-5269-47F4-9DD6-DAC693800FFB}" name="Column1967"/>
    <tableColumn id="1975" xr3:uid="{DEAFC343-8D58-4B2F-95B1-11A3CB66E815}" name="Column1968"/>
    <tableColumn id="1976" xr3:uid="{F5EE8ED7-B33A-4ECF-BA09-1FC633696924}" name="Column1969"/>
    <tableColumn id="1977" xr3:uid="{1D91C4EF-6F9B-4581-8CA1-96324CBF2D0D}" name="Column1970"/>
    <tableColumn id="1978" xr3:uid="{54EF5CA7-DBD9-485B-BE8A-CEB3EED1264D}" name="Column1971"/>
    <tableColumn id="1979" xr3:uid="{F252F75D-F79E-40F2-8BF6-13D8ED797595}" name="Column1972"/>
    <tableColumn id="1980" xr3:uid="{DCA2B4B9-455C-4DE9-A92A-35474C8E52EA}" name="Column1973"/>
    <tableColumn id="1981" xr3:uid="{AC74C46B-5CB3-40B1-85FF-1718EEBC93F3}" name="Column1974"/>
    <tableColumn id="1982" xr3:uid="{614F9D09-F3A2-42F6-A0B1-7F482D5D6ACF}" name="Column1975"/>
    <tableColumn id="1983" xr3:uid="{12813493-18A4-4465-8001-D9AE6987A3B6}" name="Column1976"/>
    <tableColumn id="1984" xr3:uid="{B18AE12B-536B-4B0E-B995-DB84CC62ACAD}" name="Column1977"/>
    <tableColumn id="1985" xr3:uid="{7E08D785-5317-4DB0-8AF7-E267F661293E}" name="Column1978"/>
    <tableColumn id="1986" xr3:uid="{3894CF95-C305-4A24-9AA3-271632B03EC3}" name="Column1979"/>
    <tableColumn id="1987" xr3:uid="{830FD4F8-74F3-49F3-BE74-79B4915D8140}" name="Column1980"/>
    <tableColumn id="1988" xr3:uid="{60761418-BC08-46DF-BFEA-BFDC39E0472F}" name="Column1981"/>
    <tableColumn id="1989" xr3:uid="{BE5C0AA3-59D0-448C-A6D1-B2A126C7D09D}" name="Column1982"/>
    <tableColumn id="1990" xr3:uid="{0C81F80B-F69C-4BD6-9872-2AA9763FFD90}" name="Column1983"/>
    <tableColumn id="1991" xr3:uid="{FA34789F-760D-4DB2-B1E7-92C7029BE982}" name="Column1984"/>
    <tableColumn id="1992" xr3:uid="{00EDBA9B-E309-419B-AACA-4915AB730D0F}" name="Column1985"/>
    <tableColumn id="1993" xr3:uid="{ABDAE630-655A-4AE0-A7C9-5A90EE4AA34C}" name="Column1986"/>
    <tableColumn id="1994" xr3:uid="{9B0DB4C1-6071-48B3-A048-94E206C1D732}" name="Column1987"/>
    <tableColumn id="1995" xr3:uid="{F77D4F95-1DFD-4F43-AD20-17E2701C28D8}" name="Column1988"/>
    <tableColumn id="1996" xr3:uid="{C21AA3F9-DCE8-4589-8E3A-3B68836AA5BF}" name="Column1989"/>
    <tableColumn id="1997" xr3:uid="{B5EF5B2E-A3CB-46B3-8F83-5150AD037D75}" name="Column1990"/>
    <tableColumn id="1998" xr3:uid="{1A6E838E-CFB6-4C3B-9A30-D33209FCAA39}" name="Column1991"/>
    <tableColumn id="1999" xr3:uid="{90D19DCA-C92A-49DC-A2C6-4A63DAB1C0C9}" name="Column1992"/>
    <tableColumn id="2000" xr3:uid="{2FC2BDEC-62B8-444D-8436-D1CF94245C83}" name="Column1993"/>
    <tableColumn id="2001" xr3:uid="{753C3599-186D-4B97-BEB4-26CBAF356597}" name="Column1994"/>
    <tableColumn id="2002" xr3:uid="{1B665C08-4D08-435E-A109-7E091DCDE313}" name="Column1995"/>
    <tableColumn id="2003" xr3:uid="{BCA7C9F5-40CE-4A62-94FC-792F64BE3DAC}" name="Column1996"/>
    <tableColumn id="2004" xr3:uid="{F697A0EB-7FB4-4B46-A8B1-F11C3D21FE33}" name="Column1997"/>
    <tableColumn id="2005" xr3:uid="{590225C4-7C3F-4152-853E-ED7C845C1591}" name="Column1998"/>
    <tableColumn id="2006" xr3:uid="{A54D2C97-7658-4639-8DAD-0BD107848355}" name="Column1999"/>
    <tableColumn id="2007" xr3:uid="{0435CB90-50C2-483B-BE9E-D3A9BDD402E7}" name="Column2000"/>
    <tableColumn id="2008" xr3:uid="{107B79C9-F4F9-4F13-9679-7043D121438A}" name="Column2001"/>
    <tableColumn id="2009" xr3:uid="{B4562AB7-CB93-4F13-A2EF-51B75252A518}" name="Column2002"/>
    <tableColumn id="2010" xr3:uid="{6C9CE1A6-27F1-4DCD-92B1-179E6F65D544}" name="Column2003"/>
    <tableColumn id="2011" xr3:uid="{D329F1CC-0113-46DC-90C0-9F16369475A1}" name="Column2004"/>
    <tableColumn id="2012" xr3:uid="{F2E9D1C4-9655-46E6-9205-995761B62B21}" name="Column2005"/>
    <tableColumn id="2013" xr3:uid="{F9A3DC80-BBBF-4D10-97E9-53ADB5857E47}" name="Column2006"/>
    <tableColumn id="2014" xr3:uid="{83EDDF6B-B43A-4BE1-B4A7-48A38547BE8C}" name="Column2007"/>
    <tableColumn id="2015" xr3:uid="{A313CE6D-957F-4E02-AE94-37D1A5AF62FE}" name="Column2008"/>
    <tableColumn id="2016" xr3:uid="{FFA319DB-9ED1-472A-9EBC-0D63BCFC2C6B}" name="Column2009"/>
    <tableColumn id="2017" xr3:uid="{917C080B-C083-4207-8534-0DF97A9E028C}" name="Column2010"/>
    <tableColumn id="2018" xr3:uid="{9677E04B-92E6-45B4-B68E-8764137DB769}" name="Column2011"/>
    <tableColumn id="2019" xr3:uid="{C483B5B9-242E-400B-A95B-E396570782E8}" name="Column2012"/>
    <tableColumn id="2020" xr3:uid="{A46EB9BC-AEB3-4244-A649-94FCF6B05884}" name="Column2013"/>
    <tableColumn id="2021" xr3:uid="{9DB9DC63-E790-408D-9233-BDAFB6011DA4}" name="Column2014"/>
    <tableColumn id="2022" xr3:uid="{19E07BEE-1058-4C1A-8CAA-E522657DEF4F}" name="Column2015"/>
    <tableColumn id="2023" xr3:uid="{4FE92C01-6E94-4C5B-B951-6FB696BC2622}" name="Column2016"/>
    <tableColumn id="2024" xr3:uid="{E85156A7-F4C6-47FE-AC6E-90DDFCD7F1D7}" name="Column2017"/>
    <tableColumn id="2025" xr3:uid="{39204DE5-EB3E-466E-A5B2-F46A61B76A11}" name="Column2018"/>
    <tableColumn id="2026" xr3:uid="{4A60A763-6520-461B-9160-51A87F28F950}" name="Column2019"/>
    <tableColumn id="2027" xr3:uid="{6205FE10-5F8E-4A05-BA03-9499B897923E}" name="Column2020"/>
    <tableColumn id="2028" xr3:uid="{92AA9D3F-08F6-4244-83C9-442D9C81CED3}" name="Column2021"/>
    <tableColumn id="2029" xr3:uid="{8598C738-B048-4228-8C20-455B4205F23E}" name="Column2022"/>
    <tableColumn id="2030" xr3:uid="{3DA54681-F592-419B-A461-C4A5F989FE7E}" name="Column2023"/>
    <tableColumn id="2031" xr3:uid="{FF47314C-7A6B-4C42-912D-BA5F21C6BF19}" name="Column2024"/>
    <tableColumn id="2032" xr3:uid="{F2575078-B646-47D2-9A95-5FF80CDBE04D}" name="Column2025"/>
    <tableColumn id="2033" xr3:uid="{FF3E98AC-0F7B-464B-B6FE-F0C8207FEA5A}" name="Column2026"/>
    <tableColumn id="2034" xr3:uid="{C5D62B03-C7B9-4803-B63C-97E697681909}" name="Column2027"/>
    <tableColumn id="2035" xr3:uid="{3BFB0A37-BDA9-4E37-AD54-F0B0FA1D2412}" name="Column2028"/>
    <tableColumn id="2036" xr3:uid="{E826D9F3-2DD8-4D7A-BE04-275410682503}" name="Column2029"/>
    <tableColumn id="2037" xr3:uid="{74853B67-D630-4928-919A-67B868FB6C0A}" name="Column2030"/>
    <tableColumn id="2038" xr3:uid="{8984D572-928B-4DAE-9917-DADED2BD362A}" name="Column2031"/>
    <tableColumn id="2039" xr3:uid="{8900877F-C20C-4D3F-9FD2-7DA775137CBC}" name="Column2032"/>
    <tableColumn id="2040" xr3:uid="{67099CCB-FE12-447B-9D44-7B2EB44E94F9}" name="Column2033"/>
    <tableColumn id="2041" xr3:uid="{4CF24F55-54AA-4049-A588-DCBE474F6065}" name="Column2034"/>
    <tableColumn id="2042" xr3:uid="{5F94618B-0DE5-4BA4-83DD-814235C997FF}" name="Column2035"/>
    <tableColumn id="2043" xr3:uid="{E46F42C3-8FB3-4AA4-A19F-4217AF556805}" name="Column2036"/>
    <tableColumn id="2044" xr3:uid="{C4FBF48D-CAB9-4D45-9AA6-F5D4655AC8C4}" name="Column2037"/>
    <tableColumn id="2045" xr3:uid="{4F5BCC8B-C1F9-4EC7-B4F5-87E1C6A4C5CC}" name="Column2038"/>
    <tableColumn id="2046" xr3:uid="{637F8F03-988F-474B-A0BE-54C364E75D41}" name="Column2039"/>
    <tableColumn id="2047" xr3:uid="{80DA4585-FB70-4393-AEC0-32CA249BC66E}" name="Column2040"/>
    <tableColumn id="2048" xr3:uid="{C28F32BD-48B5-43CC-8A54-C069C75B407D}" name="Column2041"/>
    <tableColumn id="2049" xr3:uid="{531181EB-7F2A-46FB-B99B-1EF4AE888341}" name="Column2042"/>
    <tableColumn id="2050" xr3:uid="{BDE6E134-A0F5-4BD7-B9FC-D97F7B2EDE4F}" name="Column2043"/>
    <tableColumn id="2051" xr3:uid="{B6E4A306-9F9A-435E-A57B-487A49F621DB}" name="Column2044"/>
    <tableColumn id="2052" xr3:uid="{0209B811-D79E-41B6-831D-620ED4F49EA9}" name="Column2045"/>
    <tableColumn id="2053" xr3:uid="{416B6735-BCFF-4092-BBB7-6F4CDF3808BC}" name="Column2046"/>
    <tableColumn id="2054" xr3:uid="{21244048-9489-4520-AFAC-5A0B1F997D26}" name="Column2047"/>
    <tableColumn id="2055" xr3:uid="{9889DB87-ADB9-4ED9-86B8-73030DCFC549}" name="Column2048"/>
    <tableColumn id="2056" xr3:uid="{03E6FDD7-BFF4-419C-B82E-60E4BBAA058D}" name="Column2049"/>
    <tableColumn id="2057" xr3:uid="{70DB13FC-B8E2-46ED-93F4-9B194225D2F0}" name="Column2050"/>
    <tableColumn id="2058" xr3:uid="{0ED254C8-343E-41CD-9367-CEF2140A1F88}" name="Column2051"/>
    <tableColumn id="2059" xr3:uid="{9F397250-7DBD-4DE5-AA57-4D8B6414D050}" name="Column2052"/>
    <tableColumn id="2060" xr3:uid="{9E75D53E-5B0D-4131-AC57-D26F9D1E510A}" name="Column2053"/>
    <tableColumn id="2061" xr3:uid="{3248818F-F617-41F1-9AD4-CF5E9B36D95C}" name="Column2054"/>
    <tableColumn id="2062" xr3:uid="{C5EF08AD-EB67-4885-A83D-BFF41B4A6548}" name="Column2055"/>
    <tableColumn id="2063" xr3:uid="{A7456910-9A63-43E8-8D50-E69202723D36}" name="Column2056"/>
    <tableColumn id="2064" xr3:uid="{0B4DD769-6F0F-42D6-ABEB-F71C1927CA3D}" name="Column2057"/>
    <tableColumn id="2065" xr3:uid="{8D36837D-928B-4920-8635-DAB6A093D2BD}" name="Column2058"/>
    <tableColumn id="2066" xr3:uid="{AA996145-57E2-43B7-A833-D6FC44D6ED7D}" name="Column2059"/>
    <tableColumn id="2067" xr3:uid="{BBCB9A1F-F632-4E88-8391-9D3BC88A319B}" name="Column2060"/>
    <tableColumn id="2068" xr3:uid="{439E4B89-2891-4723-BB05-F95293A81244}" name="Column2061"/>
    <tableColumn id="2069" xr3:uid="{AE236E12-CB44-4C07-A6DB-AE820FE07B2C}" name="Column2062"/>
    <tableColumn id="2070" xr3:uid="{C7DBDD7D-D6C7-4F5C-8061-5152BF0023F6}" name="Column2063"/>
    <tableColumn id="2071" xr3:uid="{AD505D56-64A4-42E3-9E9D-64B36C9CFF51}" name="Column2064"/>
    <tableColumn id="2072" xr3:uid="{20B43FAC-C551-486C-B759-AB1A70F9B4AF}" name="Column2065"/>
    <tableColumn id="2073" xr3:uid="{D1C59C07-0031-4C52-9577-036B039448D4}" name="Column2066"/>
    <tableColumn id="2074" xr3:uid="{01B14A93-B626-4A8D-95BB-57111FE2DB7C}" name="Column2067"/>
    <tableColumn id="2075" xr3:uid="{996855CD-994D-4838-B68B-B572647A5BBF}" name="Column2068"/>
    <tableColumn id="2076" xr3:uid="{BE7E3199-9DD9-4617-BAB8-D5B457AF4DE8}" name="Column2069"/>
    <tableColumn id="2077" xr3:uid="{65E50892-F78C-4FC2-AE1A-A9ECDF6D26E3}" name="Column2070"/>
    <tableColumn id="2078" xr3:uid="{B74AEC52-DE8D-469C-9625-678EBBD4C71A}" name="Column2071"/>
    <tableColumn id="2079" xr3:uid="{9F918C9F-F25E-4992-936C-E035F7EB16CE}" name="Column2072"/>
    <tableColumn id="2080" xr3:uid="{1FC4EE4C-7EB4-4216-88B6-12ACDABB8A8D}" name="Column2073"/>
    <tableColumn id="2081" xr3:uid="{AB4F6644-DFCD-4171-8DB8-42C0B9E86CE1}" name="Column2074"/>
    <tableColumn id="2082" xr3:uid="{F3E350B7-7E49-4963-9211-E17CB35AAEC1}" name="Column2075"/>
    <tableColumn id="2083" xr3:uid="{88C1B315-23E2-4BD5-BFD2-435FEF9D197B}" name="Column2076"/>
    <tableColumn id="2084" xr3:uid="{9B544FD1-9430-477F-A653-3E61D90B9DA3}" name="Column2077"/>
    <tableColumn id="2085" xr3:uid="{B14C35D8-3228-409E-9104-286C07A730C6}" name="Column2078"/>
    <tableColumn id="2086" xr3:uid="{60522EC4-96B9-410F-AC59-BBA1BAC22AF8}" name="Column2079"/>
    <tableColumn id="2087" xr3:uid="{1C367C07-C9E3-4AE2-86EC-EA26D4D05862}" name="Column2080"/>
    <tableColumn id="2088" xr3:uid="{07BA53B6-0A68-4783-AE16-05CEF348DB92}" name="Column2081"/>
    <tableColumn id="2089" xr3:uid="{8E2DB702-3B9F-4819-A2CB-0E08763B5C62}" name="Column2082"/>
    <tableColumn id="2090" xr3:uid="{AD5C5195-D4EA-4CB3-9BD3-52C58CCFA48B}" name="Column2083"/>
    <tableColumn id="2091" xr3:uid="{89B7FFDC-EA4C-47E5-AD4F-FD4742E10FC1}" name="Column2084"/>
    <tableColumn id="2092" xr3:uid="{E93B9EDD-BC75-4DD6-BAD0-54574FCAFAA3}" name="Column2085"/>
    <tableColumn id="2093" xr3:uid="{98B89269-2FA6-451F-8E18-F0D37BDE96EB}" name="Column2086"/>
    <tableColumn id="2094" xr3:uid="{A2728657-74FF-4098-80E8-0A9B946518F9}" name="Column2087"/>
    <tableColumn id="2095" xr3:uid="{57A0E742-B8E5-4099-AEFE-1C386589A3EC}" name="Column2088"/>
    <tableColumn id="2096" xr3:uid="{0142E40E-9B5A-4276-A924-9870EBA98EE5}" name="Column2089"/>
    <tableColumn id="2097" xr3:uid="{0FF82E72-12E8-44EC-BAB3-A561B6A5D327}" name="Column2090"/>
    <tableColumn id="2098" xr3:uid="{66B7A05B-42A0-47B1-B3C0-8B2B78BBD643}" name="Column2091"/>
    <tableColumn id="2099" xr3:uid="{2AF2ED3F-7311-4606-B129-07AC046D8F00}" name="Column2092"/>
    <tableColumn id="2100" xr3:uid="{694391C4-C4C6-4B3C-B4C1-852363904548}" name="Column2093"/>
    <tableColumn id="2101" xr3:uid="{F9EAF496-0902-4389-BC95-4B6A58296318}" name="Column2094"/>
    <tableColumn id="2102" xr3:uid="{EB959088-47FB-45CB-91E2-847C18F4771F}" name="Column2095"/>
    <tableColumn id="2103" xr3:uid="{68BF85B3-9995-4B94-BBB0-157D10C9DB97}" name="Column2096"/>
    <tableColumn id="2104" xr3:uid="{A531CB21-FCF3-4F18-BE56-D3EAD2502112}" name="Column2097"/>
    <tableColumn id="2105" xr3:uid="{45AB4579-808A-45AB-8176-74E2D28EB6FC}" name="Column2098"/>
    <tableColumn id="2106" xr3:uid="{3BAC65EF-A827-45C8-BE22-ED788F79447E}" name="Column2099"/>
    <tableColumn id="2107" xr3:uid="{382CF749-406E-4EA1-AF1B-83A738551652}" name="Column2100"/>
    <tableColumn id="2108" xr3:uid="{16718341-91E0-4F1E-ACE0-2B85752727C3}" name="Column2101"/>
    <tableColumn id="2109" xr3:uid="{6FE05093-D36E-4A7E-B9C4-CDB22D7B180F}" name="Column2102"/>
    <tableColumn id="2110" xr3:uid="{4703DDE7-34B4-4B8D-B501-D5E7EF876860}" name="Column2103"/>
    <tableColumn id="2111" xr3:uid="{8F032BE7-9837-486E-9B5E-35EB55D087EB}" name="Column2104"/>
    <tableColumn id="2112" xr3:uid="{C16ACDE8-C8C5-4D69-9F48-EDB76E8307AD}" name="Column2105"/>
    <tableColumn id="2113" xr3:uid="{F29C3B5E-F550-4E4F-99BF-2AE618F2DF71}" name="Column2106"/>
    <tableColumn id="2114" xr3:uid="{98067826-0BF4-4774-83C3-512368E08F04}" name="Column2107"/>
    <tableColumn id="2115" xr3:uid="{F6BFE5F9-9D91-4453-82EC-BDE9B3A1ABDC}" name="Column2108"/>
    <tableColumn id="2116" xr3:uid="{B40523C7-7467-49A6-BBCD-0E4B1E4512CB}" name="Column2109"/>
    <tableColumn id="2117" xr3:uid="{21961370-8929-4B51-8EC2-88E47F2C65FB}" name="Column2110"/>
    <tableColumn id="2118" xr3:uid="{5DFC5D6A-9A80-49D3-B78C-DF8D080B93EC}" name="Column2111"/>
    <tableColumn id="2119" xr3:uid="{29F12D86-C012-4386-A437-C529804DFF24}" name="Column2112"/>
    <tableColumn id="2120" xr3:uid="{9CF88D56-B0B9-4FFC-9BDF-533A09815DF5}" name="Column2113"/>
    <tableColumn id="2121" xr3:uid="{DEA06B85-2D6F-427A-87C7-97399DB08E50}" name="Column2114"/>
    <tableColumn id="2122" xr3:uid="{07043EC7-2DC2-4C61-A076-05166B916558}" name="Column2115"/>
    <tableColumn id="2123" xr3:uid="{13446E14-1D01-47F6-BCA5-6FFDE2376065}" name="Column2116"/>
    <tableColumn id="2124" xr3:uid="{83F0DD2E-EF79-4778-96F2-BA3716FF310D}" name="Column2117"/>
    <tableColumn id="2125" xr3:uid="{6DF16DB7-1F9F-4703-AB78-4D466CEF8259}" name="Column2118"/>
    <tableColumn id="2126" xr3:uid="{675BACD4-F759-4B05-BE1F-AB9CC803DDD9}" name="Column2119"/>
    <tableColumn id="2127" xr3:uid="{CEAC2AA0-47FE-4AA4-8BF1-4018AAF24645}" name="Column2120"/>
    <tableColumn id="2128" xr3:uid="{E3F3D3D0-15A9-42E0-AFE9-88638A04C8C4}" name="Column2121"/>
    <tableColumn id="2129" xr3:uid="{0D05637E-6043-42DB-997F-348C325146BF}" name="Column2122"/>
    <tableColumn id="2130" xr3:uid="{C1FF4F55-FCEF-4525-AC17-E8CBE7AFCD2D}" name="Column2123"/>
    <tableColumn id="2131" xr3:uid="{B484264E-F6A6-43A4-8BBF-58DB84D70E3C}" name="Column2124"/>
    <tableColumn id="2132" xr3:uid="{3B95EA63-E744-44BA-9257-3857B4B68C4E}" name="Column2125"/>
    <tableColumn id="2133" xr3:uid="{F32D88BE-B501-483D-AB8E-C9C9EC9EF3D0}" name="Column2126"/>
    <tableColumn id="2134" xr3:uid="{19601F0F-F2A5-4809-8549-2BB0A8FF1EA7}" name="Column2127"/>
    <tableColumn id="2135" xr3:uid="{AA65732B-65D2-48F1-8D88-B357A739EBF0}" name="Column2128"/>
    <tableColumn id="2136" xr3:uid="{C0BD386D-AE8A-4DC2-83B1-B4EBD00B90AD}" name="Column2129"/>
    <tableColumn id="2137" xr3:uid="{0BD1F72E-4E28-4BCD-BF8E-A60831418EDE}" name="Column2130"/>
    <tableColumn id="2138" xr3:uid="{299A7157-C697-4256-B4D5-99B333494386}" name="Column2131"/>
    <tableColumn id="2139" xr3:uid="{077B386E-0F0F-4D78-8C97-E00E851C2C25}" name="Column2132"/>
    <tableColumn id="2140" xr3:uid="{FCDC180A-E356-4D8E-A53F-EB5ECFC3640D}" name="Column2133"/>
    <tableColumn id="2141" xr3:uid="{3025B791-5399-433A-A300-B81CBD811820}" name="Column2134"/>
    <tableColumn id="2142" xr3:uid="{F90AC687-E83B-430E-A05F-4826B4FD880E}" name="Column2135"/>
    <tableColumn id="2143" xr3:uid="{885C6A4F-2886-479C-8F4D-F0CC2ABB1685}" name="Column2136"/>
    <tableColumn id="2144" xr3:uid="{13513AD6-1F24-48A3-8BAF-16B61E1A4303}" name="Column2137"/>
    <tableColumn id="2145" xr3:uid="{AAD05294-CC98-4FBC-8192-6A04462B2E82}" name="Column2138"/>
    <tableColumn id="2146" xr3:uid="{A9E605DD-7F6B-4EAD-A9FF-90E60F8E92A6}" name="Column2139"/>
    <tableColumn id="2147" xr3:uid="{7B8F80B7-9326-4443-A432-C959C66DF618}" name="Column2140"/>
    <tableColumn id="2148" xr3:uid="{72B93FFE-7AC3-43D1-97A2-6AE8A1F9B47E}" name="Column2141"/>
    <tableColumn id="2149" xr3:uid="{C312EDBD-6D58-4918-9568-B84B97C160FE}" name="Column2142"/>
    <tableColumn id="2150" xr3:uid="{140D0493-D7E2-43C6-9674-DB30241745B8}" name="Column2143"/>
    <tableColumn id="2151" xr3:uid="{300AEDFB-78FD-4759-94AE-B8BD641ECBA7}" name="Column2144"/>
    <tableColumn id="2152" xr3:uid="{A9C39D06-262F-4BD5-96B0-3A98E589E03D}" name="Column2145"/>
    <tableColumn id="2153" xr3:uid="{C31538EC-1CEA-4BE7-82FC-9B296C279465}" name="Column2146"/>
    <tableColumn id="2154" xr3:uid="{F398BD99-AFEF-4435-829C-6B8B23533CAE}" name="Column2147"/>
    <tableColumn id="2155" xr3:uid="{B48F2915-5317-4549-980C-54287D3F7FF2}" name="Column2148"/>
    <tableColumn id="2156" xr3:uid="{44A7EFF4-7C45-4D30-B579-B7565E920D27}" name="Column2149"/>
    <tableColumn id="2157" xr3:uid="{8F32AB31-DE8C-4053-8996-7A67C36D56EC}" name="Column2150"/>
    <tableColumn id="2158" xr3:uid="{D47A6894-7705-4419-80D2-2DC652C50465}" name="Column2151"/>
    <tableColumn id="2159" xr3:uid="{2AEBB17B-5594-4443-9903-5C4E200AA549}" name="Column2152"/>
    <tableColumn id="2160" xr3:uid="{93A8850E-AD32-4A57-9A5A-7CAF7375635C}" name="Column2153"/>
    <tableColumn id="2161" xr3:uid="{B035A4EE-C3D9-411A-B936-17EF91685D06}" name="Column2154"/>
    <tableColumn id="2162" xr3:uid="{640924CA-7CED-4488-8708-60490639BC47}" name="Column2155"/>
    <tableColumn id="2163" xr3:uid="{19E60655-BAD4-47F1-B13F-BD726F4B616F}" name="Column2156"/>
    <tableColumn id="2164" xr3:uid="{50B4403D-9E8A-49EE-8677-0B80E5AED730}" name="Column2157"/>
    <tableColumn id="2165" xr3:uid="{6B7E513D-8029-4EDD-9E57-DBD58F8C0249}" name="Column2158"/>
    <tableColumn id="2166" xr3:uid="{0D8D3F8F-2DA8-4EE8-9436-CCB3AAEDE248}" name="Column2159"/>
    <tableColumn id="2167" xr3:uid="{B3DC6731-56DD-4893-8903-D9A66ECDF089}" name="Column2160"/>
    <tableColumn id="2168" xr3:uid="{34F5E944-6D45-48F8-B6CF-EFE3A2F4A334}" name="Column2161"/>
    <tableColumn id="2169" xr3:uid="{9685A838-523B-4D45-9827-892DDA650234}" name="Column2162"/>
    <tableColumn id="2170" xr3:uid="{FD94460D-F4F2-4AAA-82D7-2E624736D49F}" name="Column2163"/>
    <tableColumn id="2171" xr3:uid="{515687E5-4140-4817-9E4B-2A46F7325DE2}" name="Column2164"/>
    <tableColumn id="2172" xr3:uid="{6269C8E4-A5E9-4FE6-8508-27A8DA8768B9}" name="Column2165"/>
    <tableColumn id="2173" xr3:uid="{AB23BEF8-3EAE-4B86-B474-F5F644995FEB}" name="Column2166"/>
    <tableColumn id="2174" xr3:uid="{19174429-C8B4-4C63-B5C9-0D09B2EF8F31}" name="Column2167"/>
    <tableColumn id="2175" xr3:uid="{66B0512B-4B4F-450C-96E8-9E47B5D4DAB4}" name="Column2168"/>
    <tableColumn id="2176" xr3:uid="{17FC6339-7037-4A97-A2C3-8B83E623AF88}" name="Column2169"/>
    <tableColumn id="2177" xr3:uid="{EDBA6D22-6537-4DF3-8992-0884ECE5DC4C}" name="Column2170"/>
    <tableColumn id="2178" xr3:uid="{813CCDFC-9D00-4C55-8AA6-6F6C9D08784D}" name="Column2171"/>
    <tableColumn id="2179" xr3:uid="{30BD8235-A86B-4B1C-B1CC-0CC511FFFEF7}" name="Column2172"/>
    <tableColumn id="2180" xr3:uid="{D357E592-2DEC-4AB0-BB6E-A77DC08A5777}" name="Column2173"/>
    <tableColumn id="2181" xr3:uid="{B0AC54B2-5A73-4184-96A2-DC22CD384BF9}" name="Column2174"/>
    <tableColumn id="2182" xr3:uid="{6DA2936B-2B4D-478A-99A9-BD9F7DC67795}" name="Column2175"/>
    <tableColumn id="2183" xr3:uid="{927B5F70-D73E-4224-A77D-4751E4D5894A}" name="Column2176"/>
    <tableColumn id="2184" xr3:uid="{B5578455-53AB-4C1D-BAEC-115A40B38F3E}" name="Column2177"/>
    <tableColumn id="2185" xr3:uid="{0DF7A4B1-05BE-4064-ABF7-1829A115223D}" name="Column2178"/>
    <tableColumn id="2186" xr3:uid="{0E3F1FDC-63CE-4965-8C60-B09C2EA0BE04}" name="Column2179"/>
    <tableColumn id="2187" xr3:uid="{DB6F9A09-4E60-4697-A70D-8C778C8656D1}" name="Column2180"/>
    <tableColumn id="2188" xr3:uid="{9393831E-E53D-4A72-A72E-942296D1EA62}" name="Column2181"/>
    <tableColumn id="2189" xr3:uid="{8F531917-EB97-4822-9F5B-7E92416D1C0D}" name="Column2182"/>
    <tableColumn id="2190" xr3:uid="{CAEEDB5C-3A2B-478C-A73A-57614FC49296}" name="Column2183"/>
    <tableColumn id="2191" xr3:uid="{327430DF-3AE5-44C5-81F6-0EE7953EFDD5}" name="Column2184"/>
    <tableColumn id="2192" xr3:uid="{52C7D898-CCEE-4754-8774-D0335917EBB2}" name="Column2185"/>
    <tableColumn id="2193" xr3:uid="{19AFA31C-3D62-40E1-A62B-4D90C0DE5DD6}" name="Column2186"/>
    <tableColumn id="2194" xr3:uid="{2ADB8470-85D8-4EBD-B72B-09437C6F1A16}" name="Column2187"/>
    <tableColumn id="2195" xr3:uid="{F848C1B1-7C57-4DCA-BCC6-69B783DEF0ED}" name="Column2188"/>
    <tableColumn id="2196" xr3:uid="{1A3B57D7-2BA0-4CE4-8C6A-D6931E0E4396}" name="Column2189"/>
    <tableColumn id="2197" xr3:uid="{92F166B9-BD68-4680-AA12-98D614C36107}" name="Column2190"/>
    <tableColumn id="2198" xr3:uid="{B3DD2074-DF7A-4410-9521-85850D71CA68}" name="Column2191"/>
    <tableColumn id="2199" xr3:uid="{0CCE73E6-4C7D-4D80-92A2-D17FB9BF384F}" name="Column2192"/>
    <tableColumn id="2200" xr3:uid="{9C06ABDF-5706-46BF-AD51-325E467154C5}" name="Column2193"/>
    <tableColumn id="2201" xr3:uid="{D57FE378-8516-43E9-BF94-C371F2A44ACC}" name="Column2194"/>
    <tableColumn id="2202" xr3:uid="{ABB947D9-D8B4-494B-98FB-5A35AA1A38F6}" name="Column2195"/>
    <tableColumn id="2203" xr3:uid="{1AB6C393-30DC-4A7C-A944-55D1B9446381}" name="Column2196"/>
    <tableColumn id="2204" xr3:uid="{A900AA5A-71A7-40B9-929F-C60A46F1BFFC}" name="Column2197"/>
    <tableColumn id="2205" xr3:uid="{6A0B50A6-1F72-4486-ADBF-EDC23A19E631}" name="Column2198"/>
    <tableColumn id="2206" xr3:uid="{F4FA163E-99EE-4175-8BDC-BB4C0B03A833}" name="Column2199"/>
    <tableColumn id="2207" xr3:uid="{ABC8BBEA-2823-4EBE-ABB9-570FF50D7D78}" name="Column2200"/>
    <tableColumn id="2208" xr3:uid="{5DBC41D2-B188-4DFE-BE3E-8566B4930464}" name="Column2201"/>
    <tableColumn id="2209" xr3:uid="{938BDB8E-505C-4DA2-BD48-424992F34E91}" name="Column2202"/>
    <tableColumn id="2210" xr3:uid="{E7C6D47C-2B25-403B-ACE5-C9AB6595AAD9}" name="Column2203"/>
    <tableColumn id="2211" xr3:uid="{63C072D9-F6B4-44F0-A234-1A2BAEDB8A80}" name="Column2204"/>
    <tableColumn id="2212" xr3:uid="{AF77313C-31D8-4C5D-95BC-36396C648C56}" name="Column2205"/>
    <tableColumn id="2213" xr3:uid="{DDCDB3FC-6553-454B-9392-63635C1F5740}" name="Column2206"/>
    <tableColumn id="2214" xr3:uid="{F986A30D-D6F9-4CA5-BA97-A8DA34E92E0B}" name="Column2207"/>
    <tableColumn id="2215" xr3:uid="{E5F6FA4C-934E-497A-8822-816C86C7C800}" name="Column2208"/>
    <tableColumn id="2216" xr3:uid="{3EB321E0-7F90-4735-98D4-A6B3452FC68A}" name="Column2209"/>
    <tableColumn id="2217" xr3:uid="{998721E6-9AD4-49C8-9828-5C69ABDEBF57}" name="Column2210"/>
    <tableColumn id="2218" xr3:uid="{06878C9C-A5B4-4AEA-ADB8-CD0570ED4265}" name="Column2211"/>
    <tableColumn id="2219" xr3:uid="{2D4E689E-77AC-4F67-BD01-88FC6505ACAB}" name="Column2212"/>
    <tableColumn id="2220" xr3:uid="{B19CFE8D-4C93-40D6-A477-042B18EDDB9E}" name="Column2213"/>
    <tableColumn id="2221" xr3:uid="{91702A16-AD5D-4B25-AFDE-0ACE75B4CD9B}" name="Column2214"/>
    <tableColumn id="2222" xr3:uid="{456AC1C1-233B-47D3-B5BE-184A52E89152}" name="Column2215"/>
    <tableColumn id="2223" xr3:uid="{4E9FD72D-0840-49C9-BD6D-86F44CD70F32}" name="Column2216"/>
    <tableColumn id="2224" xr3:uid="{D5A513BC-0BB4-460B-98F5-B72429AC83EB}" name="Column2217"/>
    <tableColumn id="2225" xr3:uid="{36397E31-31E7-4CDE-90A3-8EC07563F6B5}" name="Column2218"/>
    <tableColumn id="2226" xr3:uid="{DAB83CA2-1228-49A9-B722-4EC5663F66B0}" name="Column2219"/>
    <tableColumn id="2227" xr3:uid="{867C61C9-B59A-49F2-B14D-A3B6979AC720}" name="Column2220"/>
    <tableColumn id="2228" xr3:uid="{6938566B-829B-4CDC-B4A2-B2006863D7D2}" name="Column2221"/>
    <tableColumn id="2229" xr3:uid="{0CF54A34-66D5-44AE-9BF9-A0F127BB63F9}" name="Column2222"/>
    <tableColumn id="2230" xr3:uid="{31B22BE4-43E9-46F5-8B5C-7F8C8BAE2019}" name="Column2223"/>
    <tableColumn id="2231" xr3:uid="{9271C8FF-C5FB-43A2-89DF-F3E0EB39F04D}" name="Column2224"/>
    <tableColumn id="2232" xr3:uid="{40A0C0C0-6863-40B3-AA23-BC2A2B1DA3BE}" name="Column2225"/>
    <tableColumn id="2233" xr3:uid="{2945DE87-B6BC-402E-8F15-6B9732C29382}" name="Column2226"/>
    <tableColumn id="2234" xr3:uid="{7CE69932-10D7-48BB-BD0A-A0DD0E542D63}" name="Column2227"/>
    <tableColumn id="2235" xr3:uid="{0EF3E269-2219-4EEA-8CA0-64F4F1C4A36F}" name="Column2228"/>
    <tableColumn id="2236" xr3:uid="{C6011457-0529-4361-BAF6-8C541F563008}" name="Column2229"/>
    <tableColumn id="2237" xr3:uid="{545BC10B-EB7E-4E54-85B0-B7996050396D}" name="Column2230"/>
    <tableColumn id="2238" xr3:uid="{C1C37155-813D-447C-BCA3-F54D4F8EB8E0}" name="Column2231"/>
    <tableColumn id="2239" xr3:uid="{BE420171-013D-4417-AF9C-BD644CED45C8}" name="Column2232"/>
    <tableColumn id="2240" xr3:uid="{6CAE2CD9-3A2F-466F-B308-AFD9A7AE7204}" name="Column2233"/>
    <tableColumn id="2241" xr3:uid="{68EDC3FE-F180-478C-96FA-4968A361C60C}" name="Column2234"/>
    <tableColumn id="2242" xr3:uid="{EF7FB7F4-95E2-4669-ADAB-2B207F030412}" name="Column2235"/>
    <tableColumn id="2243" xr3:uid="{CAA9484E-6F19-43EC-B6A1-66F6DE3D617D}" name="Column2236"/>
    <tableColumn id="2244" xr3:uid="{59B0A2C0-3D92-44D8-B570-A0A964CD9265}" name="Column2237"/>
    <tableColumn id="2245" xr3:uid="{CA1442AD-8741-42E3-B804-E8E66D90B596}" name="Column2238"/>
    <tableColumn id="2246" xr3:uid="{82985E39-1260-43DE-AB42-6760067C9E41}" name="Column2239"/>
    <tableColumn id="2247" xr3:uid="{C03686C7-8823-4987-891B-D99E1C8ABA05}" name="Column2240"/>
    <tableColumn id="2248" xr3:uid="{A60D1553-5F40-4DDB-B716-1B958EC5265E}" name="Column2241"/>
    <tableColumn id="2249" xr3:uid="{7173F4AF-61D6-4DF9-A33E-E369C582CDE7}" name="Column2242"/>
    <tableColumn id="2250" xr3:uid="{87B448B9-3697-4FFF-94C8-B7CB1235DDD9}" name="Column2243"/>
    <tableColumn id="2251" xr3:uid="{643A7386-B7B2-41A9-B5F8-B5C5FD3078C2}" name="Column2244"/>
    <tableColumn id="2252" xr3:uid="{CB765828-E32F-4C4F-A792-E6F39892EB2C}" name="Column2245"/>
    <tableColumn id="2253" xr3:uid="{57AB4366-45AE-4C26-B171-CE7464DC935E}" name="Column2246"/>
    <tableColumn id="2254" xr3:uid="{5A3BB1C4-2371-4B6A-9724-0374427BDF06}" name="Column2247"/>
    <tableColumn id="2255" xr3:uid="{1D290251-B0C3-49EB-BDAA-CA9DDF89F8FE}" name="Column2248"/>
    <tableColumn id="2256" xr3:uid="{F1EBD72B-BE71-446E-AAA8-F179DFA31F6A}" name="Column2249"/>
    <tableColumn id="2257" xr3:uid="{5EED4A38-29C5-43D3-BAE1-DE53926B3871}" name="Column2250"/>
    <tableColumn id="2258" xr3:uid="{CC0D1330-3C38-4CCA-8BE6-DFF93BF76338}" name="Column2251"/>
    <tableColumn id="2259" xr3:uid="{48838989-0F9A-4F29-B9DE-1CBA52287C96}" name="Column2252"/>
    <tableColumn id="2260" xr3:uid="{6952F9EE-DC31-4F62-A706-6B2F29814613}" name="Column2253"/>
    <tableColumn id="2261" xr3:uid="{0E8DA841-D8DC-4B1E-B7D0-910B14AEE2FC}" name="Column2254"/>
    <tableColumn id="2262" xr3:uid="{F7388FE8-57C7-4D49-B43F-33FA1D90C908}" name="Column2255"/>
    <tableColumn id="2263" xr3:uid="{E344E496-FC20-42BB-8DF7-917EDC9A6DE2}" name="Column2256"/>
    <tableColumn id="2264" xr3:uid="{9695DCAA-20F4-45BB-B34E-7C43B5E36662}" name="Column2257"/>
    <tableColumn id="2265" xr3:uid="{099AC601-D947-47BD-8DA5-1BE5D1F08380}" name="Column2258"/>
    <tableColumn id="2266" xr3:uid="{28AEC2DF-5E84-48DC-A7E0-4894F8CCD2A0}" name="Column2259"/>
    <tableColumn id="2267" xr3:uid="{D4001F49-59EA-4FBE-8FC3-07D44965FB6C}" name="Column2260"/>
    <tableColumn id="2268" xr3:uid="{278541B9-69B8-4551-A4CA-898168F8A9D7}" name="Column2261"/>
    <tableColumn id="2269" xr3:uid="{14869D79-04BF-4E21-BEA2-CCC24557341C}" name="Column2262"/>
    <tableColumn id="2270" xr3:uid="{CE224C0A-B743-4F5D-AB0B-10AA68F6C91F}" name="Column2263"/>
    <tableColumn id="2271" xr3:uid="{8BF237D1-11DB-4178-9B5D-5B4C88D00ECE}" name="Column2264"/>
    <tableColumn id="2272" xr3:uid="{5D199A6F-6E5D-4427-8080-FFBF6C39C343}" name="Column2265"/>
    <tableColumn id="2273" xr3:uid="{C72236BC-3599-49EA-804A-071E2D3E979C}" name="Column2266"/>
    <tableColumn id="2274" xr3:uid="{A1EC5363-1E9E-4104-9AF5-6988E585D926}" name="Column2267"/>
    <tableColumn id="2275" xr3:uid="{0C8CBE8E-145B-4305-8753-2CBAB13D663A}" name="Column2268"/>
    <tableColumn id="2276" xr3:uid="{21558452-4A12-4623-B5B6-5E09FA1C003E}" name="Column2269"/>
    <tableColumn id="2277" xr3:uid="{8E37F7D8-154C-4A8D-B329-4A5FA338F819}" name="Column2270"/>
    <tableColumn id="2278" xr3:uid="{07DDC522-AED8-4108-B963-1518118B3B9F}" name="Column2271"/>
    <tableColumn id="2279" xr3:uid="{2A1939F8-0E3C-46EF-ADEE-4C500ACEDE95}" name="Column2272"/>
    <tableColumn id="2280" xr3:uid="{87EA056D-BEAB-41A8-9D63-7A8C9AD0155E}" name="Column2273"/>
    <tableColumn id="2281" xr3:uid="{73C1A296-F44E-4BC6-9903-E92F46AE8C2F}" name="Column2274"/>
    <tableColumn id="2282" xr3:uid="{69B9040E-F117-4C4C-96B6-84C76F19C01B}" name="Column2275"/>
    <tableColumn id="2283" xr3:uid="{3ADBD902-DB5D-4806-BBBC-756BDEB56BC9}" name="Column2276"/>
    <tableColumn id="2284" xr3:uid="{83BB874C-585D-4042-B379-0E54CDDBC710}" name="Column2277"/>
    <tableColumn id="2285" xr3:uid="{1B10C959-0FD2-40EF-B2D2-4AA12F4A00DB}" name="Column2278"/>
    <tableColumn id="2286" xr3:uid="{77D86E17-E7BA-45D0-A57F-29F799D8D50E}" name="Column2279"/>
    <tableColumn id="2287" xr3:uid="{F240CA7F-8225-4583-9834-B7CE7363184D}" name="Column2280"/>
    <tableColumn id="2288" xr3:uid="{40B9A012-D0B2-4E66-A01C-6C428CDCB97D}" name="Column2281"/>
    <tableColumn id="2289" xr3:uid="{524AA14A-E917-4E97-BBA0-92202E6AC852}" name="Column2282"/>
    <tableColumn id="2290" xr3:uid="{8487394C-3816-4678-AFC5-25300CAA72E0}" name="Column2283"/>
    <tableColumn id="2291" xr3:uid="{92C48BF5-3E3E-4E86-B2CD-8DD8B2C75848}" name="Column2284"/>
    <tableColumn id="2292" xr3:uid="{823C2F84-9F06-4D36-A01E-9ECDC41ACF0A}" name="Column2285"/>
    <tableColumn id="2293" xr3:uid="{E86A259A-6517-44DF-B16C-53E7A5968A98}" name="Column2286"/>
    <tableColumn id="2294" xr3:uid="{F4EFBC7F-5A89-4666-B4A3-2E21B98EFCEB}" name="Column2287"/>
    <tableColumn id="2295" xr3:uid="{7F640DB3-2D69-4FAF-A326-7B399717830B}" name="Column2288"/>
    <tableColumn id="2296" xr3:uid="{349A846A-8395-4B17-9C5A-39ADD26D3DE8}" name="Column2289"/>
    <tableColumn id="2297" xr3:uid="{DACD4885-FB17-4F50-9AFE-12125980E0C8}" name="Column2290"/>
    <tableColumn id="2298" xr3:uid="{A8869F76-4760-4B30-AA1E-70AE94075285}" name="Column2291"/>
    <tableColumn id="2299" xr3:uid="{6E73BD9E-6508-42E6-AA5E-051FEF00C971}" name="Column2292"/>
    <tableColumn id="2300" xr3:uid="{400D7690-D69E-4897-ACA4-D7A457105390}" name="Column2293"/>
    <tableColumn id="2301" xr3:uid="{98258EE3-F50F-4A42-9023-7B64E87C6C43}" name="Column2294"/>
    <tableColumn id="2302" xr3:uid="{3A9C4F8E-BC02-43AD-A83D-3658979A9BEE}" name="Column2295"/>
    <tableColumn id="2303" xr3:uid="{679563A9-40CA-4F2E-8773-02505AE7F266}" name="Column2296"/>
    <tableColumn id="2304" xr3:uid="{A5E80FC1-D512-42FD-BA54-F88A41A45759}" name="Column2297"/>
    <tableColumn id="2305" xr3:uid="{4712CE95-28EA-4747-B0C5-4B756CD3210D}" name="Column2298"/>
    <tableColumn id="2306" xr3:uid="{90453D0C-C36B-4070-87A1-5EBF3C484CCB}" name="Column2299"/>
    <tableColumn id="2307" xr3:uid="{2AB86107-778D-4C5E-A50E-6FB2433104EC}" name="Column2300"/>
    <tableColumn id="2308" xr3:uid="{F1780286-D5F8-4F53-91A4-DE239F94236F}" name="Column2301"/>
    <tableColumn id="2309" xr3:uid="{1C2953AB-4ACD-4575-A922-8E213574B68A}" name="Column2302"/>
    <tableColumn id="2310" xr3:uid="{354BC231-D84D-46F2-B8C2-A37568162D09}" name="Column2303"/>
    <tableColumn id="2311" xr3:uid="{D726F599-F0A3-4D49-A696-58FF8A348B9F}" name="Column2304"/>
    <tableColumn id="2312" xr3:uid="{120F7F46-29BE-4CEB-AF8A-583666523813}" name="Column2305"/>
    <tableColumn id="2313" xr3:uid="{757981B4-522F-46BF-A1E0-182EBBBE03A6}" name="Column2306"/>
    <tableColumn id="2314" xr3:uid="{E2174A19-EA55-41B5-B081-8E2E34C2C924}" name="Column2307"/>
    <tableColumn id="2315" xr3:uid="{9AA1294F-2EF7-45FF-AA7D-32FB689C512E}" name="Column2308"/>
    <tableColumn id="2316" xr3:uid="{6A3B14E4-AAA1-4BD2-8B86-D7B0E40E99A9}" name="Column2309"/>
    <tableColumn id="2317" xr3:uid="{7498E571-2B59-45BC-A274-6C62791286D6}" name="Column2310"/>
    <tableColumn id="2318" xr3:uid="{F36E573A-9D8C-4752-82DE-FFCDB57F1474}" name="Column2311"/>
    <tableColumn id="2319" xr3:uid="{305D0468-93B1-4E3B-B0C4-114F1D7DAB31}" name="Column2312"/>
    <tableColumn id="2320" xr3:uid="{4B4E0B20-3BB9-42D8-A42F-4719BA4A550E}" name="Column2313"/>
    <tableColumn id="2321" xr3:uid="{33EE7FCC-45E0-4B77-8008-DA8D1535128C}" name="Column2314"/>
    <tableColumn id="2322" xr3:uid="{4BE6A58D-EFFF-4AF1-A45B-306342A6CB48}" name="Column2315"/>
    <tableColumn id="2323" xr3:uid="{B27EC38E-8FC8-4DD0-B1AF-736D39D210EF}" name="Column2316"/>
    <tableColumn id="2324" xr3:uid="{5D6793D3-50DD-4A80-87C6-ED555E44C14A}" name="Column2317"/>
    <tableColumn id="2325" xr3:uid="{2D0D36B3-2E15-4A41-ABAC-642158668A87}" name="Column2318"/>
    <tableColumn id="2326" xr3:uid="{9939FC1C-447C-470B-A11F-5462FCDC714E}" name="Column2319"/>
    <tableColumn id="2327" xr3:uid="{C03C2BC5-5728-44A2-A591-77C15E509627}" name="Column2320"/>
    <tableColumn id="2328" xr3:uid="{6D963779-4A50-498F-A225-E6588B30B6F4}" name="Column2321"/>
    <tableColumn id="2329" xr3:uid="{1435D8DA-92EF-4154-A1A0-F9D0F3BE32FA}" name="Column2322"/>
    <tableColumn id="2330" xr3:uid="{42DCDBC3-F13C-409A-BBEB-A75055776AEE}" name="Column2323"/>
    <tableColumn id="2331" xr3:uid="{A1F0E759-2A4E-4365-9B1C-49F225B5A620}" name="Column2324"/>
    <tableColumn id="2332" xr3:uid="{347DC01F-881E-4843-BB58-A14927692957}" name="Column2325"/>
    <tableColumn id="2333" xr3:uid="{C73E40F5-9183-4F99-B156-4BA1AA3AF601}" name="Column2326"/>
    <tableColumn id="2334" xr3:uid="{35B6B75A-902C-4715-BBAB-7B59954A67F1}" name="Column2327"/>
    <tableColumn id="2335" xr3:uid="{26008633-FF8C-4779-AAD6-E3B0FF9997FD}" name="Column2328"/>
    <tableColumn id="2336" xr3:uid="{69580956-E671-4403-BD12-422A5E976C6F}" name="Column2329"/>
    <tableColumn id="2337" xr3:uid="{F09F9EA9-AE12-4E4B-995B-E5EE1661992B}" name="Column2330"/>
    <tableColumn id="2338" xr3:uid="{7AE64A2F-BD7D-4FDD-A2C8-54E3F700F372}" name="Column2331"/>
    <tableColumn id="2339" xr3:uid="{855FA85F-49F0-4E4C-94F7-1BE6B42CF2C7}" name="Column2332"/>
    <tableColumn id="2340" xr3:uid="{5B8A874B-C2B7-4149-AFD4-1D3894B9CA31}" name="Column2333"/>
    <tableColumn id="2341" xr3:uid="{9936497E-2893-472A-ACE6-E4C12E7DF8BC}" name="Column2334"/>
    <tableColumn id="2342" xr3:uid="{D9C125F5-B618-4D78-85C9-2ACBDE624453}" name="Column2335"/>
    <tableColumn id="2343" xr3:uid="{1804FE02-8959-49E2-966E-E0E527C18931}" name="Column2336"/>
    <tableColumn id="2344" xr3:uid="{017380B5-C387-4F05-84BE-3970DE762954}" name="Column2337"/>
    <tableColumn id="2345" xr3:uid="{BD46291C-6F2A-4323-AFA2-5CAE21684524}" name="Column2338"/>
    <tableColumn id="2346" xr3:uid="{24ED573F-9539-4ABC-B2EB-C0D19D9EF281}" name="Column2339"/>
    <tableColumn id="2347" xr3:uid="{F60F432C-26F3-4BC6-BFD1-3499008FC625}" name="Column2340"/>
    <tableColumn id="2348" xr3:uid="{9804316F-3B99-45C4-A9B0-6080271A9315}" name="Column2341"/>
    <tableColumn id="2349" xr3:uid="{D82760F0-8FB4-4CF9-B961-1A0D5CC56A2B}" name="Column2342"/>
    <tableColumn id="2350" xr3:uid="{E3500F9E-849B-4824-94BE-D1434D0C723E}" name="Column2343"/>
    <tableColumn id="2351" xr3:uid="{A02EE879-4F32-40AA-A0D2-84F80414F262}" name="Column2344"/>
    <tableColumn id="2352" xr3:uid="{8DD18449-86B1-4DA5-B7E7-7F06787B00CA}" name="Column2345"/>
    <tableColumn id="2353" xr3:uid="{13FA0B49-9DBB-4229-ADDC-7400BBB42684}" name="Column2346"/>
    <tableColumn id="2354" xr3:uid="{24A8B916-E8A3-4913-927A-1EB4DDACBFFF}" name="Column2347"/>
    <tableColumn id="2355" xr3:uid="{8282170C-379D-4431-BCCC-4332B1301DF0}" name="Column2348"/>
    <tableColumn id="2356" xr3:uid="{0C6E56A6-620D-47FB-ABD0-D38D98F58B9D}" name="Column2349"/>
    <tableColumn id="2357" xr3:uid="{A0CE9886-D2FC-4A31-AECB-1732D6D39C50}" name="Column2350"/>
    <tableColumn id="2358" xr3:uid="{68EC3FE7-8141-4664-BD12-518F46975EC5}" name="Column2351"/>
    <tableColumn id="2359" xr3:uid="{F8C320F5-01C0-47E7-B98E-229047064EDC}" name="Column2352"/>
    <tableColumn id="2360" xr3:uid="{6F02AE98-03F5-4F8D-9788-8F8DC96EB701}" name="Column2353"/>
    <tableColumn id="2361" xr3:uid="{23A16CC5-B4FE-44F1-B0FB-C23B987484C6}" name="Column2354"/>
    <tableColumn id="2362" xr3:uid="{502ED7C3-5A57-46EA-9FAC-89A5A6A9ECAA}" name="Column2355"/>
    <tableColumn id="2363" xr3:uid="{E438169B-4C72-4546-8FE9-DA45DE4BD26B}" name="Column2356"/>
    <tableColumn id="2364" xr3:uid="{3EE249B7-8352-479F-9841-EC3764CC9696}" name="Column2357"/>
    <tableColumn id="2365" xr3:uid="{E357C2C3-D23A-47DF-9F1A-B33761F05B62}" name="Column2358"/>
    <tableColumn id="2366" xr3:uid="{E2C0E720-6879-424A-B555-D610225BCBF6}" name="Column2359"/>
    <tableColumn id="2367" xr3:uid="{B118190F-B9A9-4145-88FD-B12320C2A116}" name="Column2360"/>
    <tableColumn id="2368" xr3:uid="{C073554F-50CE-4F50-B832-F174475AF7D2}" name="Column2361"/>
    <tableColumn id="2369" xr3:uid="{C8B3D008-01C1-4F62-A010-48917687AC09}" name="Column2362"/>
    <tableColumn id="2370" xr3:uid="{98EF823E-65D8-4FA0-8BC7-C4C10257A2FB}" name="Column2363"/>
    <tableColumn id="2371" xr3:uid="{ED21E02A-E1E0-41E0-B2F0-136AB4066DC5}" name="Column2364"/>
    <tableColumn id="2372" xr3:uid="{AC452D7F-C91B-4E30-9B13-5891B8C67F06}" name="Column2365"/>
    <tableColumn id="2373" xr3:uid="{D5C58BFE-25CC-4E7A-AB35-5A51B7677C1C}" name="Column2366"/>
    <tableColumn id="2374" xr3:uid="{7F55E1A8-75A7-4C2C-ADC4-26979E6DA605}" name="Column2367"/>
    <tableColumn id="2375" xr3:uid="{7D7E45C3-6AFE-416A-97CD-528413FFE400}" name="Column2368"/>
    <tableColumn id="2376" xr3:uid="{7B4329EC-A004-47AC-BBCA-17B8FEC31A38}" name="Column2369"/>
    <tableColumn id="2377" xr3:uid="{EDBD7793-6E97-4A52-A613-D1C1805F6498}" name="Column2370"/>
    <tableColumn id="2378" xr3:uid="{88E7BFAE-FEF8-4C88-8E62-AD9AC46342F1}" name="Column2371"/>
    <tableColumn id="2379" xr3:uid="{CAA5A8FD-9482-49A7-95DC-AAA3840FF8E4}" name="Column2372"/>
    <tableColumn id="2380" xr3:uid="{B16D466E-A332-4CE3-90B7-97108405756C}" name="Column2373"/>
    <tableColumn id="2381" xr3:uid="{A7D51E40-AB93-4691-B784-C182D048CC65}" name="Column2374"/>
    <tableColumn id="2382" xr3:uid="{9D785B1E-C540-40F7-BE7B-FBCE441A0D77}" name="Column2375"/>
    <tableColumn id="2383" xr3:uid="{3C2CFB2F-66B9-4806-AB77-35D9C797BD34}" name="Column2376"/>
    <tableColumn id="2384" xr3:uid="{C3844C9E-3626-4843-A8FA-68FE44E6A386}" name="Column2377"/>
    <tableColumn id="2385" xr3:uid="{D48A45AA-2EA5-4C55-9084-6B609DB0DA50}" name="Column2378"/>
    <tableColumn id="2386" xr3:uid="{3F97406D-1F8A-491F-9FB3-E04817EE273E}" name="Column2379"/>
    <tableColumn id="2387" xr3:uid="{8602E9D3-8E27-4110-B14A-1984215A260C}" name="Column2380"/>
    <tableColumn id="2388" xr3:uid="{546E4C9A-F6C9-49E5-9E5A-5679BDD0E851}" name="Column2381"/>
    <tableColumn id="2389" xr3:uid="{1C5BFC3F-DEFC-4C7C-BF8E-1C07DF6761D7}" name="Column2382"/>
    <tableColumn id="2390" xr3:uid="{22980477-92F5-4946-B542-C6CBEF84C05F}" name="Column2383"/>
    <tableColumn id="2391" xr3:uid="{0A4C9A03-6B9A-4CC1-9159-94CDE74F2E10}" name="Column2384"/>
    <tableColumn id="2392" xr3:uid="{1801A87E-8E0B-4C7B-BA08-AF26D80A46C3}" name="Column2385"/>
    <tableColumn id="2393" xr3:uid="{F007A3B2-7A6A-41F0-8E79-9F47414C1974}" name="Column2386"/>
    <tableColumn id="2394" xr3:uid="{8D3DA7DC-A1B1-4FCB-A49E-20709ACB3311}" name="Column2387"/>
    <tableColumn id="2395" xr3:uid="{6460A78B-EC69-4EBA-8DF4-D4CF5A1B80CB}" name="Column2388"/>
    <tableColumn id="2396" xr3:uid="{76CA790C-6B39-4E35-9D70-72230D406154}" name="Column2389"/>
    <tableColumn id="2397" xr3:uid="{B7A4466C-B06A-4010-9F89-6B8F41AD612A}" name="Column2390"/>
    <tableColumn id="2398" xr3:uid="{41A1E22D-1D90-4876-ACE4-9452134ADD93}" name="Column2391"/>
    <tableColumn id="2399" xr3:uid="{65E1405D-E811-452E-80F4-2FB6F0EF93D4}" name="Column2392"/>
    <tableColumn id="2400" xr3:uid="{96F2A788-F864-40CC-8111-6E523B2956BF}" name="Column2393"/>
    <tableColumn id="2401" xr3:uid="{F10E3D52-AAD8-4983-BF3F-95C4CA1AFA0C}" name="Column2394"/>
    <tableColumn id="2402" xr3:uid="{3C4FCDCF-EF0A-4303-BE95-48F10A435561}" name="Column2395"/>
    <tableColumn id="2403" xr3:uid="{078404C1-D680-43E3-B72C-7FB8FBBACCB1}" name="Column2396"/>
    <tableColumn id="2404" xr3:uid="{532677E3-8787-4927-82B5-2EA5305106D4}" name="Column2397"/>
    <tableColumn id="2405" xr3:uid="{CC6E34BB-EB44-4794-8B6B-988924E4B11D}" name="Column2398"/>
    <tableColumn id="2406" xr3:uid="{906BACCF-56E9-4115-B1BC-84A9D86D01AD}" name="Column2399"/>
    <tableColumn id="2407" xr3:uid="{AA36ACE9-2E43-4573-BB54-79C46568F6EB}" name="Column2400"/>
    <tableColumn id="2408" xr3:uid="{0BEE321B-3E4C-499E-85F7-09188444EDCB}" name="Column2401"/>
    <tableColumn id="2409" xr3:uid="{29AED760-C3B9-45E2-A406-DFDC470DB3C6}" name="Column2402"/>
    <tableColumn id="2410" xr3:uid="{47976CFE-71C1-42E3-930D-FA3C04823AEF}" name="Column2403"/>
    <tableColumn id="2411" xr3:uid="{4C52B4BE-CA2D-4726-B81B-ADB9225251E9}" name="Column2404"/>
    <tableColumn id="2412" xr3:uid="{DEA3BC80-1BBC-44F7-B6BE-78C0AE07AFD5}" name="Column2405"/>
    <tableColumn id="2413" xr3:uid="{0AD7B2B3-B865-4C6F-9544-80CE5C9FA180}" name="Column2406"/>
    <tableColumn id="2414" xr3:uid="{6C054157-E59E-47C9-9469-40B5CEC46175}" name="Column2407"/>
    <tableColumn id="2415" xr3:uid="{4B878C95-A9F1-4A7F-8329-5F43F5B407D8}" name="Column2408"/>
    <tableColumn id="2416" xr3:uid="{8FD4DED2-FBA6-47EE-8B20-858B206B8E08}" name="Column2409"/>
    <tableColumn id="2417" xr3:uid="{48410D61-8666-45CA-A748-E97A1948E34B}" name="Column2410"/>
    <tableColumn id="2418" xr3:uid="{F131BAA8-C962-4FF4-BADA-71DDF6138EF3}" name="Column2411"/>
    <tableColumn id="2419" xr3:uid="{F5ADA2FD-2BD7-4CA0-81C6-B96C30DDEE58}" name="Column2412"/>
    <tableColumn id="2420" xr3:uid="{F926E921-034D-4565-AC5C-16871701A9B6}" name="Column2413"/>
    <tableColumn id="2421" xr3:uid="{9305D19D-B6AA-44A6-9F2A-1072F98FCC56}" name="Column2414"/>
    <tableColumn id="2422" xr3:uid="{172AAF78-E99C-4065-B3BA-536EDAB3711C}" name="Column2415"/>
    <tableColumn id="2423" xr3:uid="{9FCD47F6-E081-4C2B-82B9-917C7A499CFA}" name="Column2416"/>
    <tableColumn id="2424" xr3:uid="{68F898A6-3327-466F-84D4-0D17CBBE66BA}" name="Column2417"/>
    <tableColumn id="2425" xr3:uid="{7B1A998F-3C33-40B3-B4D4-69686C70A159}" name="Column2418"/>
    <tableColumn id="2426" xr3:uid="{57F3852A-91E6-4D92-AD17-820E1505CD78}" name="Column2419"/>
    <tableColumn id="2427" xr3:uid="{BF2DCDB9-875A-4EC2-85C9-7FFB5431FFF5}" name="Column2420"/>
    <tableColumn id="2428" xr3:uid="{A9356C4B-AE45-4F7A-A228-CD7ED135A30B}" name="Column2421"/>
    <tableColumn id="2429" xr3:uid="{199B9D42-9D94-4892-92CA-0556A3C89AFE}" name="Column2422"/>
    <tableColumn id="2430" xr3:uid="{D9A523B5-188D-425B-BE8D-846E6AC19719}" name="Column2423"/>
    <tableColumn id="2431" xr3:uid="{7D093011-6BD2-4B9B-B627-87F0837B9346}" name="Column2424"/>
    <tableColumn id="2432" xr3:uid="{C2388617-3647-4F16-B605-6B4DF10333E2}" name="Column2425"/>
    <tableColumn id="2433" xr3:uid="{8BE59F34-1E3D-4CAE-9B71-678D836B1A39}" name="Column2426"/>
    <tableColumn id="2434" xr3:uid="{C6A961C6-0C0D-4F3B-B38D-18C1D9A56DDB}" name="Column2427"/>
    <tableColumn id="2435" xr3:uid="{BAA053C3-B692-4121-98A2-C90FFA2F716D}" name="Column2428"/>
    <tableColumn id="2436" xr3:uid="{DC4889E6-FCAF-4270-AECC-FD5AE16CC819}" name="Column2429"/>
    <tableColumn id="2437" xr3:uid="{3E50E1A1-66AB-4FDE-8BDE-02E1D7FD6991}" name="Column2430"/>
    <tableColumn id="2438" xr3:uid="{A34014AF-FBA7-4CF9-B8CD-C86710973869}" name="Column2431"/>
    <tableColumn id="2439" xr3:uid="{449E3C4E-93ED-44E2-AFF3-D91C390E78D7}" name="Column2432"/>
    <tableColumn id="2440" xr3:uid="{84F0613C-5D3F-44AE-A0DE-CAF2B4965BD6}" name="Column2433"/>
    <tableColumn id="2441" xr3:uid="{7E5B6B61-50C5-4C0F-A43D-59DCABCF59F7}" name="Column2434"/>
    <tableColumn id="2442" xr3:uid="{21E3B736-8AB0-41D6-BE01-1A2A8200A950}" name="Column2435"/>
    <tableColumn id="2443" xr3:uid="{0052E548-072D-4AB6-BE87-C0CB91A4C543}" name="Column2436"/>
    <tableColumn id="2444" xr3:uid="{8AB8ED0D-362C-442B-8746-BC1FA3B62D9C}" name="Column2437"/>
    <tableColumn id="2445" xr3:uid="{4D494A43-C427-4753-A3BE-A4F9F31BE343}" name="Column2438"/>
    <tableColumn id="2446" xr3:uid="{35EE8E8C-615B-4DE5-A77B-12B344039F9D}" name="Column2439"/>
    <tableColumn id="2447" xr3:uid="{FD7EDA6A-17C3-4AAD-A8A7-579FFB3EAC15}" name="Column2440"/>
    <tableColumn id="2448" xr3:uid="{42E9B06C-CA09-474E-9F79-E5489B6B537F}" name="Column2441"/>
    <tableColumn id="2449" xr3:uid="{A1E86ECE-2BAA-4B15-8F3C-CBEEADC01CD5}" name="Column2442"/>
    <tableColumn id="2450" xr3:uid="{C2EBC7B2-B453-45BB-93C8-E92AEC1D3134}" name="Column2443"/>
    <tableColumn id="2451" xr3:uid="{80E0A681-2029-4A56-A156-07968C192C4A}" name="Column2444"/>
    <tableColumn id="2452" xr3:uid="{BE1BD875-9D44-42DA-BDD0-3DBE4B2027EE}" name="Column2445"/>
    <tableColumn id="2453" xr3:uid="{0BF1E0A1-723F-4732-9B07-DDAFFA2C6B6E}" name="Column2446"/>
    <tableColumn id="2454" xr3:uid="{17103197-AFB1-49F5-AA8C-EE5FA772FC48}" name="Column2447"/>
    <tableColumn id="2455" xr3:uid="{8B39FACE-42E4-46C8-A7AC-6B7431EA94BC}" name="Column2448"/>
    <tableColumn id="2456" xr3:uid="{8007B81D-1B88-41A4-AAC2-C2439E834F5C}" name="Column2449"/>
    <tableColumn id="2457" xr3:uid="{BB762BAB-092A-43B3-B2D1-2F7896EB4D1E}" name="Column2450"/>
    <tableColumn id="2458" xr3:uid="{4A42042C-5413-434E-A2A4-C3DDB45EB545}" name="Column2451"/>
    <tableColumn id="2459" xr3:uid="{871D7040-6949-474B-AAAF-117AD8DA577D}" name="Column2452"/>
    <tableColumn id="2460" xr3:uid="{E6AF28C0-968D-44D3-9FB2-3811B2A5A2AD}" name="Column2453"/>
    <tableColumn id="2461" xr3:uid="{8820534C-036D-478D-AD03-2B4A60A50620}" name="Column2454"/>
    <tableColumn id="2462" xr3:uid="{F348F29C-66BF-4341-84B5-A1D6499A03C8}" name="Column2455"/>
    <tableColumn id="2463" xr3:uid="{3239C18F-A6A2-4281-BE09-E96F5225D664}" name="Column2456"/>
    <tableColumn id="2464" xr3:uid="{EDD1EE0A-6649-4669-BB06-85FC5DB8FCA8}" name="Column2457"/>
    <tableColumn id="2465" xr3:uid="{80DB1E7E-2442-493E-8A12-582948EB0CDC}" name="Column2458"/>
    <tableColumn id="2466" xr3:uid="{EF29B50A-80F1-41A1-A390-25DAAD4CFCA0}" name="Column2459"/>
    <tableColumn id="2467" xr3:uid="{FA4B6430-5355-4679-BCD7-3A3CA3A47294}" name="Column2460"/>
    <tableColumn id="2468" xr3:uid="{16F10B1C-CE1D-4505-95AD-B60D539AB443}" name="Column2461"/>
    <tableColumn id="2469" xr3:uid="{33834E30-F5A2-4E75-9939-0BEE73F82512}" name="Column2462"/>
    <tableColumn id="2470" xr3:uid="{3EA34BE0-118D-4C90-878A-B02903679645}" name="Column2463"/>
    <tableColumn id="2471" xr3:uid="{85C15167-0313-4C37-A09D-4F8623D7C3A6}" name="Column2464"/>
    <tableColumn id="2472" xr3:uid="{3EB817F8-C6FD-480E-B2D3-308DB292CAF8}" name="Column2465"/>
    <tableColumn id="2473" xr3:uid="{25565C15-9E03-4527-9B9A-4348E7E3B822}" name="Column2466"/>
    <tableColumn id="2474" xr3:uid="{04F0FCFE-23DF-4455-9FE3-AB8565B50337}" name="Column2467"/>
    <tableColumn id="2475" xr3:uid="{BD30C599-E462-451E-B08D-FFB6A2D673A9}" name="Column2468"/>
    <tableColumn id="2476" xr3:uid="{1FA07ECE-1806-4C36-92F2-1F33ADDBB850}" name="Column2469"/>
    <tableColumn id="2477" xr3:uid="{FB4299AD-2959-45F7-9584-F9AB8D9627B9}" name="Column2470"/>
    <tableColumn id="2478" xr3:uid="{02FF40E0-D831-483D-9E49-2378DCA00378}" name="Column2471"/>
    <tableColumn id="2479" xr3:uid="{32208386-5EEA-4C64-B944-8A62F5C64E70}" name="Column2472"/>
    <tableColumn id="2480" xr3:uid="{BD6D7F75-7011-4A3C-B906-87649B5B06A5}" name="Column2473"/>
    <tableColumn id="2481" xr3:uid="{DF278FB2-FAA2-47B5-B875-D53736EC8E28}" name="Column2474"/>
    <tableColumn id="2482" xr3:uid="{F9D4AACB-CD0A-4E9F-836D-6A2490D4DC8A}" name="Column2475"/>
    <tableColumn id="2483" xr3:uid="{2D7E12EA-3683-4CCC-9262-03199465E309}" name="Column2476"/>
    <tableColumn id="2484" xr3:uid="{DDDD632C-7FB9-42B0-B497-8FC3E560CCC5}" name="Column2477"/>
    <tableColumn id="2485" xr3:uid="{4A1BA59D-B607-4893-87C7-7FA4F26D3E07}" name="Column2478"/>
    <tableColumn id="2486" xr3:uid="{2FFC7625-BA1B-4CEA-A740-052CD6D7A124}" name="Column2479"/>
    <tableColumn id="2487" xr3:uid="{EFD5B20B-EDF5-4B9E-A91F-3E700755B312}" name="Column2480"/>
    <tableColumn id="2488" xr3:uid="{DADF5434-67A4-4541-AA55-55C39004227E}" name="Column2481"/>
    <tableColumn id="2489" xr3:uid="{5BF206DB-84C9-4C4C-A9EE-F9C5EF95844B}" name="Column2482"/>
    <tableColumn id="2490" xr3:uid="{CF2E12A2-7B14-4016-8F7F-1904C1692E69}" name="Column2483"/>
    <tableColumn id="2491" xr3:uid="{D627265A-DFDA-4CF3-A51E-EF9716364E7C}" name="Column2484"/>
    <tableColumn id="2492" xr3:uid="{305E8578-0A9B-4C76-84B5-2E22EB5F773F}" name="Column2485"/>
    <tableColumn id="2493" xr3:uid="{5174CC4F-D0C6-4F56-877F-11E0EDF48019}" name="Column2486"/>
    <tableColumn id="2494" xr3:uid="{03DC35FF-FCCC-405A-BF7E-E72B4CCCE136}" name="Column2487"/>
    <tableColumn id="2495" xr3:uid="{7018BDA6-1933-45FC-AE72-A8BA1025FC61}" name="Column2488"/>
    <tableColumn id="2496" xr3:uid="{5684FB67-EBAC-4AD8-AAC0-6E02F21B19D2}" name="Column2489"/>
    <tableColumn id="2497" xr3:uid="{4349BDDE-5E07-41E4-B8A6-4E7441559E5E}" name="Column2490"/>
    <tableColumn id="2498" xr3:uid="{01DF7E3A-3538-4F6C-9803-F1815AFF6064}" name="Column2491"/>
    <tableColumn id="2499" xr3:uid="{85FC74BE-7B91-4E44-AA82-A35492CADB92}" name="Column2492"/>
    <tableColumn id="2500" xr3:uid="{BCCBFC82-7E0A-4737-BABD-6AD406D635D1}" name="Column2493"/>
    <tableColumn id="2501" xr3:uid="{E091E9C5-4EE7-4D43-B7D2-9E7FB97340CD}" name="Column2494"/>
    <tableColumn id="2502" xr3:uid="{47BE15DA-970E-4043-A999-19241902189A}" name="Column2495"/>
    <tableColumn id="2503" xr3:uid="{D4C09DC5-0D1F-43A8-AA89-C1775103E3AB}" name="Column2496"/>
    <tableColumn id="2504" xr3:uid="{8A9501F8-4DA0-42D7-AB17-3CB9C7DA2B23}" name="Column2497"/>
    <tableColumn id="2505" xr3:uid="{884F16F9-EA81-462C-81B4-F6BA0FCB83CB}" name="Column2498"/>
    <tableColumn id="2506" xr3:uid="{AE43AD91-276A-4E2A-B940-6D84C6D08189}" name="Column2499"/>
    <tableColumn id="2507" xr3:uid="{2B7013C1-F204-4253-847E-2ED807451F26}" name="Column2500"/>
    <tableColumn id="2508" xr3:uid="{241CD37B-AE0A-4F06-AC39-731E37CCFB2F}" name="Column2501"/>
    <tableColumn id="2509" xr3:uid="{36A5E506-0392-4327-A5F8-4E1431C34185}" name="Column2502"/>
    <tableColumn id="2510" xr3:uid="{FADB0EAE-2E8B-4DE4-8172-A2F509E64001}" name="Column2503"/>
    <tableColumn id="2511" xr3:uid="{7614B1FD-19BE-48C9-9425-5BA2A7EB358F}" name="Column2504"/>
    <tableColumn id="2512" xr3:uid="{10970F27-B16E-4B0D-8C7C-4D7826A82A3C}" name="Column2505"/>
    <tableColumn id="2513" xr3:uid="{241779B4-F37B-4B5B-9CAA-9464BE036662}" name="Column2506"/>
    <tableColumn id="2514" xr3:uid="{18BE0999-BE00-4BB5-8167-62BEBDED4938}" name="Column2507"/>
    <tableColumn id="2515" xr3:uid="{2A7409E1-5F7B-49C9-8F1E-929722550008}" name="Column2508"/>
    <tableColumn id="2516" xr3:uid="{B5D7DC30-55D8-4521-A185-596F2662BE8C}" name="Column2509"/>
    <tableColumn id="2517" xr3:uid="{629C93DE-DCC2-46AF-8EEB-E2D2020FF50A}" name="Column2510"/>
    <tableColumn id="2518" xr3:uid="{659FB347-C27A-4CB2-8A0B-329267AFDDDA}" name="Column2511"/>
    <tableColumn id="2519" xr3:uid="{9FF0EFFB-76A0-400C-BF4A-D61B18DBB104}" name="Column2512"/>
    <tableColumn id="2520" xr3:uid="{E5D265A2-356C-42B0-98B9-D861FF3FBE5D}" name="Column2513"/>
    <tableColumn id="2521" xr3:uid="{E16E192E-CDB9-4C50-B16C-3D9D46F44288}" name="Column2514"/>
    <tableColumn id="2522" xr3:uid="{28EA5B16-3468-4CED-896B-F12555C6A68C}" name="Column2515"/>
    <tableColumn id="2523" xr3:uid="{A0786D94-C266-46D9-A7B1-75B083ECDEF3}" name="Column2516"/>
    <tableColumn id="2524" xr3:uid="{D7E28854-3126-4D07-8377-1E3CBE15F24D}" name="Column2517"/>
    <tableColumn id="2525" xr3:uid="{2A6B5AEC-8975-4B81-9B92-E28F35DB1425}" name="Column2518"/>
    <tableColumn id="2526" xr3:uid="{570649ED-F617-4B01-9A98-B57EA7D0AEF8}" name="Column2519"/>
    <tableColumn id="2527" xr3:uid="{D7249347-4EC6-44DB-B156-1653807DAE15}" name="Column2520"/>
    <tableColumn id="2528" xr3:uid="{B1C948D7-9428-45A6-8D4A-6C8B299259EF}" name="Column2521"/>
    <tableColumn id="2529" xr3:uid="{0A1AB664-B61A-4B14-9FFC-19858BA09EB4}" name="Column2522"/>
    <tableColumn id="2530" xr3:uid="{2A90364F-48A1-4D3B-AE63-6994EFB74982}" name="Column2523"/>
    <tableColumn id="2531" xr3:uid="{281AC32B-F71F-4486-942E-B425DFD795F3}" name="Column2524"/>
    <tableColumn id="2532" xr3:uid="{EE0A5C64-D4DC-4DBF-9047-99B29A69C825}" name="Column2525"/>
    <tableColumn id="2533" xr3:uid="{7B683714-85BA-48C4-841E-EA47C98FDA29}" name="Column2526"/>
    <tableColumn id="2534" xr3:uid="{65617D08-AB31-4775-980D-1886F908AC00}" name="Column2527"/>
    <tableColumn id="2535" xr3:uid="{8186CDB0-7BE4-4075-9526-D36F5D50046D}" name="Column2528"/>
    <tableColumn id="2536" xr3:uid="{7C67655B-4EE9-4EE8-8F10-FF8944A4CF13}" name="Column2529"/>
    <tableColumn id="2537" xr3:uid="{88DC8CFE-8FE8-47CA-82D9-3715B4A4F0E5}" name="Column2530"/>
    <tableColumn id="2538" xr3:uid="{DDAD9A86-CD1E-412D-A8E8-FEF2840C20F8}" name="Column2531"/>
    <tableColumn id="2539" xr3:uid="{592AC3AA-43DB-4FE6-8D63-A614C9102544}" name="Column2532"/>
    <tableColumn id="2540" xr3:uid="{3F78378D-3642-4D7B-9E52-84C36F3185D9}" name="Column2533"/>
    <tableColumn id="2541" xr3:uid="{F4DFBB73-8B50-4EE1-952D-1362C20966D1}" name="Column2534"/>
    <tableColumn id="2542" xr3:uid="{0E67D4A9-0785-4DF1-B641-AADB90514E9C}" name="Column2535"/>
    <tableColumn id="2543" xr3:uid="{6B3C2BCF-1D09-4931-B618-29030EE05D09}" name="Column2536"/>
    <tableColumn id="2544" xr3:uid="{8C3B4600-912C-433C-A63E-D04788708164}" name="Column2537"/>
    <tableColumn id="2545" xr3:uid="{330968AB-9CB5-4229-9F7B-79FCEBE361CD}" name="Column2538"/>
    <tableColumn id="2546" xr3:uid="{81614EDF-41A3-4011-9A2E-558EC1C98E4A}" name="Column2539"/>
    <tableColumn id="2547" xr3:uid="{59D4A73A-5D16-4A83-884D-5BD59830E042}" name="Column2540"/>
    <tableColumn id="2548" xr3:uid="{46D52AE9-ED73-40F4-8AF8-C1EE1B73A6B4}" name="Column2541"/>
    <tableColumn id="2549" xr3:uid="{1847900D-28FA-4AEF-B004-30244329A6E9}" name="Column2542"/>
    <tableColumn id="2550" xr3:uid="{137E17F8-03A3-4A39-86AB-5C7B723451C4}" name="Column2543"/>
    <tableColumn id="2551" xr3:uid="{CAE78429-647A-4130-B6BF-C8C0C5E58BFD}" name="Column2544"/>
    <tableColumn id="2552" xr3:uid="{CAA0D305-C2FA-4DE4-B186-EAF1290F37B1}" name="Column2545"/>
    <tableColumn id="2553" xr3:uid="{6ADFB679-DDAA-4F75-8074-5D0504D0C2FB}" name="Column2546"/>
    <tableColumn id="2554" xr3:uid="{0867950B-3570-4403-BBE3-CC0115D1170F}" name="Column2547"/>
    <tableColumn id="2555" xr3:uid="{0AD07901-3A9D-4DFC-974B-34F60AD078DC}" name="Column2548"/>
    <tableColumn id="2556" xr3:uid="{A83EA544-1419-441F-B539-9B1BFD39F3DE}" name="Column2549"/>
    <tableColumn id="2557" xr3:uid="{BE4DCE21-79F3-4B4F-B454-405718331BFB}" name="Column2550"/>
    <tableColumn id="2558" xr3:uid="{22DE2420-BE81-4B49-A925-12101D94409A}" name="Column2551"/>
    <tableColumn id="2559" xr3:uid="{F5F0ABE9-CB82-41B0-B3CF-52BDBA63B884}" name="Column2552"/>
    <tableColumn id="2560" xr3:uid="{A8BA0216-EC38-4B61-A745-497D6288633E}" name="Column2553"/>
    <tableColumn id="2561" xr3:uid="{270EB55A-F086-42F3-8917-BD6B0959DA98}" name="Column2554"/>
    <tableColumn id="2562" xr3:uid="{7BE68075-B0D0-4EC3-93E6-C3F9A5DFAF64}" name="Column2555"/>
    <tableColumn id="2563" xr3:uid="{34478608-3086-4CF5-9784-900F46B63448}" name="Column2556"/>
    <tableColumn id="2564" xr3:uid="{6B780493-D5A7-4AD6-9B23-AAA233B08A70}" name="Column2557"/>
    <tableColumn id="2565" xr3:uid="{C77B18A0-7D9F-452B-97B7-96624AACB9ED}" name="Column2558"/>
    <tableColumn id="2566" xr3:uid="{CEB94E0D-D1AB-4296-8FB1-371410F3D82E}" name="Column2559"/>
    <tableColumn id="2567" xr3:uid="{EFF2906C-4FE3-4E3A-864D-101C18D1B324}" name="Column2560"/>
    <tableColumn id="2568" xr3:uid="{8D620FC7-07F9-42DC-9A69-E6789848A0BE}" name="Column2561"/>
    <tableColumn id="2569" xr3:uid="{627DE603-F648-40C8-A46A-075D610789EE}" name="Column2562"/>
    <tableColumn id="2570" xr3:uid="{A0FF6B97-1698-4F4E-B3C0-8939073FC7A2}" name="Column2563"/>
    <tableColumn id="2571" xr3:uid="{F95304EB-A4A5-41F5-BFA4-F209D9E55D7E}" name="Column2564"/>
    <tableColumn id="2572" xr3:uid="{8F411183-292F-429D-8B46-A81A8AFDCD2E}" name="Column2565"/>
    <tableColumn id="2573" xr3:uid="{7837899B-4C9E-464A-8471-A37E9B2575F7}" name="Column2566"/>
    <tableColumn id="2574" xr3:uid="{33057DD3-B0DF-409B-AD9C-8D880A525726}" name="Column2567"/>
    <tableColumn id="2575" xr3:uid="{97DECC8F-C488-41B3-B4BD-AA96F70D37D4}" name="Column2568"/>
    <tableColumn id="2576" xr3:uid="{60E2C65B-F11C-4B1B-9A49-A4C5BE208E43}" name="Column2569"/>
    <tableColumn id="2577" xr3:uid="{F679C2D5-D833-46D2-9887-06BDBEFD8EFF}" name="Column2570"/>
    <tableColumn id="2578" xr3:uid="{3FAFC374-CE86-4942-9432-143823DD3253}" name="Column2571"/>
    <tableColumn id="2579" xr3:uid="{D0BA0275-05B7-4843-8511-2350DD669612}" name="Column2572"/>
    <tableColumn id="2580" xr3:uid="{CCA6363D-608E-4DEA-9D83-55B81DB73449}" name="Column2573"/>
    <tableColumn id="2581" xr3:uid="{937E40E6-99BD-42E2-AB2F-C7067663B696}" name="Column2574"/>
    <tableColumn id="2582" xr3:uid="{EFF116E4-BBED-4B1A-BE13-49B02ED910C1}" name="Column2575"/>
    <tableColumn id="2583" xr3:uid="{C70F2744-42ED-451D-ACF7-723BBEB6C7AF}" name="Column2576"/>
    <tableColumn id="2584" xr3:uid="{96BA9DB2-4D47-4B72-8F96-C5F1C1CF4BC5}" name="Column2577"/>
    <tableColumn id="2585" xr3:uid="{577B56F6-AB74-4950-A173-2A106E6A1DEB}" name="Column2578"/>
    <tableColumn id="2586" xr3:uid="{1E585AF4-8D46-4326-96BC-6E2CA458FFD9}" name="Column2579"/>
    <tableColumn id="2587" xr3:uid="{891DB8B2-858B-4E1D-BDBD-AD0F52238CCC}" name="Column2580"/>
    <tableColumn id="2588" xr3:uid="{3C369B7B-B0A2-4CFA-9A9A-9BCB885D26D8}" name="Column2581"/>
    <tableColumn id="2589" xr3:uid="{33F7041A-187F-45F2-AA03-69B72FF59AF3}" name="Column2582"/>
    <tableColumn id="2590" xr3:uid="{8775C184-861F-4A30-BCAD-DB018D96A68D}" name="Column2583"/>
    <tableColumn id="2591" xr3:uid="{94785ED1-AF66-40A3-A03F-2FA6C48F11E3}" name="Column2584"/>
    <tableColumn id="2592" xr3:uid="{4D21261D-FC92-4246-9FE8-BE7A7146BD86}" name="Column2585"/>
    <tableColumn id="2593" xr3:uid="{59C49A83-C849-4B2A-9526-9096B3457233}" name="Column2586"/>
    <tableColumn id="2594" xr3:uid="{B90846A7-5889-4DD0-B238-47A0E1966F4D}" name="Column2587"/>
    <tableColumn id="2595" xr3:uid="{FA099B3C-9D99-4C81-BFB4-9B43C2CE6D4F}" name="Column2588"/>
    <tableColumn id="2596" xr3:uid="{1A7F09A0-51C2-4F40-810B-255F67F5C004}" name="Column2589"/>
    <tableColumn id="2597" xr3:uid="{FF89552D-A625-48A5-96DB-138A7482C1E1}" name="Column2590"/>
    <tableColumn id="2598" xr3:uid="{C07F3781-C67A-489E-86BB-596ECF0DEE9A}" name="Column2591"/>
    <tableColumn id="2599" xr3:uid="{A84DD2BB-52E4-439C-ABCE-45038C5331DA}" name="Column2592"/>
    <tableColumn id="2600" xr3:uid="{B76049EB-C27D-4141-9FCB-387CC8FC373C}" name="Column2593"/>
    <tableColumn id="2601" xr3:uid="{B0AE3C7D-9A61-4C5E-AF48-3CD57F62594F}" name="Column2594"/>
    <tableColumn id="2602" xr3:uid="{520E40A1-43F2-4298-B9F0-F1F5497BE872}" name="Column2595"/>
    <tableColumn id="2603" xr3:uid="{1741E126-B4A5-4E7A-9A50-AE4F271F2BD6}" name="Column2596"/>
    <tableColumn id="2604" xr3:uid="{B6897A85-6821-4B85-8214-2ACD8EF74653}" name="Column2597"/>
    <tableColumn id="2605" xr3:uid="{E94E07A7-6490-46BC-B21A-9CC6EF5C9572}" name="Column2598"/>
    <tableColumn id="2606" xr3:uid="{7E5B89D4-AE21-469E-88EB-0EFDE084466C}" name="Column2599"/>
    <tableColumn id="2607" xr3:uid="{2B1096B3-8374-4CFC-8171-1B528E5035DD}" name="Column2600"/>
    <tableColumn id="2608" xr3:uid="{22DD66FD-4AE5-41BF-AB5E-86556D8358AA}" name="Column2601"/>
    <tableColumn id="2609" xr3:uid="{559CD4B0-E74F-41D9-9153-3C6ABC933E56}" name="Column2602"/>
    <tableColumn id="2610" xr3:uid="{D177A3D8-D530-41CF-A3E2-1DB61D130B24}" name="Column2603"/>
    <tableColumn id="2611" xr3:uid="{C919E024-004B-48B5-AAE5-29B34CECF273}" name="Column2604"/>
    <tableColumn id="2612" xr3:uid="{35C21748-6C55-4327-B15C-B574385A0A27}" name="Column2605"/>
    <tableColumn id="2613" xr3:uid="{9839229F-8145-41F2-A276-F4ACEAB97A2F}" name="Column2606"/>
    <tableColumn id="2614" xr3:uid="{2F81BFD3-F914-4C1C-AA99-B9A95A6AFE30}" name="Column2607"/>
    <tableColumn id="2615" xr3:uid="{84CF5D86-CEB1-4E65-A533-AC51836FD8C2}" name="Column2608"/>
    <tableColumn id="2616" xr3:uid="{D3AA00B0-6CB1-47A0-86BF-5A58C2E1A1FD}" name="Column2609"/>
    <tableColumn id="2617" xr3:uid="{9C3EB03E-5783-44F7-B6D2-A527BC7B93FE}" name="Column2610"/>
    <tableColumn id="2618" xr3:uid="{617FB0F7-09D0-4BF2-B6FA-0BFB2B260EAE}" name="Column2611"/>
    <tableColumn id="2619" xr3:uid="{97501ECD-903E-4113-BCD8-DADB63D476AB}" name="Column2612"/>
    <tableColumn id="2620" xr3:uid="{FDAF16DF-EB2C-4369-9C8D-86B057C002A5}" name="Column2613"/>
    <tableColumn id="2621" xr3:uid="{C868FCB5-FC49-45FA-9DC6-0599C94A49AC}" name="Column2614"/>
    <tableColumn id="2622" xr3:uid="{014C49C7-E605-4E59-B7BA-2C9C04F2A841}" name="Column2615"/>
    <tableColumn id="2623" xr3:uid="{DAAF725D-EDB1-4F66-92D4-9A90FC6FDD1B}" name="Column2616"/>
    <tableColumn id="2624" xr3:uid="{6C3EFB66-7D7C-498C-A26D-7CE8D3B53C00}" name="Column2617"/>
    <tableColumn id="2625" xr3:uid="{F46A555C-5B47-45CF-BFC0-78D607591D70}" name="Column2618"/>
    <tableColumn id="2626" xr3:uid="{2A0B6C98-74F9-4B33-9AF6-DC59DFF34945}" name="Column2619"/>
    <tableColumn id="2627" xr3:uid="{05E5AB71-DCEF-4642-9F51-73117AB84011}" name="Column2620"/>
    <tableColumn id="2628" xr3:uid="{2EB3BFDB-8729-42A8-BB1D-74A401CFA87C}" name="Column2621"/>
    <tableColumn id="2629" xr3:uid="{B5202398-7B41-4076-AE7E-F1DFC7C64E28}" name="Column2622"/>
    <tableColumn id="2630" xr3:uid="{8FA765A5-EDAF-48B4-A090-EC908A2D34C2}" name="Column2623"/>
    <tableColumn id="2631" xr3:uid="{3CC2D59F-B735-4CA7-A1DB-79887F30E3FE}" name="Column2624"/>
    <tableColumn id="2632" xr3:uid="{A9E46A64-E654-466E-A585-CE3DA7DAF548}" name="Column2625"/>
    <tableColumn id="2633" xr3:uid="{626E5566-13F2-4AD8-AEAF-2AD73E587AC7}" name="Column2626"/>
    <tableColumn id="2634" xr3:uid="{097D2D32-8713-4C30-92A3-B1FC21CCCB5A}" name="Column2627"/>
    <tableColumn id="2635" xr3:uid="{95CA0416-8171-404E-AAD0-A2E9167951C4}" name="Column2628"/>
    <tableColumn id="2636" xr3:uid="{7A0A66DE-58E3-4468-A0DA-2CDD459B2A76}" name="Column2629"/>
    <tableColumn id="2637" xr3:uid="{5F817B13-684F-4D85-B45C-A449D7870E22}" name="Column2630"/>
    <tableColumn id="2638" xr3:uid="{D368FD01-6C40-427B-AB95-55D74E5E5B1F}" name="Column2631"/>
    <tableColumn id="2639" xr3:uid="{ED054478-CBBE-43AA-BE10-1DE9E4FE9D0B}" name="Column2632"/>
    <tableColumn id="2640" xr3:uid="{1A6AAA87-0F87-46B7-BE1B-C0AC7ADA3654}" name="Column2633"/>
    <tableColumn id="2641" xr3:uid="{9AE8A1D5-111C-4522-9538-9F9857C7D9CD}" name="Column2634"/>
    <tableColumn id="2642" xr3:uid="{1B62CA6F-1C8F-4CB4-B682-BBDBCF5048D5}" name="Column2635"/>
    <tableColumn id="2643" xr3:uid="{9730C387-E89A-4525-BCB9-895B2BAAAB4E}" name="Column2636"/>
    <tableColumn id="2644" xr3:uid="{F2E6A09C-D166-4C62-938F-C0F39F461504}" name="Column2637"/>
    <tableColumn id="2645" xr3:uid="{C29ECBF6-B505-4FC7-9F79-EDF32F3BFFDA}" name="Column2638"/>
    <tableColumn id="2646" xr3:uid="{8BFFF561-1E97-4BF3-833C-232BB5637575}" name="Column2639"/>
    <tableColumn id="2647" xr3:uid="{4AE58FB4-9EAC-4840-B7F0-11989C50EFB0}" name="Column2640"/>
    <tableColumn id="2648" xr3:uid="{381900AC-269C-4DE5-8E65-87B1A53032D5}" name="Column2641"/>
    <tableColumn id="2649" xr3:uid="{08C5D95A-E082-4A98-B346-0D66BED764D1}" name="Column2642"/>
    <tableColumn id="2650" xr3:uid="{EE9B6163-CF06-47AC-B8DC-B21881F79B3C}" name="Column2643"/>
    <tableColumn id="2651" xr3:uid="{665735E6-4BB8-4A46-A006-B4EF89111D20}" name="Column2644"/>
    <tableColumn id="2652" xr3:uid="{14B6FA32-9915-4C4A-82D4-5E679AABCC5D}" name="Column2645"/>
    <tableColumn id="2653" xr3:uid="{025E9F38-E7D2-4664-8B22-218A94AFD262}" name="Column2646"/>
    <tableColumn id="2654" xr3:uid="{D7B72BBA-45D5-4DF6-A06D-06E03F9D9C2F}" name="Column2647"/>
    <tableColumn id="2655" xr3:uid="{9D459FE5-DAE1-4636-AA61-8EFBC9FAC702}" name="Column2648"/>
    <tableColumn id="2656" xr3:uid="{00EDAC0B-B18F-4024-A1E4-96D481B2B68B}" name="Column2649"/>
    <tableColumn id="2657" xr3:uid="{1E5265B2-AAE4-44B5-8D12-5F054C2D28C4}" name="Column2650"/>
    <tableColumn id="2658" xr3:uid="{D029242D-EF6B-462E-8B86-D30543BB595F}" name="Column2651"/>
    <tableColumn id="2659" xr3:uid="{D72BD841-B7AF-4CE5-9D5E-8DDE4984A926}" name="Column2652"/>
    <tableColumn id="2660" xr3:uid="{DF03E574-B18D-4CD1-8E16-A5966C3384CA}" name="Column2653"/>
    <tableColumn id="2661" xr3:uid="{07D298F0-57F7-4377-B74C-5184D8FB0135}" name="Column2654"/>
    <tableColumn id="2662" xr3:uid="{DEDBA947-7134-4800-A545-09978311D472}" name="Column2655"/>
    <tableColumn id="2663" xr3:uid="{217274D2-00F3-4FC4-8A26-CD953C66744E}" name="Column2656"/>
    <tableColumn id="2664" xr3:uid="{95C98B26-C87B-4CFA-8EF4-76DBAF23895D}" name="Column2657"/>
    <tableColumn id="2665" xr3:uid="{BD59BD46-E3BF-4583-8285-ED8B78BAEDAE}" name="Column2658"/>
    <tableColumn id="2666" xr3:uid="{C4847BE7-0F7D-40CC-81E8-55036E2096C1}" name="Column2659"/>
    <tableColumn id="2667" xr3:uid="{BD7F6578-ADF1-4A26-A70C-275DCF5B89C5}" name="Column2660"/>
    <tableColumn id="2668" xr3:uid="{1BD47F97-D508-47BE-A396-A8890EC4239B}" name="Column2661"/>
    <tableColumn id="2669" xr3:uid="{70FDA9C5-72FC-42D7-A915-0B8FD18E5B55}" name="Column2662"/>
    <tableColumn id="2670" xr3:uid="{932D225A-5603-4ACC-8AEE-8DE4F327E43A}" name="Column2663"/>
    <tableColumn id="2671" xr3:uid="{7C90AA89-062A-43E1-9D77-DB06FDB2C16C}" name="Column2664"/>
    <tableColumn id="2672" xr3:uid="{5E368171-DEAC-4356-BB5B-E19BE0183842}" name="Column2665"/>
    <tableColumn id="2673" xr3:uid="{CB142B47-9B2A-4143-AF86-55A6529EDA9D}" name="Column2666"/>
    <tableColumn id="2674" xr3:uid="{6017D11C-8FB9-4AF8-8ECB-A3BB348A75BC}" name="Column2667"/>
    <tableColumn id="2675" xr3:uid="{AE086097-5606-44CF-9D78-DCBA17A0F197}" name="Column2668"/>
    <tableColumn id="2676" xr3:uid="{8FBB48CD-5B7A-4697-B2F6-0319ED63CDC6}" name="Column2669"/>
    <tableColumn id="2677" xr3:uid="{3AB6A78F-2F55-4255-99F3-0B7F3779C23E}" name="Column2670"/>
    <tableColumn id="2678" xr3:uid="{A2F5EEC8-AD4E-42BD-B0F8-C8D2F88A0EF8}" name="Column2671"/>
    <tableColumn id="2679" xr3:uid="{2E9E1158-4D89-461B-AE3B-A39846A90611}" name="Column2672"/>
    <tableColumn id="2680" xr3:uid="{8CC42FFD-73DF-4FE2-BE2B-50BF35BF1AE6}" name="Column2673"/>
    <tableColumn id="2681" xr3:uid="{8FE2C0C8-DEE7-441C-A72F-8CAB5CA2D9C7}" name="Column2674"/>
    <tableColumn id="2682" xr3:uid="{EE010ABF-8CA6-485B-9FF6-B385C529F003}" name="Column2675"/>
    <tableColumn id="2683" xr3:uid="{1561280D-3968-411A-86A7-BE549A0F10CC}" name="Column2676"/>
    <tableColumn id="2684" xr3:uid="{71D4F89A-65AA-4B3B-AD67-8F9260F8C0B2}" name="Column2677"/>
    <tableColumn id="2685" xr3:uid="{39B217D2-CE3E-4F51-94A0-0EDB29295B19}" name="Column2678"/>
    <tableColumn id="2686" xr3:uid="{0263FEF9-BED7-48D8-A5DB-90FA54CAB8D7}" name="Column2679"/>
    <tableColumn id="2687" xr3:uid="{40437B7A-407C-44D3-AEBD-19DB8FE18A2F}" name="Column2680"/>
    <tableColumn id="2688" xr3:uid="{075B439A-0C94-4DC9-98D4-8FFE5DC47291}" name="Column2681"/>
    <tableColumn id="2689" xr3:uid="{3979BBC9-8E02-40D7-87D9-0694D94D40CC}" name="Column2682"/>
    <tableColumn id="2690" xr3:uid="{7B290078-C843-4018-B7F2-568ED7C12E2D}" name="Column2683"/>
    <tableColumn id="2691" xr3:uid="{FB53A46C-26A1-4332-B306-260BBDB5E0F1}" name="Column2684"/>
    <tableColumn id="2692" xr3:uid="{C23FE9D6-F5AD-4B60-8E22-EE157BD02D89}" name="Column2685"/>
    <tableColumn id="2693" xr3:uid="{40781050-F188-45F3-B78B-E00D1805CF8D}" name="Column2686"/>
    <tableColumn id="2694" xr3:uid="{A5ADF925-EA9C-4BD2-B7CD-7E435237CF24}" name="Column2687"/>
    <tableColumn id="2695" xr3:uid="{DBC39146-5726-44B0-B0AA-A118EA2894B5}" name="Column2688"/>
    <tableColumn id="2696" xr3:uid="{90740B1A-3F4E-4149-8C17-93DCEEE8526A}" name="Column2689"/>
    <tableColumn id="2697" xr3:uid="{B9624972-56F7-40F5-ADF7-F230B9F9D85A}" name="Column2690"/>
    <tableColumn id="2698" xr3:uid="{E4320283-8D7E-4CBA-9ABD-0FC5DA1D7E30}" name="Column2691"/>
    <tableColumn id="2699" xr3:uid="{74391D6E-3F02-4DD9-BBB5-85B9E4143656}" name="Column2692"/>
    <tableColumn id="2700" xr3:uid="{D302270C-3006-41AD-BBA4-713B06831A59}" name="Column2693"/>
    <tableColumn id="2701" xr3:uid="{5107FE3E-D040-4923-AC68-EC769FC07181}" name="Column2694"/>
    <tableColumn id="2702" xr3:uid="{EAD00379-EC43-4AA5-BD92-9A3E70AF87B2}" name="Column2695"/>
    <tableColumn id="2703" xr3:uid="{40760B67-AD31-429A-96DA-9FAA9108AF2D}" name="Column2696"/>
    <tableColumn id="2704" xr3:uid="{108A877E-4A75-4F5D-BA65-A06AF0EBD89E}" name="Column2697"/>
    <tableColumn id="2705" xr3:uid="{54098509-0CAF-41D3-9D06-1964E42D1241}" name="Column2698"/>
    <tableColumn id="2706" xr3:uid="{03777C11-5ED1-4F55-979A-EE63D85AA336}" name="Column2699"/>
    <tableColumn id="2707" xr3:uid="{722172AB-EA32-4E69-8939-35C8E6E7D09C}" name="Column2700"/>
    <tableColumn id="2708" xr3:uid="{D2A1FCC9-F6B3-4BCF-B387-D4A5BCC518C8}" name="Column2701"/>
    <tableColumn id="2709" xr3:uid="{22410DAD-13AF-4415-A8FB-2417CF2079CA}" name="Column2702"/>
    <tableColumn id="2710" xr3:uid="{14BCC9CA-CB00-445E-A760-4A2AE873C708}" name="Column2703"/>
    <tableColumn id="2711" xr3:uid="{A139AAAC-D530-4B18-90EA-E96ED26D860E}" name="Column2704"/>
    <tableColumn id="2712" xr3:uid="{80E9449F-76F4-4611-BF55-5564049C4EEB}" name="Column2705"/>
    <tableColumn id="2713" xr3:uid="{BF103F4C-71C4-40B5-90A7-DDCA0374AF15}" name="Column2706"/>
    <tableColumn id="2714" xr3:uid="{967309DD-24B9-442C-87E4-F23C74062CAD}" name="Column2707"/>
    <tableColumn id="2715" xr3:uid="{A46C88C7-08AF-4ED7-8CDF-873A5B00C5EB}" name="Column2708"/>
    <tableColumn id="2716" xr3:uid="{81423B07-A941-4CC9-A8C6-69A04352B389}" name="Column2709"/>
    <tableColumn id="2717" xr3:uid="{D646EBF1-87FC-45AE-AE29-559498329779}" name="Column2710"/>
    <tableColumn id="2718" xr3:uid="{25764272-2750-45A9-BF19-02699C491402}" name="Column2711"/>
    <tableColumn id="2719" xr3:uid="{77F127EF-CA5E-483A-B816-8A304895C15C}" name="Column2712"/>
    <tableColumn id="2720" xr3:uid="{BD9F439A-F3C8-42F5-9871-A6F34FC67FD6}" name="Column2713"/>
    <tableColumn id="2721" xr3:uid="{F15016ED-6402-451A-AF82-0FD8DA706C3E}" name="Column2714"/>
    <tableColumn id="2722" xr3:uid="{A17576EA-3862-4E15-889E-9400830FFC57}" name="Column2715"/>
    <tableColumn id="2723" xr3:uid="{74AA6D6C-1B96-4768-84B8-C546F1829C45}" name="Column2716"/>
    <tableColumn id="2724" xr3:uid="{164E235C-4E71-442B-8C03-3928B042E075}" name="Column2717"/>
    <tableColumn id="2725" xr3:uid="{2432CC04-680E-486B-AFC3-43E91362B8F3}" name="Column2718"/>
    <tableColumn id="2726" xr3:uid="{AADB8ED9-DC70-4930-BA51-09BEEB0AB4AA}" name="Column2719"/>
    <tableColumn id="2727" xr3:uid="{7023C537-3EA6-48BE-8A29-372CFE2A34E1}" name="Column2720"/>
    <tableColumn id="2728" xr3:uid="{09FCAF72-FAE0-4BE7-8DD6-1014B7621090}" name="Column2721"/>
    <tableColumn id="2729" xr3:uid="{7FB6A76C-4BB6-4831-B2BF-F1F8C10668E0}" name="Column2722"/>
    <tableColumn id="2730" xr3:uid="{ED03F26A-9ADB-45E3-9750-728A9A10F824}" name="Column2723"/>
    <tableColumn id="2731" xr3:uid="{71B45B9D-A557-40D0-959E-9D571BF4E546}" name="Column2724"/>
    <tableColumn id="2732" xr3:uid="{9BA7876F-7CCD-4C5E-ACE8-4521514AAEFD}" name="Column2725"/>
    <tableColumn id="2733" xr3:uid="{01C7C4D3-3B93-46AD-8249-6752BA008E04}" name="Column2726"/>
    <tableColumn id="2734" xr3:uid="{5E13317D-BEE3-4C5D-9A3D-75388E9284A2}" name="Column2727"/>
    <tableColumn id="2735" xr3:uid="{8FC6EE39-7487-4C57-968A-6FE54152A0DB}" name="Column2728"/>
    <tableColumn id="2736" xr3:uid="{84B87791-604D-4C9C-A4FB-573B96AAF520}" name="Column2729"/>
    <tableColumn id="2737" xr3:uid="{03447AED-EA6C-42C0-B2C7-0BC6DB09C14B}" name="Column2730"/>
    <tableColumn id="2738" xr3:uid="{DB287339-B10A-4FD7-9E97-1D7241FF611A}" name="Column2731"/>
    <tableColumn id="2739" xr3:uid="{50A021DC-26B6-4152-939E-A07170A2D17B}" name="Column2732"/>
    <tableColumn id="2740" xr3:uid="{7EEEF923-AB97-4EDF-88A4-1012BA1EF459}" name="Column2733"/>
    <tableColumn id="2741" xr3:uid="{D0E96005-20E0-4B56-89CB-037A52F175CA}" name="Column2734"/>
    <tableColumn id="2742" xr3:uid="{9CCDDA42-FA0A-43CD-831E-D02ADE50399D}" name="Column2735"/>
    <tableColumn id="2743" xr3:uid="{117B82BE-108F-451A-86E6-B53BD48FD23B}" name="Column2736"/>
    <tableColumn id="2744" xr3:uid="{347E09FC-0819-480F-81C0-7CCC3C55BDC6}" name="Column2737"/>
    <tableColumn id="2745" xr3:uid="{E9E9D646-0337-48EC-90FA-660271956692}" name="Column2738"/>
    <tableColumn id="2746" xr3:uid="{F1988FCF-492F-4201-B7EE-D60A91719DD4}" name="Column2739"/>
    <tableColumn id="2747" xr3:uid="{C69DD391-5848-4193-B7E7-405C79CD6431}" name="Column2740"/>
    <tableColumn id="2748" xr3:uid="{F6C1AD6D-3E8A-4BF0-80AB-A424A4C3C5BF}" name="Column2741"/>
    <tableColumn id="2749" xr3:uid="{E8E5E18B-F3E3-4A6B-8360-EC05CC41B4F5}" name="Column2742"/>
    <tableColumn id="2750" xr3:uid="{CCDBBF4E-2E1F-4B1F-8F5F-F01AAFC6117B}" name="Column2743"/>
    <tableColumn id="2751" xr3:uid="{D1751667-EC9E-4F49-9F01-12F03926DAB3}" name="Column2744"/>
    <tableColumn id="2752" xr3:uid="{39403968-8858-4959-B1F2-8A799F1B83C5}" name="Column2745"/>
    <tableColumn id="2753" xr3:uid="{4A38524D-A834-4DD5-8A65-3944A3DE3CBB}" name="Column2746"/>
    <tableColumn id="2754" xr3:uid="{944DCF98-1D66-4759-8523-B140E8466C89}" name="Column2747"/>
    <tableColumn id="2755" xr3:uid="{EB592665-A87F-4881-8EEB-90C804814FA1}" name="Column2748"/>
    <tableColumn id="2756" xr3:uid="{3BE37E32-FD73-4D68-A9AE-E3CA7405F7B6}" name="Column2749"/>
    <tableColumn id="2757" xr3:uid="{2DCF5994-A232-4FA6-A4E4-B3D8F5187E00}" name="Column2750"/>
    <tableColumn id="2758" xr3:uid="{040D7C6D-7F5C-400E-8647-B6FC1D53C13E}" name="Column2751"/>
    <tableColumn id="2759" xr3:uid="{58B227F7-B7F3-4DE3-A549-4D9C7042896E}" name="Column2752"/>
    <tableColumn id="2760" xr3:uid="{CBCAD482-F502-4628-B533-B0334E649B72}" name="Column2753"/>
    <tableColumn id="2761" xr3:uid="{920D3143-5E5A-4014-A897-F515CB565159}" name="Column2754"/>
    <tableColumn id="2762" xr3:uid="{1919CD3D-08FB-456F-938D-61A1861094E4}" name="Column2755"/>
    <tableColumn id="2763" xr3:uid="{88176E8B-C568-45D1-89B6-00253608413E}" name="Column2756"/>
    <tableColumn id="2764" xr3:uid="{ABE7ECAC-516F-47B8-AE2B-D77D645A1FA0}" name="Column2757"/>
    <tableColumn id="2765" xr3:uid="{32B972F8-B3B7-45EA-8A90-2D3CABEB61C3}" name="Column2758"/>
    <tableColumn id="2766" xr3:uid="{70F6DEAD-6A2D-444C-8B26-2815B15A580A}" name="Column2759"/>
    <tableColumn id="2767" xr3:uid="{D7DF133E-7BBE-4E96-8E2E-059572DDFD62}" name="Column2760"/>
    <tableColumn id="2768" xr3:uid="{F8BD8369-C1BF-4CE8-8770-D4D116436176}" name="Column2761"/>
    <tableColumn id="2769" xr3:uid="{5A3B9476-7A95-4B53-BBB1-016D14434024}" name="Column2762"/>
    <tableColumn id="2770" xr3:uid="{FEFCEF9A-7330-461D-8115-9D6EF39775DD}" name="Column2763"/>
    <tableColumn id="2771" xr3:uid="{208B0BCF-CCFA-4F2B-9E02-34D388434F22}" name="Column2764"/>
    <tableColumn id="2772" xr3:uid="{DC46DE53-42E9-4014-B40A-6586FCFBFAA8}" name="Column2765"/>
    <tableColumn id="2773" xr3:uid="{CFFBF998-1576-4956-BE38-8A2AC4F4605F}" name="Column2766"/>
    <tableColumn id="2774" xr3:uid="{56C66F23-0738-40E2-B215-D9F931EF5BFD}" name="Column2767"/>
    <tableColumn id="2775" xr3:uid="{D2AC3657-9187-4ACF-B855-FDC11DAF8687}" name="Column2768"/>
    <tableColumn id="2776" xr3:uid="{86B0F6B3-76D3-4660-A2B4-10A611C4C796}" name="Column2769"/>
    <tableColumn id="2777" xr3:uid="{886FD763-8BD3-4357-8F43-54F82EC166B0}" name="Column2770"/>
    <tableColumn id="2778" xr3:uid="{3929F004-6558-47A1-A8B4-C7303687D7B6}" name="Column2771"/>
    <tableColumn id="2779" xr3:uid="{F9D3FADC-62B3-45B8-BD9B-E3E49BA68955}" name="Column2772"/>
    <tableColumn id="2780" xr3:uid="{6704157D-8B24-4F12-A07A-01D2AB9193E6}" name="Column2773"/>
    <tableColumn id="2781" xr3:uid="{133CB954-2277-4C0F-B241-BD7261793C59}" name="Column2774"/>
    <tableColumn id="2782" xr3:uid="{9615799A-3356-45A8-92F5-062CC39CFDB9}" name="Column2775"/>
    <tableColumn id="2783" xr3:uid="{FC13B9AD-4EA0-4710-9D3C-E4128AE740DC}" name="Column2776"/>
    <tableColumn id="2784" xr3:uid="{57B269D7-17D2-4E41-901B-1ECC33168B3C}" name="Column2777"/>
    <tableColumn id="2785" xr3:uid="{DE7FC17B-01D0-4F5D-990D-49F4D5C575BB}" name="Column2778"/>
    <tableColumn id="2786" xr3:uid="{294B3C4D-DEC1-4622-9CFC-599778E71A45}" name="Column2779"/>
    <tableColumn id="2787" xr3:uid="{55AA4BA1-B9AC-4443-91E0-D7A1DD94EDF0}" name="Column2780"/>
    <tableColumn id="2788" xr3:uid="{8089CDF9-C890-46CA-8CA9-8AC529C83756}" name="Column2781"/>
    <tableColumn id="2789" xr3:uid="{4E3439BC-0467-4C8F-BD78-FE9ECBFDC18F}" name="Column2782"/>
    <tableColumn id="2790" xr3:uid="{A8094F78-59A6-45C7-946C-22F5C24B8BE8}" name="Column2783"/>
    <tableColumn id="2791" xr3:uid="{5012E22F-072D-4153-BBC6-4D4093DC9802}" name="Column2784"/>
    <tableColumn id="2792" xr3:uid="{596348D1-72C2-468D-A2AA-B60CD9E2ACA3}" name="Column2785"/>
    <tableColumn id="2793" xr3:uid="{3D677F38-FA37-4D61-9F0E-02C569AC7F13}" name="Column2786"/>
    <tableColumn id="2794" xr3:uid="{39D9CB9D-C902-4F6C-8D94-8B16C5263B2E}" name="Column2787"/>
    <tableColumn id="2795" xr3:uid="{F6896BF4-2B45-439D-B057-5C3D0A4286BB}" name="Column2788"/>
    <tableColumn id="2796" xr3:uid="{C7878E6D-B9C5-4F05-8CF8-0ADBA1B660AE}" name="Column2789"/>
    <tableColumn id="2797" xr3:uid="{998354DE-E0DB-49D7-A902-507C3B29C4BA}" name="Column2790"/>
    <tableColumn id="2798" xr3:uid="{1D72D938-F3B8-43C7-913D-103C5B581078}" name="Column2791"/>
    <tableColumn id="2799" xr3:uid="{F9949186-5D2F-4B65-8821-4D53F8452B61}" name="Column2792"/>
    <tableColumn id="2800" xr3:uid="{BBD9E175-E939-4144-ACC9-745D1A393F79}" name="Column2793"/>
    <tableColumn id="2801" xr3:uid="{8F59D7AC-C6A0-498E-9232-3F18AAE0A70A}" name="Column2794"/>
    <tableColumn id="2802" xr3:uid="{4A40501C-B1DB-44DD-946A-3A702A6B2D73}" name="Column2795"/>
    <tableColumn id="2803" xr3:uid="{1F9A90F0-7C07-48B7-A140-40F0B05C50BA}" name="Column2796"/>
    <tableColumn id="2804" xr3:uid="{D7D5A4C7-B9F1-4FE4-9731-73E735F9A763}" name="Column2797"/>
    <tableColumn id="2805" xr3:uid="{16F13E4F-4058-4C8D-8F11-CFD5F5069051}" name="Column2798"/>
    <tableColumn id="2806" xr3:uid="{33642FBA-9226-4DD1-9E98-5A36EAE908E8}" name="Column2799"/>
    <tableColumn id="2807" xr3:uid="{C12FA3F7-8F66-441C-A165-8A549033E736}" name="Column2800"/>
    <tableColumn id="2808" xr3:uid="{7942117D-5646-4B1F-A082-51509EB0C6B4}" name="Column2801"/>
    <tableColumn id="2809" xr3:uid="{E14BE80E-48E3-4339-9DF2-810B64331FCE}" name="Column2802"/>
    <tableColumn id="2810" xr3:uid="{7F9A84F8-3307-4447-B036-E7B174F41352}" name="Column2803"/>
    <tableColumn id="2811" xr3:uid="{525DCAC4-7242-4AF7-AE29-CD3F1F56E5B2}" name="Column2804"/>
    <tableColumn id="2812" xr3:uid="{18AA6E0B-CFAD-4099-9304-2550DE427A02}" name="Column2805"/>
    <tableColumn id="2813" xr3:uid="{62566040-E9AD-4B52-98D8-A2C5113BFF62}" name="Column2806"/>
    <tableColumn id="2814" xr3:uid="{79E224E5-590E-4657-9E10-4F4E53705E2F}" name="Column2807"/>
    <tableColumn id="2815" xr3:uid="{53373EF6-92BB-424D-80E5-F7010DE165B3}" name="Column2808"/>
    <tableColumn id="2816" xr3:uid="{6AEB62B7-79BE-4571-B105-2DFDFE3BF03C}" name="Column2809"/>
    <tableColumn id="2817" xr3:uid="{9FEDFACD-00FA-498B-A72D-74D4E563365A}" name="Column2810"/>
    <tableColumn id="2818" xr3:uid="{26C36C5B-0AF2-47B3-A5B3-E176E135BA72}" name="Column2811"/>
    <tableColumn id="2819" xr3:uid="{5BEB9DA3-0600-41CA-B1E8-2A2CCEA1EC73}" name="Column2812"/>
    <tableColumn id="2820" xr3:uid="{8C83F9E8-07B1-4B12-95B3-3A85C8065EA9}" name="Column2813"/>
    <tableColumn id="2821" xr3:uid="{EF2023C4-28D3-4504-BC5C-81DB14AAEB47}" name="Column2814"/>
    <tableColumn id="2822" xr3:uid="{8A6645B4-8C02-48BF-8E5E-58F91D3BA3CA}" name="Column2815"/>
    <tableColumn id="2823" xr3:uid="{68E8297B-5C5F-4BE5-BF8B-0ACA861AF4C7}" name="Column2816"/>
    <tableColumn id="2824" xr3:uid="{BEF58429-BED5-45A0-A200-1660127E2460}" name="Column2817"/>
    <tableColumn id="2825" xr3:uid="{A24D4EC7-9FEF-4CAF-8FC4-D98578C19330}" name="Column2818"/>
    <tableColumn id="2826" xr3:uid="{0EE87E29-0899-43EB-A293-E236ABAFA2AC}" name="Column2819"/>
    <tableColumn id="2827" xr3:uid="{CF3DD947-B7A0-4862-B7B3-56AFD32AF80D}" name="Column2820"/>
    <tableColumn id="2828" xr3:uid="{7EF6CE2D-09B7-4D62-87FC-68893A963917}" name="Column2821"/>
    <tableColumn id="2829" xr3:uid="{061AFF02-364C-44F0-B41C-2CA0270C99F6}" name="Column2822"/>
    <tableColumn id="2830" xr3:uid="{D8C417EF-CD8B-4B87-8DAF-BA32E7A9B115}" name="Column2823"/>
    <tableColumn id="2831" xr3:uid="{1E053DED-F836-4ED2-BB33-D27B087B7ACC}" name="Column2824"/>
    <tableColumn id="2832" xr3:uid="{63848736-3475-418E-BC10-238800620E77}" name="Column2825"/>
    <tableColumn id="2833" xr3:uid="{5A16B771-819D-4982-9FB4-B0ED53455C7F}" name="Column2826"/>
    <tableColumn id="2834" xr3:uid="{EB6B94A3-649A-4A3D-B84C-6A38C2415D86}" name="Column2827"/>
    <tableColumn id="2835" xr3:uid="{701952E6-55BE-458B-A4BC-A12078262D2A}" name="Column2828"/>
    <tableColumn id="2836" xr3:uid="{2212933B-A276-4F18-88C7-761372DBC6BD}" name="Column2829"/>
    <tableColumn id="2837" xr3:uid="{A52587CB-46A3-4D31-AC96-E970BEC6DAE3}" name="Column2830"/>
    <tableColumn id="2838" xr3:uid="{5C0BC165-FF3E-43A4-8827-4562598DB7CC}" name="Column2831"/>
    <tableColumn id="2839" xr3:uid="{9E54AB50-D24E-4C6E-91AD-5D33D1DE5F0A}" name="Column2832"/>
    <tableColumn id="2840" xr3:uid="{DFA8E41A-7034-48DA-AE38-EED14F0FDF1C}" name="Column2833"/>
    <tableColumn id="2841" xr3:uid="{8B8C0630-BB42-4DB5-A666-41D180E95EE5}" name="Column2834"/>
    <tableColumn id="2842" xr3:uid="{E277FC39-5315-47A5-8D0F-05B97C853CCF}" name="Column2835"/>
    <tableColumn id="2843" xr3:uid="{BA93BA2F-D45B-4477-9D4D-559548115C86}" name="Column2836"/>
    <tableColumn id="2844" xr3:uid="{F670F06D-A7E7-4FDD-9E5E-DECE77F6EE28}" name="Column2837"/>
    <tableColumn id="2845" xr3:uid="{35BDCF8A-1CC0-49DB-838F-42D1AD3EE13A}" name="Column2838"/>
    <tableColumn id="2846" xr3:uid="{62F8E6BF-EDA8-4EB5-9BE1-B8C378F612D1}" name="Column2839"/>
    <tableColumn id="2847" xr3:uid="{D7F34624-2C78-4F8E-ACB0-1C3B2B11D2AF}" name="Column2840"/>
    <tableColumn id="2848" xr3:uid="{9020A3C1-F4F3-4BB0-8A8D-3FB0E5CBBDDB}" name="Column2841"/>
    <tableColumn id="2849" xr3:uid="{2BC1CAE8-4A70-4970-8CBD-79CC7939F9AA}" name="Column2842"/>
    <tableColumn id="2850" xr3:uid="{1041A8B9-A46D-4B28-87B9-997FBCFC4CC4}" name="Column2843"/>
    <tableColumn id="2851" xr3:uid="{2CD9F99B-310A-47B0-9674-7F9ACBDF83B0}" name="Column2844"/>
    <tableColumn id="2852" xr3:uid="{03741A87-71DA-4147-AB5B-B8C10E8C1248}" name="Column2845"/>
    <tableColumn id="2853" xr3:uid="{C4465164-F8D1-4CB8-A8B9-66FE8D1F3C4E}" name="Column2846"/>
    <tableColumn id="2854" xr3:uid="{A9B7A763-D2FF-4EAA-8F0A-FBA7078C71C5}" name="Column2847"/>
    <tableColumn id="2855" xr3:uid="{E6E8DF7D-8E77-4804-9E28-17CCF2C2A204}" name="Column2848"/>
    <tableColumn id="2856" xr3:uid="{C6631F32-DEE3-470F-9689-6B826094B1A3}" name="Column2849"/>
    <tableColumn id="2857" xr3:uid="{89834BA4-6314-4759-B539-9FB4BAE2338C}" name="Column2850"/>
    <tableColumn id="2858" xr3:uid="{B1ECDD66-2B6D-4B20-B650-6DFFCC4E3663}" name="Column2851"/>
    <tableColumn id="2859" xr3:uid="{0FB17F8B-BCEA-42C1-A40B-D5BA20AEC4B3}" name="Column2852"/>
    <tableColumn id="2860" xr3:uid="{8B848738-26F5-4D22-8550-6EEBECC9CBA6}" name="Column2853"/>
    <tableColumn id="2861" xr3:uid="{6D71DBF8-2A27-4C51-81C4-4E820CB64D32}" name="Column2854"/>
    <tableColumn id="2862" xr3:uid="{44DE1D1F-339B-4880-99A7-8E07745D284A}" name="Column2855"/>
    <tableColumn id="2863" xr3:uid="{108E948E-481A-4A06-8239-9F29BCADA5CF}" name="Column2856"/>
    <tableColumn id="2864" xr3:uid="{7A6012B5-A9B7-48DA-96A4-E4D63E9DD4AD}" name="Column2857"/>
    <tableColumn id="2865" xr3:uid="{D4D68FFA-80EC-486A-8B14-F0B454C73FC2}" name="Column2858"/>
    <tableColumn id="2866" xr3:uid="{A7ED9F82-B608-4235-A0D3-438F605DE5BB}" name="Column2859"/>
    <tableColumn id="2867" xr3:uid="{B6DA8664-7884-4626-A2E4-0CED963D391F}" name="Column2860"/>
    <tableColumn id="2868" xr3:uid="{E799C095-7F6A-4220-B5CD-1E5F95179300}" name="Column2861"/>
    <tableColumn id="2869" xr3:uid="{C984BB5E-5B56-41E2-904F-C81A605D0E37}" name="Column2862"/>
    <tableColumn id="2870" xr3:uid="{BC1E7BEB-6135-4DF0-8BEF-4BC994D90495}" name="Column2863"/>
    <tableColumn id="2871" xr3:uid="{EF499195-9B06-456C-B0F2-E5990DBA6B99}" name="Column2864"/>
    <tableColumn id="2872" xr3:uid="{74C6077F-EEB0-4354-8376-A14116B10172}" name="Column2865"/>
    <tableColumn id="2873" xr3:uid="{5113C347-8791-432B-9B86-80654E52D98F}" name="Column2866"/>
    <tableColumn id="2874" xr3:uid="{82D6ADD5-BF3F-47A4-90C3-AFF7F5CBF570}" name="Column2867"/>
    <tableColumn id="2875" xr3:uid="{E2EA2DB5-1D58-44E8-B45C-67755A70C19E}" name="Column2868"/>
    <tableColumn id="2876" xr3:uid="{9A02AAE8-E3B9-411A-96F6-24C9B83CD4D6}" name="Column2869"/>
    <tableColumn id="2877" xr3:uid="{9A50979F-7AB9-4A47-B13A-9C55B738E781}" name="Column2870"/>
    <tableColumn id="2878" xr3:uid="{8AF370BD-164A-4009-BA67-15D157DD934A}" name="Column2871"/>
    <tableColumn id="2879" xr3:uid="{34F06B24-F275-4887-8941-E4C27C73C04C}" name="Column2872"/>
    <tableColumn id="2880" xr3:uid="{76A5455D-71CA-497B-BF05-69E0E6D9507E}" name="Column2873"/>
    <tableColumn id="2881" xr3:uid="{7224446F-CEAC-4847-9D44-DCC6B9E1F967}" name="Column2874"/>
    <tableColumn id="2882" xr3:uid="{559212A7-EE00-4665-A067-834BCF3026E9}" name="Column2875"/>
    <tableColumn id="2883" xr3:uid="{BD10BA11-B49D-4215-AA96-48EE34741AEF}" name="Column2876"/>
    <tableColumn id="2884" xr3:uid="{2DED7099-D25B-4FB8-A0D5-D7648EF50567}" name="Column2877"/>
    <tableColumn id="2885" xr3:uid="{BF3F1685-E90D-458E-A42E-D6DA8DD2B018}" name="Column2878"/>
    <tableColumn id="2886" xr3:uid="{013503FE-38BA-413A-BD72-5BA72C61C8E8}" name="Column2879"/>
    <tableColumn id="2887" xr3:uid="{A54E3196-659A-41BA-874F-AFD55E30BEB9}" name="Column2880"/>
    <tableColumn id="2888" xr3:uid="{4ED661BE-0972-4A09-8A33-D8EAE84F5350}" name="Column2881"/>
    <tableColumn id="2889" xr3:uid="{8909CB8C-BF5B-43E9-920F-C2694B418366}" name="Column2882"/>
    <tableColumn id="2890" xr3:uid="{08894AF7-A0EF-49FF-91B8-46092525C746}" name="Column2883"/>
    <tableColumn id="2891" xr3:uid="{49B195B3-4BBC-4C55-A16E-FB2136CE0C36}" name="Column2884"/>
    <tableColumn id="2892" xr3:uid="{D18E3591-80C2-4981-AFA8-5BCC99C672D9}" name="Column2885"/>
    <tableColumn id="2893" xr3:uid="{7EA1D99B-82DF-42DB-9453-C427EF3A5535}" name="Column2886"/>
    <tableColumn id="2894" xr3:uid="{B30F5807-5324-4530-BBE0-0EC23D33FE92}" name="Column2887"/>
    <tableColumn id="2895" xr3:uid="{DCBB8616-C239-4282-8765-1F95F2A82804}" name="Column2888"/>
    <tableColumn id="2896" xr3:uid="{BBC558C7-CF49-4732-BD33-A53EAF226C63}" name="Column2889"/>
    <tableColumn id="2897" xr3:uid="{7CAFEAF4-7FD4-4A3E-B03B-9135BC94FF58}" name="Column2890"/>
    <tableColumn id="2898" xr3:uid="{101AB82E-86B9-48A2-878F-FCA619273FBC}" name="Column2891"/>
    <tableColumn id="2899" xr3:uid="{AE0E16CB-0AAC-485E-8125-931D98F9C17D}" name="Column2892"/>
    <tableColumn id="2900" xr3:uid="{90FCDE85-5378-4198-B570-046CF09CA828}" name="Column2893"/>
    <tableColumn id="2901" xr3:uid="{943252C4-77E8-4C5C-BB58-CA28A13AC362}" name="Column2894"/>
    <tableColumn id="2902" xr3:uid="{0A428ABA-E1EA-4548-870C-4BB1F6DFE5AF}" name="Column2895"/>
    <tableColumn id="2903" xr3:uid="{0D13ADEC-D672-46C3-B53C-9B1C75849F55}" name="Column2896"/>
    <tableColumn id="2904" xr3:uid="{722FD818-53E7-407C-82A9-984A10C9085B}" name="Column2897"/>
    <tableColumn id="2905" xr3:uid="{EF3B69BF-283B-4B78-A9B8-AD6CBA6D6521}" name="Column2898"/>
    <tableColumn id="2906" xr3:uid="{8F0DFEF0-6603-44AC-B257-F581462CA8FE}" name="Column2899"/>
    <tableColumn id="2907" xr3:uid="{5C5059B5-642D-45A5-BB3A-9DD24EA89A61}" name="Column2900"/>
    <tableColumn id="2908" xr3:uid="{DB791F88-93EA-472A-99F9-1E1E7B1790B1}" name="Column2901"/>
    <tableColumn id="2909" xr3:uid="{D11EA607-A3DC-4C6B-A5E3-8B28DB6B3A5A}" name="Column2902"/>
    <tableColumn id="2910" xr3:uid="{EA429ED8-EE9A-4ADD-962C-CCD249AD2C44}" name="Column2903"/>
    <tableColumn id="2911" xr3:uid="{D565023C-76FC-4124-AC37-7D879775E3D9}" name="Column2904"/>
    <tableColumn id="2912" xr3:uid="{667CD231-DFBD-41AE-AFC4-1593EF85811F}" name="Column2905"/>
    <tableColumn id="2913" xr3:uid="{2A90C717-AAED-4BA2-ACC7-8FC4A3036662}" name="Column2906"/>
    <tableColumn id="2914" xr3:uid="{CE71A5F4-C6F4-48DB-A05C-501D9DE7915A}" name="Column2907"/>
    <tableColumn id="2915" xr3:uid="{9A35B4EC-CF67-465D-859D-6A65DE1A36D4}" name="Column2908"/>
    <tableColumn id="2916" xr3:uid="{F29F511E-C136-4F7E-8A3D-82D4094899C4}" name="Column2909"/>
    <tableColumn id="2917" xr3:uid="{5BA106C3-0ABB-4EE4-BDA0-D901F219456B}" name="Column2910"/>
    <tableColumn id="2918" xr3:uid="{AC2E2A45-D8EE-4E18-925F-623615785743}" name="Column2911"/>
    <tableColumn id="2919" xr3:uid="{A9B32DAE-A3EF-4D81-8142-EFB3BC0DEDD4}" name="Column2912"/>
    <tableColumn id="2920" xr3:uid="{900DA57C-EADF-4A26-A9C8-C1DAC83E023B}" name="Column2913"/>
    <tableColumn id="2921" xr3:uid="{A9EB0EE4-028F-45E6-85DF-75CCC11096DC}" name="Column2914"/>
    <tableColumn id="2922" xr3:uid="{A51A92A4-6C78-4EAF-93F4-B9737868A3FC}" name="Column2915"/>
    <tableColumn id="2923" xr3:uid="{BC276909-C6D0-4436-B144-715BDA6E5DA7}" name="Column2916"/>
    <tableColumn id="2924" xr3:uid="{7BCF7A07-4055-41FE-9E86-F34B76B872D2}" name="Column2917"/>
    <tableColumn id="2925" xr3:uid="{81FC320C-39D7-4BA9-AAA8-E46DAE6AE896}" name="Column2918"/>
    <tableColumn id="2926" xr3:uid="{FC65FE45-36FE-46C8-B50E-EEECBC0AC8AF}" name="Column2919"/>
    <tableColumn id="2927" xr3:uid="{DB32188D-95B2-4C3F-8E72-3E8A04B7A33B}" name="Column2920"/>
    <tableColumn id="2928" xr3:uid="{1A1A70B4-05DD-4359-B536-73950CBD62C6}" name="Column2921"/>
    <tableColumn id="2929" xr3:uid="{52F0CB36-0E2B-46F3-8A2A-B61BF153D93C}" name="Column2922"/>
    <tableColumn id="2930" xr3:uid="{E6E69B75-09BC-4BAB-963A-54074261C0DD}" name="Column2923"/>
    <tableColumn id="2931" xr3:uid="{2EF4B4EC-4561-4312-9D7D-E709DB0B1305}" name="Column2924"/>
    <tableColumn id="2932" xr3:uid="{7C30EDDE-BEA8-4E7F-8406-D038F3EB26B8}" name="Column2925"/>
    <tableColumn id="2933" xr3:uid="{6D92F1ED-859B-4CAB-B61B-9E80D0440B10}" name="Column2926"/>
    <tableColumn id="2934" xr3:uid="{08388C26-33A0-45E0-9601-99C0BC0343E9}" name="Column2927"/>
    <tableColumn id="2935" xr3:uid="{E79BAD44-BFF9-446B-A0DE-3DFECEFCD565}" name="Column2928"/>
    <tableColumn id="2936" xr3:uid="{D8D37792-18E5-49A2-B95B-0CC0D9222016}" name="Column2929"/>
    <tableColumn id="2937" xr3:uid="{23E2CD1F-AA9B-4991-9017-BEC55803ED8E}" name="Column2930"/>
    <tableColumn id="2938" xr3:uid="{CD6B632F-110D-475C-9195-04535AD66432}" name="Column2931"/>
    <tableColumn id="2939" xr3:uid="{1E86A08B-0B58-4B6E-81BA-94F3B184C8B4}" name="Column2932"/>
    <tableColumn id="2940" xr3:uid="{5D8F6B17-B689-4633-A051-7C769EB65F0F}" name="Column2933"/>
    <tableColumn id="2941" xr3:uid="{731E1DB1-4670-43DC-91F1-5A34ACE3B0DC}" name="Column2934"/>
    <tableColumn id="2942" xr3:uid="{94779CBD-6BDD-4C95-A194-52A3F741FF9C}" name="Column2935"/>
    <tableColumn id="2943" xr3:uid="{15406D76-B98D-4A00-94B3-06E03009F094}" name="Column2936"/>
    <tableColumn id="2944" xr3:uid="{608FD423-8070-41CD-9211-183E96A183DA}" name="Column2937"/>
    <tableColumn id="2945" xr3:uid="{47A3F456-58F6-473C-8CE0-E6BBD5EF74DB}" name="Column2938"/>
    <tableColumn id="2946" xr3:uid="{3F5492FF-A460-480F-912C-1EA347760A44}" name="Column2939"/>
    <tableColumn id="2947" xr3:uid="{8CF11A3D-8360-4646-B394-41935E58D5AA}" name="Column2940"/>
    <tableColumn id="2948" xr3:uid="{8DAF277B-F433-4FDA-AF70-70574822A870}" name="Column2941"/>
    <tableColumn id="2949" xr3:uid="{D824DBE9-7652-409C-8DE5-FBC6B157BEA6}" name="Column2942"/>
    <tableColumn id="2950" xr3:uid="{C150F6B8-4B4A-4E15-8DA6-EE4D6DE0965D}" name="Column2943"/>
    <tableColumn id="2951" xr3:uid="{79DE0B5D-15C8-4602-A61D-8743E7198DB4}" name="Column2944"/>
    <tableColumn id="2952" xr3:uid="{E04309B2-523B-4D4B-A242-1EE776AC0CC4}" name="Column2945"/>
    <tableColumn id="2953" xr3:uid="{C543F7EC-7CE8-4801-871A-C4751F90E781}" name="Column2946"/>
    <tableColumn id="2954" xr3:uid="{8293B23E-DE31-4093-98A1-952338CDD5FE}" name="Column2947"/>
    <tableColumn id="2955" xr3:uid="{FB0BABD8-2DFB-4E97-9D37-8236DEA5979B}" name="Column2948"/>
    <tableColumn id="2956" xr3:uid="{F0390C03-4D96-4646-9CD4-52946F2CCAC3}" name="Column2949"/>
    <tableColumn id="2957" xr3:uid="{721BE114-8BCC-41F0-AB81-1974981C6298}" name="Column2950"/>
    <tableColumn id="2958" xr3:uid="{CA4AE809-0B65-4346-9C26-5826234BA61A}" name="Column2951"/>
    <tableColumn id="2959" xr3:uid="{83AEA033-2F5F-4A3E-A7DC-0E054213F363}" name="Column2952"/>
    <tableColumn id="2960" xr3:uid="{7CA0C01B-68DE-4EEC-84F9-6129510D1C95}" name="Column2953"/>
    <tableColumn id="2961" xr3:uid="{B2841B82-9BDB-482F-8E1E-FF958871D22F}" name="Column2954"/>
    <tableColumn id="2962" xr3:uid="{E41B9721-DFAA-443B-931A-6B6A55D13472}" name="Column2955"/>
    <tableColumn id="2963" xr3:uid="{A668650D-D7F1-4F47-BDFD-0F48D4732DDA}" name="Column2956"/>
    <tableColumn id="2964" xr3:uid="{8A2042F7-301B-4D0E-8865-9645744E0566}" name="Column2957"/>
    <tableColumn id="2965" xr3:uid="{BF858C1C-4462-4255-9A87-6A587F3A030F}" name="Column2958"/>
    <tableColumn id="2966" xr3:uid="{AD19DB7C-D380-4968-AAC8-BF838575A1F1}" name="Column2959"/>
    <tableColumn id="2967" xr3:uid="{E5983320-0271-4BAC-8F14-6161F78DF2E3}" name="Column2960"/>
    <tableColumn id="2968" xr3:uid="{C791800E-F064-4425-B751-690C1017F633}" name="Column2961"/>
    <tableColumn id="2969" xr3:uid="{3BAC5F28-6193-4485-A9D4-BD66E4C05991}" name="Column2962"/>
    <tableColumn id="2970" xr3:uid="{B02E06FA-56BF-4935-9B00-E825E44A1FF3}" name="Column2963"/>
    <tableColumn id="2971" xr3:uid="{66FBAA27-DED0-4DA0-9217-EEABB1EEDE59}" name="Column2964"/>
    <tableColumn id="2972" xr3:uid="{55072AF9-FEA3-4334-914D-1265AD90B7A8}" name="Column2965"/>
    <tableColumn id="2973" xr3:uid="{32ED65EA-5699-4200-AA96-CDC5FB1AD2B7}" name="Column2966"/>
    <tableColumn id="2974" xr3:uid="{9CA5AC2D-ADC8-40AD-A5A6-5A8212516164}" name="Column2967"/>
    <tableColumn id="2975" xr3:uid="{1856B9B2-5207-4774-BDF9-02391A42AA43}" name="Column2968"/>
    <tableColumn id="2976" xr3:uid="{CBAC8511-C37D-4E03-81E4-E205FB4FC4AA}" name="Column2969"/>
    <tableColumn id="2977" xr3:uid="{233F53DE-C85B-4718-BFDF-279035EB94FC}" name="Column2970"/>
    <tableColumn id="2978" xr3:uid="{0620FC62-88CD-475B-88D1-0625430829C0}" name="Column2971"/>
    <tableColumn id="2979" xr3:uid="{C2D4F168-FDE0-43D8-8557-7684B689D855}" name="Column2972"/>
    <tableColumn id="2980" xr3:uid="{4939FBD6-DA43-4345-B966-11FFA61CC8B2}" name="Column2973"/>
    <tableColumn id="2981" xr3:uid="{0AF76AC2-C24F-4F86-A1A8-1F8A9CA51639}" name="Column2974"/>
    <tableColumn id="2982" xr3:uid="{7E2537B2-8487-4F8F-A0CD-64D94BBA2152}" name="Column2975"/>
    <tableColumn id="2983" xr3:uid="{02EC076D-03CA-4B45-8F16-82B68CD59870}" name="Column2976"/>
    <tableColumn id="2984" xr3:uid="{113D5537-0381-42DB-B03F-0CC66BB61BFD}" name="Column2977"/>
    <tableColumn id="2985" xr3:uid="{C996EDF2-27DF-4F04-A0A8-17AC55E04FF5}" name="Column2978"/>
    <tableColumn id="2986" xr3:uid="{0CA13A44-527D-4811-8FFB-391D21147E68}" name="Column2979"/>
    <tableColumn id="2987" xr3:uid="{DE28E27A-2B5A-412C-AACB-A0BC0F8809ED}" name="Column2980"/>
    <tableColumn id="2988" xr3:uid="{F3442A2F-C3D6-4996-9BA5-A66A313397CF}" name="Column2981"/>
    <tableColumn id="2989" xr3:uid="{7396D778-DD8B-4F69-B62A-B83FE9B7D9DB}" name="Column2982"/>
    <tableColumn id="2990" xr3:uid="{2760DE1B-B17E-46E8-8A0E-AECF3FAA9492}" name="Column2983"/>
    <tableColumn id="2991" xr3:uid="{767EDF6F-04A9-400E-A3F7-0F98CA3E93F8}" name="Column2984"/>
    <tableColumn id="2992" xr3:uid="{D5E39A11-09F0-4CD3-80B3-D5A2667309E1}" name="Column2985"/>
    <tableColumn id="2993" xr3:uid="{D7052F13-883E-435E-85F9-E8D3BB1A6EE9}" name="Column2986"/>
    <tableColumn id="2994" xr3:uid="{FF239AC6-419F-4094-9B8B-D6043D42D09E}" name="Column2987"/>
    <tableColumn id="2995" xr3:uid="{C8A07C38-0F69-4D9A-B9D2-74095F531B1C}" name="Column2988"/>
    <tableColumn id="2996" xr3:uid="{79F3F974-BB0B-42B2-B701-7B8A5F8C42C6}" name="Column2989"/>
    <tableColumn id="2997" xr3:uid="{B93ED0E3-EEDF-4E28-911A-5465AE61E33D}" name="Column2990"/>
    <tableColumn id="2998" xr3:uid="{CFC4A429-B7F5-4366-AFB6-FDD257CD4C63}" name="Column2991"/>
    <tableColumn id="2999" xr3:uid="{2F439DE4-774E-40CF-8CA9-B66AC3ED5008}" name="Column2992"/>
    <tableColumn id="3000" xr3:uid="{73AA9EE5-D938-4B1C-8283-F060546B0E01}" name="Column2993"/>
    <tableColumn id="3001" xr3:uid="{D4344AEC-5C8C-40A9-A4C2-A0E58127FF34}" name="Column2994"/>
    <tableColumn id="3002" xr3:uid="{73F598E7-70CF-499C-A68C-81228ADB27D9}" name="Column2995"/>
    <tableColumn id="3003" xr3:uid="{A19CF6DD-7921-48B1-BE82-812C8D32DEF3}" name="Column2996"/>
    <tableColumn id="3004" xr3:uid="{53733454-4514-4D5F-968A-DB60EA94EDBD}" name="Column2997"/>
    <tableColumn id="3005" xr3:uid="{42B22666-72AC-45B5-8843-6D2244029EE9}" name="Column2998"/>
    <tableColumn id="3006" xr3:uid="{DB950AB7-8C12-46EF-ACC1-E9EFFA8E758F}" name="Column2999"/>
    <tableColumn id="3007" xr3:uid="{426B3FED-A8DA-4602-BBAA-351A303157D3}" name="Column3000"/>
    <tableColumn id="3008" xr3:uid="{F82ABFD7-CE7F-4D37-AC9D-04C97DC253E9}" name="Column3001"/>
    <tableColumn id="3009" xr3:uid="{ED921BDC-E155-4431-A701-07CC4BC6B014}" name="Column3002"/>
    <tableColumn id="3010" xr3:uid="{0AA93F0F-E374-420E-BEA0-A571BBF727FD}" name="Column3003"/>
    <tableColumn id="3011" xr3:uid="{C4771C9B-8AAF-4F25-B618-26DE59CECF81}" name="Column3004"/>
    <tableColumn id="3012" xr3:uid="{8FC837D2-3858-4E90-A8C1-C1FA198CAB22}" name="Column3005"/>
    <tableColumn id="3013" xr3:uid="{92CF94CB-2E87-43C2-BDE6-743ABA69B090}" name="Column3006"/>
    <tableColumn id="3014" xr3:uid="{8B1B8A12-D49B-4D7D-829E-A04D0B352A5A}" name="Column3007"/>
    <tableColumn id="3015" xr3:uid="{9C4F255C-B94C-4DD3-890B-8AFD2D03596C}" name="Column3008"/>
    <tableColumn id="3016" xr3:uid="{B0DD080A-CC3A-4671-87B9-D48032B712BF}" name="Column3009"/>
    <tableColumn id="3017" xr3:uid="{2C753600-A220-4ED6-8993-BD419A2BBABE}" name="Column3010"/>
    <tableColumn id="3018" xr3:uid="{3ABDF750-DE4D-4F63-9BDD-E6BA13245295}" name="Column3011"/>
    <tableColumn id="3019" xr3:uid="{DDCB01BE-92DE-49E3-8141-B54BEB282ABC}" name="Column3012"/>
    <tableColumn id="3020" xr3:uid="{DC5F4171-35FA-4DD0-AEAC-087BDA556510}" name="Column3013"/>
    <tableColumn id="3021" xr3:uid="{CBC69EFE-7362-47BA-A79A-14EEA385FE6C}" name="Column3014"/>
    <tableColumn id="3022" xr3:uid="{70D0268B-5284-47FA-99D4-CE1DC51161BF}" name="Column3015"/>
    <tableColumn id="3023" xr3:uid="{6C0802B4-BEF4-4747-8AD9-F587DA6F9B90}" name="Column3016"/>
    <tableColumn id="3024" xr3:uid="{03109162-A00F-4843-BAD5-53139AFB118B}" name="Column3017"/>
    <tableColumn id="3025" xr3:uid="{AA5F2750-404C-4154-A2E5-AC915DC91BB9}" name="Column3018"/>
    <tableColumn id="3026" xr3:uid="{74E46B72-1BD8-4D36-B71D-367B1331D90A}" name="Column3019"/>
    <tableColumn id="3027" xr3:uid="{D55535F0-5A5B-41BA-9D18-7F1F0C245E79}" name="Column3020"/>
    <tableColumn id="3028" xr3:uid="{61BFECD1-1ACB-4D28-B70D-B9D63B430A62}" name="Column3021"/>
    <tableColumn id="3029" xr3:uid="{A960EE91-2CDA-48C6-8AB7-E50643CB61B6}" name="Column3022"/>
    <tableColumn id="3030" xr3:uid="{78119CA2-AF51-4BA6-8BD2-039D5A0E53A0}" name="Column3023"/>
    <tableColumn id="3031" xr3:uid="{525A9149-7E9D-425F-B7DD-0323936ADA86}" name="Column3024"/>
    <tableColumn id="3032" xr3:uid="{776A1972-D804-4059-A630-48F7D4E36FDB}" name="Column3025"/>
    <tableColumn id="3033" xr3:uid="{F84575C9-C60F-46F2-ABAC-9DE72F3688E4}" name="Column3026"/>
    <tableColumn id="3034" xr3:uid="{FFA0800C-A7B9-4BF3-B7B4-0CD3B43731E2}" name="Column3027"/>
    <tableColumn id="3035" xr3:uid="{68C62B3D-BC4D-41B5-8874-E045A79DB6B5}" name="Column3028"/>
    <tableColumn id="3036" xr3:uid="{346520E2-B854-4E61-9C1E-5DDED32B1489}" name="Column3029"/>
    <tableColumn id="3037" xr3:uid="{5FEE7F95-E522-4A2A-9B53-9CC079E0CD05}" name="Column3030"/>
    <tableColumn id="3038" xr3:uid="{78EFA7C7-4F59-4E6B-82E7-776099B5DA72}" name="Column3031"/>
    <tableColumn id="3039" xr3:uid="{D62CB189-D722-4002-9F09-539159408D08}" name="Column3032"/>
    <tableColumn id="3040" xr3:uid="{CD1AF20C-599B-417E-9F0C-2C0F4D60B654}" name="Column3033"/>
    <tableColumn id="3041" xr3:uid="{96BAA9DB-65BC-46C8-A612-DA58772D5881}" name="Column3034"/>
    <tableColumn id="3042" xr3:uid="{7676759F-C972-48D4-984D-3AE753B36A86}" name="Column3035"/>
    <tableColumn id="3043" xr3:uid="{79EED525-F710-41DA-A7C1-325F6486DBBC}" name="Column3036"/>
    <tableColumn id="3044" xr3:uid="{1BBE3E8D-BF42-4D60-BAAF-6B35181E6E68}" name="Column3037"/>
    <tableColumn id="3045" xr3:uid="{394B555E-7AEC-4576-B1A7-35C744D8D8E1}" name="Column3038"/>
    <tableColumn id="3046" xr3:uid="{5363DB13-55A6-43FF-A190-1D13205B6DEA}" name="Column3039"/>
    <tableColumn id="3047" xr3:uid="{DE77A01A-CBE9-458A-B2D6-E14630879688}" name="Column3040"/>
    <tableColumn id="3048" xr3:uid="{6397C63B-84BA-4613-919E-7D574185B8BF}" name="Column3041"/>
    <tableColumn id="3049" xr3:uid="{B424966C-A55C-438E-B373-1AF77826C2C5}" name="Column3042"/>
    <tableColumn id="3050" xr3:uid="{CCA01578-50A2-4FBD-A630-3242EC8DD94F}" name="Column3043"/>
    <tableColumn id="3051" xr3:uid="{73D0918E-41F0-42EE-A593-A0B4FB384FCD}" name="Column3044"/>
    <tableColumn id="3052" xr3:uid="{BBE04565-C689-4C55-A659-8B85869F2569}" name="Column3045"/>
    <tableColumn id="3053" xr3:uid="{A5E08C44-6E2F-4B97-88A0-788A80CB1972}" name="Column3046"/>
    <tableColumn id="3054" xr3:uid="{0FC4CF9A-18DB-448D-A8C9-DD7C549C7115}" name="Column3047"/>
    <tableColumn id="3055" xr3:uid="{2E598C69-21BD-4474-889C-6975620F8F6A}" name="Column3048"/>
    <tableColumn id="3056" xr3:uid="{0807283E-B0DC-4167-BD6D-5F68B924E5AB}" name="Column3049"/>
    <tableColumn id="3057" xr3:uid="{02993607-D9FF-4F2A-B094-D0A34353EB55}" name="Column3050"/>
    <tableColumn id="3058" xr3:uid="{F3680CEF-3CC1-4B28-9D50-5271BF3D317E}" name="Column3051"/>
    <tableColumn id="3059" xr3:uid="{1A39B440-CCFA-4089-AA3D-9B57AF50902F}" name="Column3052"/>
    <tableColumn id="3060" xr3:uid="{54A0A841-2EA9-4725-97D5-88FF4B8A7AE7}" name="Column3053"/>
    <tableColumn id="3061" xr3:uid="{FCD8D6B4-7AF6-45E1-AFD3-043361E304D8}" name="Column3054"/>
    <tableColumn id="3062" xr3:uid="{5574CE23-166A-4962-9732-432D88523480}" name="Column3055"/>
    <tableColumn id="3063" xr3:uid="{1C4879CB-6A0F-4756-8896-7AF43AA1BF57}" name="Column3056"/>
    <tableColumn id="3064" xr3:uid="{02F74AB5-9A09-4881-B60E-3821C9379663}" name="Column3057"/>
    <tableColumn id="3065" xr3:uid="{99D97FCE-A077-4A6C-ACAA-36A2D93739D8}" name="Column3058"/>
    <tableColumn id="3066" xr3:uid="{CE528E90-372C-48E7-98B4-983C75B08191}" name="Column3059"/>
    <tableColumn id="3067" xr3:uid="{950FC71C-2F84-44A9-9754-488640A55F47}" name="Column3060"/>
    <tableColumn id="3068" xr3:uid="{86C82662-2497-497C-A08C-0C60C82C4E25}" name="Column3061"/>
    <tableColumn id="3069" xr3:uid="{311901C2-B459-4D01-903D-739BC062E563}" name="Column3062"/>
    <tableColumn id="3070" xr3:uid="{21362A40-5018-447C-9F9D-18F4119B9E3D}" name="Column3063"/>
    <tableColumn id="3071" xr3:uid="{BD579A4F-5B4B-4C10-B7AE-A458ACE17542}" name="Column3064"/>
    <tableColumn id="3072" xr3:uid="{056E3CCC-E510-4A89-AC4F-C742A9121753}" name="Column3065"/>
    <tableColumn id="3073" xr3:uid="{3E262639-C631-4D86-B602-9894A9C17F0A}" name="Column3066"/>
    <tableColumn id="3074" xr3:uid="{C22E487D-3282-41B4-978C-25563EE1847F}" name="Column3067"/>
    <tableColumn id="3075" xr3:uid="{D83681FA-0A36-42DF-A803-96E9DBA2B351}" name="Column3068"/>
    <tableColumn id="3076" xr3:uid="{1B773DDB-8A4A-45BC-89A9-5D517AD2574F}" name="Column3069"/>
    <tableColumn id="3077" xr3:uid="{D5020684-D41D-4085-A915-3763497D5F36}" name="Column3070"/>
    <tableColumn id="3078" xr3:uid="{0F2EE3A4-3078-42CC-A991-E2291484304D}" name="Column3071"/>
    <tableColumn id="3079" xr3:uid="{6691155F-1E01-4F5B-855F-08C112466267}" name="Column3072"/>
    <tableColumn id="3080" xr3:uid="{C7A89DAC-0A4E-4CA1-9652-4C28A0B84125}" name="Column3073"/>
    <tableColumn id="3081" xr3:uid="{7AC68B9D-F7CB-4B3B-B196-E85550772498}" name="Column3074"/>
    <tableColumn id="3082" xr3:uid="{1CA504EE-0F9D-4FBE-98EE-2E7363F111D6}" name="Column3075"/>
    <tableColumn id="3083" xr3:uid="{6703BF6A-D6BD-41A2-8478-96205C5F61B6}" name="Column3076"/>
    <tableColumn id="3084" xr3:uid="{5FE4B4A1-C135-47CC-A501-41B3A5DC03B6}" name="Column3077"/>
    <tableColumn id="3085" xr3:uid="{B96BD264-7439-42F0-9843-C4ED294CBEAD}" name="Column3078"/>
    <tableColumn id="3086" xr3:uid="{C82AB256-F15D-45C7-9E47-7B1241998186}" name="Column3079"/>
    <tableColumn id="3087" xr3:uid="{EDF53DA5-D256-4FF1-B5B7-9F9D4FCE5C07}" name="Column3080"/>
    <tableColumn id="3088" xr3:uid="{4723EFAB-443F-4B6E-BC7A-B07DF75DEC1B}" name="Column3081"/>
    <tableColumn id="3089" xr3:uid="{5223AD5F-58A1-4912-A3B3-A79737589046}" name="Column3082"/>
    <tableColumn id="3090" xr3:uid="{DE719E3F-BAE4-43C3-901E-213A95E68058}" name="Column3083"/>
    <tableColumn id="3091" xr3:uid="{8F6AFEFB-271C-47F7-A1B8-0B44CE769EF2}" name="Column3084"/>
    <tableColumn id="3092" xr3:uid="{53FCFA38-29FC-448A-A0F7-3E2059B473A5}" name="Column3085"/>
    <tableColumn id="3093" xr3:uid="{8ADF6962-49B9-4B11-AB73-69531870FFB0}" name="Column3086"/>
    <tableColumn id="3094" xr3:uid="{E79FB91B-5EC4-44CA-8D15-F2317816B0BA}" name="Column3087"/>
    <tableColumn id="3095" xr3:uid="{1BA4A560-8B33-49E8-A591-9A82881B2754}" name="Column3088"/>
    <tableColumn id="3096" xr3:uid="{2ED4504D-2606-4EBB-B643-C7D2D512394B}" name="Column3089"/>
    <tableColumn id="3097" xr3:uid="{84AAA3F8-B5B7-4146-ABD4-3D6490A3A7C9}" name="Column3090"/>
    <tableColumn id="3098" xr3:uid="{1F0DED72-0D62-46D7-9184-2B0633D5BD9F}" name="Column3091"/>
    <tableColumn id="3099" xr3:uid="{5C273ACE-BEA8-4B67-8255-1DCC1F69FA4B}" name="Column3092"/>
    <tableColumn id="3100" xr3:uid="{77251FD0-F908-4631-995B-8982FEC08B93}" name="Column3093"/>
    <tableColumn id="3101" xr3:uid="{A37738AF-CFD8-41E8-A935-E23C1C5E5562}" name="Column3094"/>
    <tableColumn id="3102" xr3:uid="{9D6839D1-68B3-4D56-B155-CD55438076A5}" name="Column3095"/>
    <tableColumn id="3103" xr3:uid="{25AD85B6-E346-4684-AC49-6915CFE5C2EE}" name="Column3096"/>
    <tableColumn id="3104" xr3:uid="{B22EF696-0B6C-410F-8600-D53EF9CB1235}" name="Column3097"/>
    <tableColumn id="3105" xr3:uid="{B63E57F0-2FD9-4ABA-9865-BBF148ED1AD4}" name="Column3098"/>
    <tableColumn id="3106" xr3:uid="{BE4BA03F-FEEC-444B-A7BB-4FC66A73D67B}" name="Column3099"/>
    <tableColumn id="3107" xr3:uid="{28A4D2C2-5C17-427A-BC5B-B3FFD69778EA}" name="Column3100"/>
    <tableColumn id="3108" xr3:uid="{4F9C9A51-D1D4-4EF3-A425-AD58ABEE05A7}" name="Column3101"/>
    <tableColumn id="3109" xr3:uid="{E57EEC09-4277-46F7-A81D-1D4D8F5FFEEE}" name="Column3102"/>
    <tableColumn id="3110" xr3:uid="{CBC62D6F-61A3-4928-B218-1402366E4271}" name="Column3103"/>
    <tableColumn id="3111" xr3:uid="{CDE3CFAA-8E02-4629-A276-0EE103739502}" name="Column3104"/>
    <tableColumn id="3112" xr3:uid="{0AEF7BF0-62E9-4E55-87D3-9EE8FC08039B}" name="Column3105"/>
    <tableColumn id="3113" xr3:uid="{88D81D55-366C-4953-8C9F-35BE620D3702}" name="Column3106"/>
    <tableColumn id="3114" xr3:uid="{EF4024E1-A1EB-4C66-8399-92D965055E6A}" name="Column3107"/>
    <tableColumn id="3115" xr3:uid="{3EB675FC-EA85-4592-82C8-E3F08A5B777D}" name="Column3108"/>
    <tableColumn id="3116" xr3:uid="{DD2F5330-9E20-479A-B068-6D11A54E2844}" name="Column3109"/>
    <tableColumn id="3117" xr3:uid="{759F5FFB-18F5-49C5-8E26-AE02E2CF85FF}" name="Column3110"/>
    <tableColumn id="3118" xr3:uid="{44AB5510-D165-4A1B-99C8-533B044F6DD3}" name="Column3111"/>
    <tableColumn id="3119" xr3:uid="{D856233B-1037-46B9-BEEB-21724D784080}" name="Column3112"/>
    <tableColumn id="3120" xr3:uid="{5E8F89E6-6E3C-4362-83B0-9375EFAA23D4}" name="Column3113"/>
    <tableColumn id="3121" xr3:uid="{2BCE0F03-612A-4DB5-914A-0CE6D2284B82}" name="Column3114"/>
    <tableColumn id="3122" xr3:uid="{3AF49893-25F2-45DD-B7D0-C28CE766C9DE}" name="Column3115"/>
    <tableColumn id="3123" xr3:uid="{9BA86A82-6A9B-4084-A7DC-2C6E2F00270B}" name="Column3116"/>
    <tableColumn id="3124" xr3:uid="{B05D9F2C-206E-449A-B691-1201F5DC11CC}" name="Column3117"/>
    <tableColumn id="3125" xr3:uid="{B21289F7-B2E8-480F-B2AC-3104B108B7C9}" name="Column3118"/>
    <tableColumn id="3126" xr3:uid="{0FB4F7B9-DD0D-4C70-9D88-83285A04C030}" name="Column3119"/>
    <tableColumn id="3127" xr3:uid="{5C847C19-33EE-4A8E-971A-011E4E7E9933}" name="Column3120"/>
    <tableColumn id="3128" xr3:uid="{A5DC34EA-064E-4980-B1BB-45A051611F22}" name="Column3121"/>
    <tableColumn id="3129" xr3:uid="{5B69FADB-DF08-40E0-83DF-2F31F652B4D0}" name="Column3122"/>
    <tableColumn id="3130" xr3:uid="{C51956F7-DFB4-44E2-A397-DABFDC37B497}" name="Column3123"/>
    <tableColumn id="3131" xr3:uid="{F5E49F96-ECAF-4361-930F-9458B115404A}" name="Column3124"/>
    <tableColumn id="3132" xr3:uid="{D64C9731-3034-42CE-9254-AABEC164F147}" name="Column3125"/>
    <tableColumn id="3133" xr3:uid="{AA2FC524-FE47-474E-B912-236D46601BE3}" name="Column3126"/>
    <tableColumn id="3134" xr3:uid="{270615D5-57C0-444B-8789-5B6624936D4D}" name="Column3127"/>
    <tableColumn id="3135" xr3:uid="{286A9C8A-DBFF-4111-AF5B-84520CD94EB3}" name="Column3128"/>
    <tableColumn id="3136" xr3:uid="{E02A70B7-3BD5-4BC1-892B-9BAFE12FF969}" name="Column3129"/>
    <tableColumn id="3137" xr3:uid="{24C9E30A-FC27-4EEF-B805-6967FB4DEAEA}" name="Column3130"/>
    <tableColumn id="3138" xr3:uid="{D590A432-7746-4711-B132-A84089DC35C4}" name="Column3131"/>
    <tableColumn id="3139" xr3:uid="{0D2B973D-1CA2-44F2-96CA-82B454091CA0}" name="Column3132"/>
    <tableColumn id="3140" xr3:uid="{4E27DF25-2EB4-4971-88D8-7969A62D364D}" name="Column3133"/>
    <tableColumn id="3141" xr3:uid="{0DA71D14-25F8-4D4F-A3C9-91B782611B74}" name="Column3134"/>
    <tableColumn id="3142" xr3:uid="{A0EE2193-2652-4862-AAF0-330B312A7300}" name="Column3135"/>
    <tableColumn id="3143" xr3:uid="{12DCB2DD-166A-4207-B630-4DDC784E1477}" name="Column3136"/>
    <tableColumn id="3144" xr3:uid="{AD6E30E1-F8B1-4C13-B3FF-32C8223F1BC9}" name="Column3137"/>
    <tableColumn id="3145" xr3:uid="{09FD7E37-8D02-4965-9702-424DC81227BE}" name="Column3138"/>
    <tableColumn id="3146" xr3:uid="{D0135015-D7BF-4FE7-9006-4B939AC3C1B5}" name="Column3139"/>
    <tableColumn id="3147" xr3:uid="{D89821A5-C028-4E4E-A336-12D1A7483DF9}" name="Column3140"/>
    <tableColumn id="3148" xr3:uid="{B0BAE630-7229-4DBD-84B9-27A64A86A414}" name="Column3141"/>
    <tableColumn id="3149" xr3:uid="{DD16DEB3-78BD-4374-A31D-40E5D08E6710}" name="Column3142"/>
    <tableColumn id="3150" xr3:uid="{03B640B8-8CD5-4F1A-982E-87FB5FC88910}" name="Column3143"/>
    <tableColumn id="3151" xr3:uid="{BF9660B0-684D-4037-B317-13769CBA7D05}" name="Column3144"/>
    <tableColumn id="3152" xr3:uid="{B1942368-928D-4D24-908B-CB60F39A9E33}" name="Column3145"/>
    <tableColumn id="3153" xr3:uid="{DFB2198C-9CE1-4561-B95A-7ADA7D94DBD8}" name="Column3146"/>
    <tableColumn id="3154" xr3:uid="{B773337B-10F6-4E9A-81FF-2F1939125997}" name="Column3147"/>
    <tableColumn id="3155" xr3:uid="{65DB63CC-D9AC-4B8A-99D1-23F2BD853AF1}" name="Column3148"/>
    <tableColumn id="3156" xr3:uid="{C47F18BF-50CA-4E66-B6AF-A197492AFFAE}" name="Column3149"/>
    <tableColumn id="3157" xr3:uid="{DAAA0E00-0DBB-4034-B69D-25168FEECEC0}" name="Column3150"/>
    <tableColumn id="3158" xr3:uid="{63140273-5150-4E6C-81DC-E639CE7394D7}" name="Column3151"/>
    <tableColumn id="3159" xr3:uid="{55AEB406-0CE8-4452-AEAA-00FCCB4AE7D2}" name="Column3152"/>
    <tableColumn id="3160" xr3:uid="{A8051E26-DA91-4FE1-8F44-CA76DA089840}" name="Column3153"/>
    <tableColumn id="3161" xr3:uid="{A32B16FE-0FC2-413A-BBE4-6F4E51D72E02}" name="Column3154"/>
    <tableColumn id="3162" xr3:uid="{9FAB6ED2-3618-4E98-BB33-D723F7F01EE2}" name="Column3155"/>
    <tableColumn id="3163" xr3:uid="{51E55144-BF67-4AEF-ADB5-666EDFBE2356}" name="Column3156"/>
    <tableColumn id="3164" xr3:uid="{262D88E4-820A-41A4-BD39-D77E8F922755}" name="Column3157"/>
    <tableColumn id="3165" xr3:uid="{CF2D72F2-B567-4BB7-8C33-409755FE91FD}" name="Column3158"/>
    <tableColumn id="3166" xr3:uid="{3E22F4BF-8A30-40A4-B282-9A37C8F0A94A}" name="Column3159"/>
    <tableColumn id="3167" xr3:uid="{719FA684-F095-4CDB-BF50-48A57144514A}" name="Column3160"/>
    <tableColumn id="3168" xr3:uid="{56046168-5E6F-4C02-A812-59399780A2AD}" name="Column3161"/>
    <tableColumn id="3169" xr3:uid="{5D15C947-ACD1-4653-A5AB-19CC6F62C3DA}" name="Column3162"/>
    <tableColumn id="3170" xr3:uid="{1DE85416-6813-4053-80B2-B7A4F2DF5995}" name="Column3163"/>
    <tableColumn id="3171" xr3:uid="{E7D24CAF-401D-4A18-88F5-63DC49EFBB97}" name="Column3164"/>
    <tableColumn id="3172" xr3:uid="{32A70B08-5888-4B43-A063-3D1D9D361418}" name="Column3165"/>
    <tableColumn id="3173" xr3:uid="{F2F5DEB4-35DA-4DB6-B0FA-9C6F12BB9648}" name="Column3166"/>
    <tableColumn id="3174" xr3:uid="{459AA253-15CC-4FB7-BCE4-364619511D6A}" name="Column3167"/>
    <tableColumn id="3175" xr3:uid="{98E0681F-EF5F-4F3F-A67C-519482EA73FB}" name="Column3168"/>
    <tableColumn id="3176" xr3:uid="{F12AA159-5217-48BE-B32C-8160D0C1CBE6}" name="Column3169"/>
    <tableColumn id="3177" xr3:uid="{C469C21E-5AFA-4714-BD62-B727883CDC7C}" name="Column3170"/>
    <tableColumn id="3178" xr3:uid="{ADE09F4C-DB72-4125-AA33-D89A2968A02B}" name="Column3171"/>
    <tableColumn id="3179" xr3:uid="{F09B9800-3107-4C89-8898-C4E5E965D020}" name="Column3172"/>
    <tableColumn id="3180" xr3:uid="{5225B677-3538-4441-B4DB-D445CFBE6D00}" name="Column3173"/>
    <tableColumn id="3181" xr3:uid="{929638B3-87CD-4B73-BE17-D2654A4F7787}" name="Column3174"/>
    <tableColumn id="3182" xr3:uid="{D15E988C-91CE-477E-AA18-49E1124C5BF3}" name="Column3175"/>
    <tableColumn id="3183" xr3:uid="{C67A5B43-BE2A-40D7-8328-3F1E09B59531}" name="Column3176"/>
    <tableColumn id="3184" xr3:uid="{9BA9B3B2-3070-4F2F-9C77-7CCD2563E6E9}" name="Column3177"/>
    <tableColumn id="3185" xr3:uid="{B260B61D-2601-43BF-A4AB-6A30BC22196E}" name="Column3178"/>
    <tableColumn id="3186" xr3:uid="{ED25F82E-9BE2-44C4-8EEC-72270480E4EF}" name="Column3179"/>
    <tableColumn id="3187" xr3:uid="{7EF58DD6-1A5B-48C8-AA46-18AB2DE76F97}" name="Column3180"/>
    <tableColumn id="3188" xr3:uid="{B6382E82-DA63-49AB-B318-8C65BB4004F8}" name="Column3181"/>
    <tableColumn id="3189" xr3:uid="{C3754302-87BE-4C3B-94E5-E8832A99509A}" name="Column3182"/>
    <tableColumn id="3190" xr3:uid="{AE8FF527-8E5A-4389-8694-C702A7B512D5}" name="Column3183"/>
    <tableColumn id="3191" xr3:uid="{CEE876D5-6E6C-4D59-87A3-BEB05B414E44}" name="Column3184"/>
    <tableColumn id="3192" xr3:uid="{45BF0F46-1BC9-47FF-8A43-3156166F8A5D}" name="Column3185"/>
    <tableColumn id="3193" xr3:uid="{E7525894-8CDA-44BD-B61F-08AA7612DE53}" name="Column3186"/>
    <tableColumn id="3194" xr3:uid="{7D4209DE-9F21-4C7B-A654-470CC8D874BE}" name="Column3187"/>
    <tableColumn id="3195" xr3:uid="{6019DA2D-1485-4360-BB71-73ADCC2D99E1}" name="Column3188"/>
    <tableColumn id="3196" xr3:uid="{433CF68A-3126-492F-B826-E7AB2293E7EC}" name="Column3189"/>
    <tableColumn id="3197" xr3:uid="{B5A62146-E1FD-4546-9543-C563EA979A59}" name="Column3190"/>
    <tableColumn id="3198" xr3:uid="{B2C5B195-E3C5-4B03-9F9E-E3880FD5562F}" name="Column3191"/>
    <tableColumn id="3199" xr3:uid="{3C42DD6B-FB64-4D25-9563-6C4865EA14CE}" name="Column3192"/>
    <tableColumn id="3200" xr3:uid="{F4672484-DC5F-4AC1-A761-832E9F43F745}" name="Column3193"/>
    <tableColumn id="3201" xr3:uid="{7F45737B-E747-4C2D-9C4A-A983EFE1463E}" name="Column3194"/>
    <tableColumn id="3202" xr3:uid="{042D5994-4B28-4CC1-B71A-057C5FBDB0ED}" name="Column3195"/>
    <tableColumn id="3203" xr3:uid="{C1056773-2F05-4C39-B5FC-41BC14C0CD45}" name="Column3196"/>
    <tableColumn id="3204" xr3:uid="{A35B5E99-3210-4108-A044-7DE5F55B6B73}" name="Column3197"/>
    <tableColumn id="3205" xr3:uid="{B6800F75-E2DA-4E80-B7DB-B703DA9A2DD2}" name="Column3198"/>
    <tableColumn id="3206" xr3:uid="{CBD501D2-2BB7-44D8-B025-69285D991EB1}" name="Column3199"/>
    <tableColumn id="3207" xr3:uid="{EB934BED-7A8C-47D0-A674-11DDE09183D5}" name="Column3200"/>
    <tableColumn id="3208" xr3:uid="{D8F60529-54AB-41FF-AD92-419905815B22}" name="Column3201"/>
    <tableColumn id="3209" xr3:uid="{936B5354-1A12-44BD-BF95-218CA92E4998}" name="Column3202"/>
    <tableColumn id="3210" xr3:uid="{284AE2CD-356B-44D5-8EEA-89818BBB8BF7}" name="Column3203"/>
    <tableColumn id="3211" xr3:uid="{994337FA-04FE-4938-B0A8-D2F09F7305B6}" name="Column3204"/>
    <tableColumn id="3212" xr3:uid="{74B1696E-AAA8-4FA2-B51C-3CE9F1373382}" name="Column3205"/>
    <tableColumn id="3213" xr3:uid="{A39E4B76-8B82-4838-BC71-972E8A583913}" name="Column3206"/>
    <tableColumn id="3214" xr3:uid="{5095A590-62A8-425D-AB59-8B2AA0CA03EA}" name="Column3207"/>
    <tableColumn id="3215" xr3:uid="{70A7A87F-7A9D-45D9-AFA9-827869332BEA}" name="Column3208"/>
    <tableColumn id="3216" xr3:uid="{27F4D882-8499-42F6-9AA4-1B463BBDBF94}" name="Column3209"/>
    <tableColumn id="3217" xr3:uid="{024346A3-7959-4B24-B2E5-A1CA501EEE66}" name="Column3210"/>
    <tableColumn id="3218" xr3:uid="{3192A141-846D-4784-9775-0FF466725B44}" name="Column3211"/>
    <tableColumn id="3219" xr3:uid="{52F91230-4663-4294-950B-A5ED8370FB81}" name="Column3212"/>
    <tableColumn id="3220" xr3:uid="{425F7DEB-16AE-4632-9ECB-983EF7D75F07}" name="Column3213"/>
    <tableColumn id="3221" xr3:uid="{9E3DA6C0-C654-4280-A03C-361D98D22747}" name="Column3214"/>
    <tableColumn id="3222" xr3:uid="{8112E52C-5818-490C-A829-18F5E50089EC}" name="Column3215"/>
    <tableColumn id="3223" xr3:uid="{DF78B377-A13E-49DF-BF41-1750364FF02A}" name="Column3216"/>
    <tableColumn id="3224" xr3:uid="{A61911E4-0303-4821-9140-D34A7B290F5E}" name="Column3217"/>
    <tableColumn id="3225" xr3:uid="{B4668B60-6D39-4B33-A0A4-1BD956A49567}" name="Column3218"/>
    <tableColumn id="3226" xr3:uid="{31E3EC37-C63D-4CFF-9C12-3E6853662D20}" name="Column3219"/>
    <tableColumn id="3227" xr3:uid="{7034CC26-D82D-485B-B7F3-62B6CCE1A177}" name="Column3220"/>
    <tableColumn id="3228" xr3:uid="{5281ABAB-E05B-4BB5-9CF1-5F0EF80C47B6}" name="Column3221"/>
    <tableColumn id="3229" xr3:uid="{B6666B8A-7CA8-4FD9-A782-BE1E5F66B580}" name="Column3222"/>
    <tableColumn id="3230" xr3:uid="{374E9829-4872-4E82-BE22-6D43EEAD73DC}" name="Column3223"/>
    <tableColumn id="3231" xr3:uid="{2A46CC41-A4CF-4A3A-8A40-D94A93FAD28C}" name="Column3224"/>
    <tableColumn id="3232" xr3:uid="{0F020EBA-17F3-427F-911E-B1085F075A3B}" name="Column3225"/>
    <tableColumn id="3233" xr3:uid="{E6824EE8-4B5A-4C4B-B5A2-905665BF2BCD}" name="Column3226"/>
    <tableColumn id="3234" xr3:uid="{10B127F7-354E-4D1E-B8A5-FFB6BE92CA7D}" name="Column3227"/>
    <tableColumn id="3235" xr3:uid="{A98BB2D5-0C44-481D-AE17-962BB82A9892}" name="Column3228"/>
    <tableColumn id="3236" xr3:uid="{ABDD7965-8C43-4455-8D34-9211B7AC5235}" name="Column3229"/>
    <tableColumn id="3237" xr3:uid="{74A77A1F-CA4C-4092-8881-069622353B9E}" name="Column3230"/>
    <tableColumn id="3238" xr3:uid="{E8C292E5-123E-4411-9C45-713540BFDFAF}" name="Column3231"/>
    <tableColumn id="3239" xr3:uid="{F58D9D64-62AD-48CB-B542-F0B2C666E20F}" name="Column3232"/>
    <tableColumn id="3240" xr3:uid="{A505FD39-BBFF-44D1-BB07-E8C2CF3845D3}" name="Column3233"/>
    <tableColumn id="3241" xr3:uid="{8E7D83B3-737E-4D30-AE72-4A2B97EB8D5C}" name="Column3234"/>
    <tableColumn id="3242" xr3:uid="{38BD1CD7-1F80-441D-8999-49D2C7526B41}" name="Column3235"/>
    <tableColumn id="3243" xr3:uid="{251FFCFF-0FD4-4DB8-B053-2221BB47B75A}" name="Column3236"/>
    <tableColumn id="3244" xr3:uid="{DEE5F519-E52A-4E1F-A89C-7E5438194264}" name="Column3237"/>
    <tableColumn id="3245" xr3:uid="{C502CABC-A5B7-471E-A89F-8F47D274A6D4}" name="Column3238"/>
    <tableColumn id="3246" xr3:uid="{D67173E5-A4E5-47DB-AFA7-6826F267701F}" name="Column3239"/>
    <tableColumn id="3247" xr3:uid="{52E6E9E2-88FF-413F-8003-FD4336EB94C8}" name="Column3240"/>
    <tableColumn id="3248" xr3:uid="{94E02F23-D8F3-414F-9C81-8DC5D712E71B}" name="Column3241"/>
    <tableColumn id="3249" xr3:uid="{F6D26689-390E-4967-BA47-03D52C7F3E90}" name="Column3242"/>
    <tableColumn id="3250" xr3:uid="{BA07D3A7-8A45-49BA-A0C2-7C54FC5CB532}" name="Column3243"/>
    <tableColumn id="3251" xr3:uid="{19BD918A-099B-4D18-B08E-82A43E5B1355}" name="Column3244"/>
    <tableColumn id="3252" xr3:uid="{E66B1342-F50D-49EC-A4F3-591DB0112486}" name="Column3245"/>
    <tableColumn id="3253" xr3:uid="{8ED1CD28-E532-4089-AB42-3D593BEF99CE}" name="Column3246"/>
    <tableColumn id="3254" xr3:uid="{8FEDB82D-3387-47F6-A8AD-5C425167D430}" name="Column3247"/>
    <tableColumn id="3255" xr3:uid="{9581BD70-1E60-4DF6-9D58-90813E87DE80}" name="Column3248"/>
    <tableColumn id="3256" xr3:uid="{F375D1C2-ACB8-48BE-99FE-A4BA469BBC45}" name="Column3249"/>
    <tableColumn id="3257" xr3:uid="{7334A703-C8E9-4364-8114-C15A8BACFDD9}" name="Column3250"/>
    <tableColumn id="3258" xr3:uid="{ECF0B36A-D5F2-4681-A814-62107916B3A8}" name="Column3251"/>
    <tableColumn id="3259" xr3:uid="{CE5CA3D6-7946-4B01-A9C7-CF915E96786A}" name="Column3252"/>
    <tableColumn id="3260" xr3:uid="{9094ABE0-3602-4E1B-B275-CFF77F90591F}" name="Column3253"/>
    <tableColumn id="3261" xr3:uid="{7E523416-B9C2-4F70-AE91-78EC433A9327}" name="Column3254"/>
    <tableColumn id="3262" xr3:uid="{A66EA8AE-ABE6-45ED-B26F-AC804C2B7454}" name="Column3255"/>
    <tableColumn id="3263" xr3:uid="{891CDEBF-DF63-455A-B27B-A88EB415FAB8}" name="Column3256"/>
    <tableColumn id="3264" xr3:uid="{8C38AF25-2B38-45B8-A471-A45B964BC9EC}" name="Column3257"/>
    <tableColumn id="3265" xr3:uid="{574A3561-3B78-4E15-9D7C-B9F19843B363}" name="Column3258"/>
    <tableColumn id="3266" xr3:uid="{EC40368F-2292-4AE3-AAEA-B09DD1511CFA}" name="Column3259"/>
    <tableColumn id="3267" xr3:uid="{37E2959F-27D8-4047-8C48-DBBA900624B5}" name="Column3260"/>
    <tableColumn id="3268" xr3:uid="{9323FEE1-2DDD-45D5-8CBF-C60DFB674AE2}" name="Column3261"/>
    <tableColumn id="3269" xr3:uid="{84D8DE64-1C0F-47F0-B54B-807CABBD9342}" name="Column3262"/>
    <tableColumn id="3270" xr3:uid="{4B52CB63-386A-4FCB-A541-7C785CEE5B76}" name="Column3263"/>
    <tableColumn id="3271" xr3:uid="{9AD57F63-9BA5-44FE-955E-FC14869E180A}" name="Column3264"/>
    <tableColumn id="3272" xr3:uid="{35DA9594-70E9-470B-86F8-3A9B822FF655}" name="Column3265"/>
    <tableColumn id="3273" xr3:uid="{C9314233-0793-4A72-ABC2-D87D093E65ED}" name="Column3266"/>
    <tableColumn id="3274" xr3:uid="{30E1FBFB-42FA-40DD-BF9B-1633BD3028A4}" name="Column3267"/>
    <tableColumn id="3275" xr3:uid="{264346EF-75A9-4642-998C-EA8729020C85}" name="Column3268"/>
    <tableColumn id="3276" xr3:uid="{47D8D402-0693-4252-8506-7D2F127946FA}" name="Column3269"/>
    <tableColumn id="3277" xr3:uid="{9D717877-BA26-4100-901E-82F476EF1FEB}" name="Column3270"/>
    <tableColumn id="3278" xr3:uid="{4D8B3D81-3134-4CA8-B10D-72ED37CEAE8F}" name="Column3271"/>
    <tableColumn id="3279" xr3:uid="{3F085921-9462-4A5B-AD07-F9E1E09FC88C}" name="Column3272"/>
    <tableColumn id="3280" xr3:uid="{DECFCEC3-0B2A-4ABE-82B1-8997A5D58DAF}" name="Column3273"/>
    <tableColumn id="3281" xr3:uid="{CC327405-CA87-4B45-8C57-6460F1FC18E0}" name="Column3274"/>
    <tableColumn id="3282" xr3:uid="{F35A0B6F-96C3-428E-B8CC-917EEE61A6D7}" name="Column3275"/>
    <tableColumn id="3283" xr3:uid="{25DD9DE7-5E5A-44A8-A272-7D2468CC0C10}" name="Column3276"/>
    <tableColumn id="3284" xr3:uid="{6E3122D0-55F2-449B-A215-B11AEC44288C}" name="Column3277"/>
    <tableColumn id="3285" xr3:uid="{693AFF50-B29C-4510-8ACE-48918096DE37}" name="Column3278"/>
    <tableColumn id="3286" xr3:uid="{D51CDA18-3F7A-4613-B93C-50B7AED85360}" name="Column3279"/>
    <tableColumn id="3287" xr3:uid="{4E2417D4-B66F-47E1-A64E-C8D5CEB0D0EA}" name="Column3280"/>
    <tableColumn id="3288" xr3:uid="{92B9CA04-3227-483E-9B13-46A0DB4A67A9}" name="Column3281"/>
    <tableColumn id="3289" xr3:uid="{4C9FAA95-C455-4AA6-994B-A33148EA7DE0}" name="Column3282"/>
    <tableColumn id="3290" xr3:uid="{F37354B7-B014-4A51-BD6E-7283A0F3E3E4}" name="Column3283"/>
    <tableColumn id="3291" xr3:uid="{6B6BF33B-7E57-48E8-B6C4-E4F019174DBA}" name="Column3284"/>
    <tableColumn id="3292" xr3:uid="{E81ED4B3-14D7-4141-A2E2-01E6382001BD}" name="Column3285"/>
    <tableColumn id="3293" xr3:uid="{1E104366-DF23-4D0D-A402-FFE41998CA23}" name="Column3286"/>
    <tableColumn id="3294" xr3:uid="{544CC0D2-ADD2-4082-9C10-8208DB40DF8D}" name="Column3287"/>
    <tableColumn id="3295" xr3:uid="{7F96E8EA-4F3B-4891-B43D-936FF9BA8B75}" name="Column3288"/>
    <tableColumn id="3296" xr3:uid="{FE460308-9470-4AA5-93BD-264373C2E1F1}" name="Column3289"/>
    <tableColumn id="3297" xr3:uid="{982C086A-870D-4EA3-9BC9-EF80723E5923}" name="Column3290"/>
    <tableColumn id="3298" xr3:uid="{2EDF89FA-FDA7-474F-91B9-B215CFDB67C4}" name="Column3291"/>
    <tableColumn id="3299" xr3:uid="{318C86DB-6847-4FF8-AB92-9B74C453457C}" name="Column3292"/>
    <tableColumn id="3300" xr3:uid="{E7AA47D2-8F7F-4D6C-9E85-93EB11C81866}" name="Column3293"/>
    <tableColumn id="3301" xr3:uid="{6EBE6D2E-7490-4155-B710-AD719E5C3920}" name="Column3294"/>
    <tableColumn id="3302" xr3:uid="{10A5F486-1BA8-49D4-849E-E5344F1B9F64}" name="Column3295"/>
    <tableColumn id="3303" xr3:uid="{F50F4392-89EA-4DCE-A094-1BF54EAA441C}" name="Column3296"/>
    <tableColumn id="3304" xr3:uid="{394C4CF1-A910-4571-8DEE-C55C11CF3F9B}" name="Column3297"/>
    <tableColumn id="3305" xr3:uid="{361BE714-5EB2-4C6B-93FA-C7AC8EA5CF6E}" name="Column3298"/>
    <tableColumn id="3306" xr3:uid="{4CA21DB8-6DFD-40B5-B70E-AF113F741BDE}" name="Column3299"/>
    <tableColumn id="3307" xr3:uid="{E22ADA8C-F2E3-4017-BFEB-E584E5A7EF6A}" name="Column3300"/>
    <tableColumn id="3308" xr3:uid="{F7556381-C873-4DFF-8206-571ED20A8C14}" name="Column3301"/>
    <tableColumn id="3309" xr3:uid="{377F5C3A-7616-48F3-BC56-B71452F08C2F}" name="Column3302"/>
    <tableColumn id="3310" xr3:uid="{81926062-CC94-41C0-B131-BB4D839AEA09}" name="Column3303"/>
    <tableColumn id="3311" xr3:uid="{C9CF2F9A-3F4E-4164-B460-0229FA3BE3CC}" name="Column3304"/>
    <tableColumn id="3312" xr3:uid="{D201A82B-638D-4237-ABD0-28B4CB15675B}" name="Column3305"/>
    <tableColumn id="3313" xr3:uid="{2DC0D0F9-D42C-43E7-87D8-80260F1A3F69}" name="Column3306"/>
    <tableColumn id="3314" xr3:uid="{CEF288DB-F96A-46B2-ABA2-F7C5EB7124E7}" name="Column3307"/>
    <tableColumn id="3315" xr3:uid="{C28C9F8E-BB76-4540-B733-B0F087A2C07E}" name="Column3308"/>
    <tableColumn id="3316" xr3:uid="{8236FE24-97B9-426F-B9B3-B7A680E3061D}" name="Column3309"/>
    <tableColumn id="3317" xr3:uid="{095BB858-A917-43C4-907C-DD30FCDD4A24}" name="Column3310"/>
    <tableColumn id="3318" xr3:uid="{3AB7C423-A643-470C-9814-22C16FD737EF}" name="Column3311"/>
    <tableColumn id="3319" xr3:uid="{2FCB8ECF-0668-45CD-B233-D896E3459044}" name="Column3312"/>
    <tableColumn id="3320" xr3:uid="{C622BF85-271E-4DDB-B33F-FFF59082342C}" name="Column3313"/>
    <tableColumn id="3321" xr3:uid="{C45C9198-3460-4363-A85A-1B697D73F970}" name="Column3314"/>
    <tableColumn id="3322" xr3:uid="{73DAE3ED-70FD-4271-9553-AF12F8BFD822}" name="Column3315"/>
    <tableColumn id="3323" xr3:uid="{0427F4DA-AA29-4DDB-BC08-6F0185B96A7E}" name="Column3316"/>
    <tableColumn id="3324" xr3:uid="{70D4C669-FD69-4FE7-B315-642755E673D4}" name="Column3317"/>
    <tableColumn id="3325" xr3:uid="{E9E3CE02-D389-4BA1-8FAA-F0CEB6F5E18E}" name="Column3318"/>
    <tableColumn id="3326" xr3:uid="{73704926-A627-4547-B11F-26093A0C3B99}" name="Column3319"/>
    <tableColumn id="3327" xr3:uid="{C70B81A2-BFA4-4BB0-BE4D-76B353FA9F15}" name="Column3320"/>
    <tableColumn id="3328" xr3:uid="{B1DFCC29-5FDC-44F2-9715-307A392C7A93}" name="Column3321"/>
    <tableColumn id="3329" xr3:uid="{51B8250F-22FB-470E-B019-E9C9EB7CF5D0}" name="Column3322"/>
    <tableColumn id="3330" xr3:uid="{7DAB2724-7883-46DA-A3D9-0282A0E80C4C}" name="Column3323"/>
    <tableColumn id="3331" xr3:uid="{69188BFB-1F9E-4EDF-9DFA-FCCF2EBE7FE7}" name="Column3324"/>
    <tableColumn id="3332" xr3:uid="{710C0D64-8E7C-4A59-AA3C-0E3EDBC3B6AB}" name="Column3325"/>
    <tableColumn id="3333" xr3:uid="{5DF35100-8C91-4B21-9717-BC302ADE6FF3}" name="Column3326"/>
    <tableColumn id="3334" xr3:uid="{6D21FD5F-E18F-4C75-B03A-92A4B81C8E91}" name="Column3327"/>
    <tableColumn id="3335" xr3:uid="{6BC8B627-7443-42B3-8A2F-FED9926EC947}" name="Column3328"/>
    <tableColumn id="3336" xr3:uid="{EBB83CA0-463D-4AF1-9D74-6FD926A79B10}" name="Column3329"/>
    <tableColumn id="3337" xr3:uid="{7373AC6C-0950-4C14-924F-80A683AE15C0}" name="Column3330"/>
    <tableColumn id="3338" xr3:uid="{01F8E844-B7D9-4022-AA4F-12310C36CF12}" name="Column3331"/>
    <tableColumn id="3339" xr3:uid="{5E9FE148-2254-4B2D-B45A-438C89738F64}" name="Column3332"/>
    <tableColumn id="3340" xr3:uid="{550C7390-9135-418E-AB6E-774B297122D8}" name="Column3333"/>
    <tableColumn id="3341" xr3:uid="{5E4CF9D5-13B5-4EB0-8373-48859210A34E}" name="Column3334"/>
    <tableColumn id="3342" xr3:uid="{8391E1AD-5F30-4AE7-98DD-F096B784A646}" name="Column3335"/>
    <tableColumn id="3343" xr3:uid="{874FA578-5ACB-49B4-B6E3-64D9980C70A1}" name="Column3336"/>
    <tableColumn id="3344" xr3:uid="{DFE20340-AC42-47C3-8EE1-8597B66C9D68}" name="Column3337"/>
    <tableColumn id="3345" xr3:uid="{4D29F07A-07B5-49CB-904D-6F29DAE2A6B9}" name="Column3338"/>
    <tableColumn id="3346" xr3:uid="{2AF6BD44-E719-4845-9F30-7A8110556383}" name="Column3339"/>
    <tableColumn id="3347" xr3:uid="{B5DE2B98-40AD-4A27-8FCB-B076E84CDF0B}" name="Column3340"/>
    <tableColumn id="3348" xr3:uid="{71027E51-0305-4BBA-8CCD-3A457A5332AD}" name="Column3341"/>
    <tableColumn id="3349" xr3:uid="{C2586121-14B9-497B-BD8F-9C12B2B1AC4A}" name="Column3342"/>
    <tableColumn id="3350" xr3:uid="{83B55A5B-838F-40BA-8866-B0E647EA003A}" name="Column3343"/>
    <tableColumn id="3351" xr3:uid="{E11E8490-9999-4FA8-9478-AE6B4F1EED51}" name="Column3344"/>
    <tableColumn id="3352" xr3:uid="{F5558DF7-913A-40A0-9D4D-2F188A65B0E3}" name="Column3345"/>
    <tableColumn id="3353" xr3:uid="{AC8146AF-935D-4C9D-AEFE-B19EF4E83F02}" name="Column3346"/>
    <tableColumn id="3354" xr3:uid="{ADC32250-64EB-4684-8B2A-514770DB8A8B}" name="Column3347"/>
    <tableColumn id="3355" xr3:uid="{7EF0D980-4AD5-46A5-84DB-31D2F217B493}" name="Column3348"/>
    <tableColumn id="3356" xr3:uid="{E28CE708-1506-4968-A116-DF0BF8B91F17}" name="Column3349"/>
    <tableColumn id="3357" xr3:uid="{93DD3041-8E8F-4625-8B18-E616D682379D}" name="Column3350"/>
    <tableColumn id="3358" xr3:uid="{0936E332-3B22-4388-952D-D5ABF9896CA6}" name="Column3351"/>
    <tableColumn id="3359" xr3:uid="{55190D0B-D99F-4299-939E-AAADB0D70ADE}" name="Column3352"/>
    <tableColumn id="3360" xr3:uid="{3F44F3A2-EE2A-4CB0-9CF0-8CE29F0A066D}" name="Column3353"/>
    <tableColumn id="3361" xr3:uid="{8200FAF0-A6D2-4AC6-89F1-86777F323C80}" name="Column3354"/>
    <tableColumn id="3362" xr3:uid="{E2D0A2C7-1A72-43F5-9566-74149EBC24D4}" name="Column3355"/>
    <tableColumn id="3363" xr3:uid="{73395D8A-3D19-4E0D-A101-742988A6CF74}" name="Column3356"/>
    <tableColumn id="3364" xr3:uid="{FF2CA9C3-0E71-4C2F-87AE-3F9BF70B4A58}" name="Column3357"/>
    <tableColumn id="3365" xr3:uid="{5A255399-3F11-43A1-978A-AEB44BFD886D}" name="Column3358"/>
    <tableColumn id="3366" xr3:uid="{0458CE43-C0CA-43E3-9A27-C4D46FC730A2}" name="Column3359"/>
    <tableColumn id="3367" xr3:uid="{7374165B-BBB8-49C5-A298-743863C1689D}" name="Column3360"/>
    <tableColumn id="3368" xr3:uid="{214E5F80-D76F-4F4D-A964-1B1265E001B6}" name="Column3361"/>
    <tableColumn id="3369" xr3:uid="{11AC6F3C-6970-45D1-BADC-5FBBB1DC51F9}" name="Column3362"/>
    <tableColumn id="3370" xr3:uid="{2A3565DF-49F7-4FD5-B075-0F1270B74154}" name="Column3363"/>
    <tableColumn id="3371" xr3:uid="{2F819BB6-55F6-4111-8B80-C56644C8C319}" name="Column3364"/>
    <tableColumn id="3372" xr3:uid="{713460B5-7A18-4BDB-9B6F-136CEAA78E4B}" name="Column3365"/>
    <tableColumn id="3373" xr3:uid="{C1DEF20C-521E-4B24-B60A-8ABA16DA334F}" name="Column3366"/>
    <tableColumn id="3374" xr3:uid="{1F0EC408-DFFE-4646-B70F-93EF6F3A2887}" name="Column3367"/>
    <tableColumn id="3375" xr3:uid="{A5CE2BB0-FF46-4321-9244-76AF303C909E}" name="Column3368"/>
    <tableColumn id="3376" xr3:uid="{B991010F-0B15-4088-9D58-9FEA622671A4}" name="Column3369"/>
    <tableColumn id="3377" xr3:uid="{9CC14F54-17B7-4337-A802-E213B87F26CB}" name="Column3370"/>
    <tableColumn id="3378" xr3:uid="{4082C2FD-8FCE-4DF0-ADC7-48251892C3EA}" name="Column3371"/>
    <tableColumn id="3379" xr3:uid="{EEB899F0-DEB4-4611-BED9-298C63C0EC01}" name="Column3372"/>
    <tableColumn id="3380" xr3:uid="{D02829A7-BCAE-40F2-B8DD-4BF6F12293A8}" name="Column3373"/>
    <tableColumn id="3381" xr3:uid="{2E8BE186-5AD8-4E02-BDD1-01EF033FF300}" name="Column3374"/>
    <tableColumn id="3382" xr3:uid="{59ADA412-FBA0-441C-86FB-B1517F27B4A8}" name="Column3375"/>
    <tableColumn id="3383" xr3:uid="{B5C1FB46-8D6B-4A38-A93E-0AA936E32CF7}" name="Column3376"/>
    <tableColumn id="3384" xr3:uid="{E3F01BF1-9E96-45AF-806D-F829115D6876}" name="Column3377"/>
    <tableColumn id="3385" xr3:uid="{AD500013-7641-4E12-987A-C6103764E3E8}" name="Column3378"/>
    <tableColumn id="3386" xr3:uid="{9D865AC5-F084-4242-A8CF-CF1C89E838EE}" name="Column3379"/>
    <tableColumn id="3387" xr3:uid="{548D7962-B5AD-4D69-A147-FA28718F2809}" name="Column3380"/>
    <tableColumn id="3388" xr3:uid="{A055F124-B5B0-4BAC-81A8-884800433F7D}" name="Column3381"/>
    <tableColumn id="3389" xr3:uid="{90C4CD49-09BC-4E13-8DB2-B3593CE59B1E}" name="Column3382"/>
    <tableColumn id="3390" xr3:uid="{F216297B-034F-4225-9113-6A61C662A604}" name="Column3383"/>
    <tableColumn id="3391" xr3:uid="{B0882B42-6456-436D-8848-BD18A7BF572F}" name="Column3384"/>
    <tableColumn id="3392" xr3:uid="{0EAEB70B-B810-4562-9788-EA468611DB8E}" name="Column3385"/>
    <tableColumn id="3393" xr3:uid="{BD411DEB-B027-4FA3-A222-5336C28D11BD}" name="Column3386"/>
    <tableColumn id="3394" xr3:uid="{B1C20AFE-A807-49BB-B07C-6CE6FF4A8750}" name="Column3387"/>
    <tableColumn id="3395" xr3:uid="{BCBFDB8B-5DB1-485B-81A8-711DC4CC9B44}" name="Column3388"/>
    <tableColumn id="3396" xr3:uid="{835CCCCE-3193-452D-A2B5-894C9879AF96}" name="Column3389"/>
    <tableColumn id="3397" xr3:uid="{F5CD7252-50A5-4D9F-997A-3FFBA6B16909}" name="Column3390"/>
    <tableColumn id="3398" xr3:uid="{9D2E0014-F325-4D9A-89CC-CB7BEECF3D32}" name="Column3391"/>
    <tableColumn id="3399" xr3:uid="{27023620-FE5C-449E-AFC1-78F95991163B}" name="Column3392"/>
    <tableColumn id="3400" xr3:uid="{646365EF-2CC0-4EFF-8834-78D02B8DDEB2}" name="Column3393"/>
    <tableColumn id="3401" xr3:uid="{160D2454-346A-4B9E-898B-C2BE1CC3F641}" name="Column3394"/>
    <tableColumn id="3402" xr3:uid="{F000D919-2905-45E6-A8B3-87E3BCA44728}" name="Column3395"/>
    <tableColumn id="3403" xr3:uid="{D69DE7A8-E562-41E0-9CB9-3E7814B80FBD}" name="Column3396"/>
    <tableColumn id="3404" xr3:uid="{5B4FF406-8FC3-4023-A59E-9CA67E6699D8}" name="Column3397"/>
    <tableColumn id="3405" xr3:uid="{A973E3DC-E317-48E2-A778-CA2F633421C6}" name="Column3398"/>
    <tableColumn id="3406" xr3:uid="{7FBD2F17-43A5-410E-8FCF-29079F4F0945}" name="Column3399"/>
    <tableColumn id="3407" xr3:uid="{C993FE49-9718-45DC-B6E7-F948299589A7}" name="Column3400"/>
    <tableColumn id="3408" xr3:uid="{76367ED0-53AE-4525-A61C-1386A447CCFA}" name="Column3401"/>
    <tableColumn id="3409" xr3:uid="{6EF13AE7-BA1E-4A40-9E41-C0DD9A2CA59E}" name="Column3402"/>
    <tableColumn id="3410" xr3:uid="{49B49D7A-E423-4E34-AC0C-027F5473FF44}" name="Column3403"/>
    <tableColumn id="3411" xr3:uid="{77CD9274-1C16-49D4-98FF-7A736FB88D5F}" name="Column3404"/>
    <tableColumn id="3412" xr3:uid="{5741F93E-E205-4855-91ED-6C78B6974422}" name="Column3405"/>
    <tableColumn id="3413" xr3:uid="{5038A05C-7D6B-47F9-A6D7-2CD6C073003E}" name="Column3406"/>
    <tableColumn id="3414" xr3:uid="{6A1365A8-478D-43AE-B051-BA3B3E38AF04}" name="Column3407"/>
    <tableColumn id="3415" xr3:uid="{DCEECEB1-88D6-4ECC-9BB6-B9235822DB50}" name="Column3408"/>
    <tableColumn id="3416" xr3:uid="{6CE676F1-58F5-4D6E-8DB3-C112ABB31CFB}" name="Column3409"/>
    <tableColumn id="3417" xr3:uid="{3A2FD72E-94C2-4F86-87B1-23A789D1684F}" name="Column3410"/>
    <tableColumn id="3418" xr3:uid="{F07059A9-AADE-49AA-A0E8-9DD26399E475}" name="Column3411"/>
    <tableColumn id="3419" xr3:uid="{2F44A478-CDC6-484D-BE71-A54DFE62780C}" name="Column3412"/>
    <tableColumn id="3420" xr3:uid="{648E6F5E-8C1F-4618-AF62-45A13C20AA67}" name="Column3413"/>
    <tableColumn id="3421" xr3:uid="{636DC207-D53F-4DA7-AD27-0AC79DAF8BBE}" name="Column3414"/>
    <tableColumn id="3422" xr3:uid="{AC506D56-5BB8-4DC5-A00E-17FF1521CD50}" name="Column3415"/>
    <tableColumn id="3423" xr3:uid="{CFCF66A6-9D92-4DF3-943A-3B5ED7F4FF19}" name="Column3416"/>
    <tableColumn id="3424" xr3:uid="{97BA141A-C93C-4957-AFEB-323E35108BB9}" name="Column3417"/>
    <tableColumn id="3425" xr3:uid="{1E558A52-A0BA-4901-AE9F-E9415B6E5E97}" name="Column3418"/>
    <tableColumn id="3426" xr3:uid="{57A74ECC-3B5C-4E62-B75D-F17B53BBB03E}" name="Column3419"/>
    <tableColumn id="3427" xr3:uid="{A447DE2A-DF4D-4A78-B3F2-CAD3DF9702A0}" name="Column3420"/>
    <tableColumn id="3428" xr3:uid="{6F74F10B-8359-4BD1-A75C-EE9015DBC35B}" name="Column3421"/>
    <tableColumn id="3429" xr3:uid="{D0B83744-727A-419E-AD8D-3BF3BE244807}" name="Column3422"/>
    <tableColumn id="3430" xr3:uid="{1BF007DA-ACAE-48E6-B3AD-4DD098BFB22A}" name="Column3423"/>
    <tableColumn id="3431" xr3:uid="{F6B1F0DA-013E-4BA7-9B80-D803ECB9F051}" name="Column3424"/>
    <tableColumn id="3432" xr3:uid="{A2168CA9-50C9-4484-B21B-C08D11584115}" name="Column3425"/>
    <tableColumn id="3433" xr3:uid="{B45A761D-EFBC-4462-A30B-A0E5251D568B}" name="Column3426"/>
    <tableColumn id="3434" xr3:uid="{C66A7782-5907-4E5C-AECC-27A3C0872949}" name="Column3427"/>
    <tableColumn id="3435" xr3:uid="{0093CA28-C149-4B35-9A1E-1BE17E1512AE}" name="Column3428"/>
    <tableColumn id="3436" xr3:uid="{3996DE58-FEA2-4F79-BEB4-09B2FE75B0DB}" name="Column3429"/>
    <tableColumn id="3437" xr3:uid="{46D13609-F81F-4F4F-ACBD-9EE74E5DC5CB}" name="Column3430"/>
    <tableColumn id="3438" xr3:uid="{DD1613A8-0C61-443B-846E-5AFB54601787}" name="Column3431"/>
    <tableColumn id="3439" xr3:uid="{B3BC9B8D-2C35-4DCD-8977-9C8A3A09D30A}" name="Column3432"/>
    <tableColumn id="3440" xr3:uid="{0D624AE3-C7FC-44DD-A27B-8B2C5620E02A}" name="Column3433"/>
    <tableColumn id="3441" xr3:uid="{4BA883A5-2FDA-424C-9712-FA9BD0C46846}" name="Column3434"/>
    <tableColumn id="3442" xr3:uid="{178C4834-6BDC-474D-93CE-B3B00EB2D532}" name="Column3435"/>
    <tableColumn id="3443" xr3:uid="{955242DD-585A-46BB-A7BE-42C824C36A30}" name="Column3436"/>
    <tableColumn id="3444" xr3:uid="{6F4137ED-BB20-476C-B39A-F1DC2A87734E}" name="Column3437"/>
    <tableColumn id="3445" xr3:uid="{17B42FB1-47C4-4DDA-9251-BA625C2D39FB}" name="Column3438"/>
    <tableColumn id="3446" xr3:uid="{4A9752E4-D293-401E-8C1A-6D46E9092EF4}" name="Column3439"/>
    <tableColumn id="3447" xr3:uid="{B709BEBA-B9BD-43E7-9DE8-5BE2B41C46BE}" name="Column3440"/>
    <tableColumn id="3448" xr3:uid="{AFC9168D-F653-4C8B-8AB1-3C3A4E98F9DD}" name="Column3441"/>
    <tableColumn id="3449" xr3:uid="{2A22F450-79C5-4DB8-9DB1-3CE7F82E485D}" name="Column3442"/>
    <tableColumn id="3450" xr3:uid="{4DC4FD39-1BF1-4A57-830C-DC8922ED3424}" name="Column3443"/>
    <tableColumn id="3451" xr3:uid="{C870296B-8FD8-42E5-B973-E323BA652D6E}" name="Column3444"/>
    <tableColumn id="3452" xr3:uid="{E6BF1573-6F3F-4D08-B4FC-ECCE67975A21}" name="Column3445"/>
    <tableColumn id="3453" xr3:uid="{8DB2E123-026F-4223-972F-560F853BBBB9}" name="Column3446"/>
    <tableColumn id="3454" xr3:uid="{63B1089E-6490-4BD0-AE11-B9D9DC344A6A}" name="Column3447"/>
    <tableColumn id="3455" xr3:uid="{7CA76AC5-A4CD-4BBF-B8CF-E7EAC99D93EF}" name="Column3448"/>
    <tableColumn id="3456" xr3:uid="{359D1B51-179E-4112-9129-3E41EA49544A}" name="Column3449"/>
    <tableColumn id="3457" xr3:uid="{6CEEC349-7F6B-4140-87F3-B1274ADC3C8C}" name="Column3450"/>
    <tableColumn id="3458" xr3:uid="{6224F671-17DC-4DD0-A79D-3915E3B0EF9B}" name="Column3451"/>
    <tableColumn id="3459" xr3:uid="{FFCFE8A3-0999-4D55-AE3A-637DDD6BB171}" name="Column3452"/>
    <tableColumn id="3460" xr3:uid="{7D5EBFA5-7721-47A7-89DC-891392F13F0B}" name="Column3453"/>
    <tableColumn id="3461" xr3:uid="{16959E15-A7BA-48B9-B616-BDD613C3FE5A}" name="Column3454"/>
    <tableColumn id="3462" xr3:uid="{EB8CDEC5-5236-47AB-94DE-A8EB8CB79A16}" name="Column3455"/>
    <tableColumn id="3463" xr3:uid="{3E6B4A62-95B5-4843-90CA-C76CBA3666A5}" name="Column3456"/>
    <tableColumn id="3464" xr3:uid="{8E71D5E5-B2B4-4638-87BB-062D53A730F5}" name="Column3457"/>
    <tableColumn id="3465" xr3:uid="{932DB85D-5F25-42F9-916B-B21FA9D40837}" name="Column3458"/>
    <tableColumn id="3466" xr3:uid="{49917579-0F09-469E-9C96-AAFA412F589F}" name="Column3459"/>
    <tableColumn id="3467" xr3:uid="{7CD51F2C-661E-47C1-8C7F-22867E6C2541}" name="Column3460"/>
    <tableColumn id="3468" xr3:uid="{1DC344A6-A774-4D88-9E9A-6F1EF0EE5261}" name="Column3461"/>
    <tableColumn id="3469" xr3:uid="{6E1ACC78-B2B9-4D1D-A40F-D47590C84D48}" name="Column3462"/>
    <tableColumn id="3470" xr3:uid="{55C83F08-FDA9-4A0B-87E5-3014C0460070}" name="Column3463"/>
    <tableColumn id="3471" xr3:uid="{0EDA9651-BD8B-479C-A0D2-290375EA0702}" name="Column3464"/>
    <tableColumn id="3472" xr3:uid="{9A40DA45-1037-4F49-8E48-AEA6287BB9B5}" name="Column3465"/>
    <tableColumn id="3473" xr3:uid="{1F663008-81EE-49A9-8FC6-E614E2864D4C}" name="Column3466"/>
    <tableColumn id="3474" xr3:uid="{7E8C21A9-CCA2-461D-AE86-B9410ED8F5D6}" name="Column3467"/>
    <tableColumn id="3475" xr3:uid="{C70CD3EB-D81F-4422-9852-BCF187AEB80C}" name="Column3468"/>
    <tableColumn id="3476" xr3:uid="{78B53793-903A-47B8-B907-58D572B650FE}" name="Column3469"/>
    <tableColumn id="3477" xr3:uid="{8FA8AFDC-E298-4F88-9E38-9C103ECD4F86}" name="Column3470"/>
    <tableColumn id="3478" xr3:uid="{90FF286B-E82D-46D6-8F80-589F32752494}" name="Column3471"/>
    <tableColumn id="3479" xr3:uid="{E0A1C0F3-837E-42E5-930E-7A3537C55E73}" name="Column3472"/>
    <tableColumn id="3480" xr3:uid="{9ECAA1BB-C891-475A-ADC0-21306E9BF39F}" name="Column3473"/>
    <tableColumn id="3481" xr3:uid="{71A87D25-FA50-4DED-95D7-9FDC8CD1F28E}" name="Column3474"/>
    <tableColumn id="3482" xr3:uid="{F6D146F0-B311-4639-86AB-5FABC9C87C50}" name="Column3475"/>
    <tableColumn id="3483" xr3:uid="{5CBF3BA0-F884-493D-95EA-C0EAB991177E}" name="Column3476"/>
    <tableColumn id="3484" xr3:uid="{A7A8EF03-B3EE-471B-A018-CC5525A82861}" name="Column3477"/>
    <tableColumn id="3485" xr3:uid="{483073C3-0512-4840-93E3-9BABF83B94CE}" name="Column3478"/>
    <tableColumn id="3486" xr3:uid="{D214ED41-1F68-40BB-AF91-103173352415}" name="Column3479"/>
    <tableColumn id="3487" xr3:uid="{D30209E9-0B87-4FB0-B8A6-ABD31FDE7A6B}" name="Column3480"/>
    <tableColumn id="3488" xr3:uid="{4445CAFD-51F6-42F2-976E-311DE0ED8C9C}" name="Column3481"/>
    <tableColumn id="3489" xr3:uid="{CBEF0D72-3CFB-4238-85A0-9A95462DA65A}" name="Column3482"/>
    <tableColumn id="3490" xr3:uid="{A4B980B0-B3CD-457D-92AA-297C7D5CE267}" name="Column3483"/>
    <tableColumn id="3491" xr3:uid="{529FD9D9-4653-4C17-862E-6518B9D8C376}" name="Column3484"/>
    <tableColumn id="3492" xr3:uid="{29DCCAD0-BAC1-4960-90FE-2D0245A70907}" name="Column3485"/>
    <tableColumn id="3493" xr3:uid="{D3D2E30E-DC2B-41B8-8614-053ED3406CFD}" name="Column3486"/>
    <tableColumn id="3494" xr3:uid="{003B6C1A-1AD2-4F42-9C77-1F86C909A380}" name="Column3487"/>
    <tableColumn id="3495" xr3:uid="{FD6DA987-9E95-48B2-9385-F794EE4602BA}" name="Column3488"/>
    <tableColumn id="3496" xr3:uid="{D24F4C75-7FFA-4E5D-A43C-9EC8D8FC1587}" name="Column3489"/>
    <tableColumn id="3497" xr3:uid="{DBD59446-3924-41AB-93B7-C90CAA40DAA5}" name="Column3490"/>
    <tableColumn id="3498" xr3:uid="{43ADAE0B-AE1B-40B2-A12B-67BD5C0CB700}" name="Column3491"/>
    <tableColumn id="3499" xr3:uid="{D25025EC-C5E7-4A6D-8006-3F290146A00A}" name="Column3492"/>
    <tableColumn id="3500" xr3:uid="{507CE4D9-72FB-49C6-9F6D-72D2CC6D9EA6}" name="Column3493"/>
    <tableColumn id="3501" xr3:uid="{5618974C-FFE0-47B4-9F5E-659CC576794A}" name="Column3494"/>
    <tableColumn id="3502" xr3:uid="{DE164B10-C999-434A-8C20-349FA7499A71}" name="Column3495"/>
    <tableColumn id="3503" xr3:uid="{9DB3FE53-71C2-4EF1-893C-4BBFFA2466FF}" name="Column3496"/>
    <tableColumn id="3504" xr3:uid="{7C7F674C-8E22-480D-8136-7A50F315BB02}" name="Column3497"/>
    <tableColumn id="3505" xr3:uid="{AE1279F1-FB2D-4EE8-9D7F-5C1492E4BDDF}" name="Column3498"/>
    <tableColumn id="3506" xr3:uid="{521AB93D-6D26-44B8-AEBE-F1247B6BDBD2}" name="Column3499"/>
    <tableColumn id="3507" xr3:uid="{09C89D19-C4A9-4BF4-890A-C26DB2D1E59F}" name="Column3500"/>
    <tableColumn id="3508" xr3:uid="{CF67B98D-B345-4703-942E-0F97A275338B}" name="Column3501"/>
    <tableColumn id="3509" xr3:uid="{AA46A9CB-9D34-43BC-B4B0-F0CE1CA50B96}" name="Column3502"/>
    <tableColumn id="3510" xr3:uid="{3267CFE3-2A3A-4F8E-B455-89B69A1FE38C}" name="Column3503"/>
    <tableColumn id="3511" xr3:uid="{454E06EE-2435-4742-B9CC-12D21FB9F4AE}" name="Column3504"/>
    <tableColumn id="3512" xr3:uid="{C9FCF54F-2126-421B-8756-84B58DA2E064}" name="Column3505"/>
    <tableColumn id="3513" xr3:uid="{E5B1B177-7574-44A4-8CFF-1096B5D6999B}" name="Column3506"/>
    <tableColumn id="3514" xr3:uid="{4637BD51-42CD-4187-B005-23B99E7CD82F}" name="Column3507"/>
    <tableColumn id="3515" xr3:uid="{E2E1A6BB-EBB6-498B-A4D1-B129F0F58E4F}" name="Column3508"/>
    <tableColumn id="3516" xr3:uid="{E764665C-18F1-4918-B903-45741AC80C7C}" name="Column3509"/>
    <tableColumn id="3517" xr3:uid="{00E0F20B-8D6F-4250-A5DC-64148A3F2EBF}" name="Column3510"/>
    <tableColumn id="3518" xr3:uid="{72F0386B-B9E9-4F06-B001-111A5F0A0B71}" name="Column3511"/>
    <tableColumn id="3519" xr3:uid="{C8219079-E7F7-44CD-A41A-1CF2DB93B8C0}" name="Column3512"/>
    <tableColumn id="3520" xr3:uid="{4E610F53-D1D2-4DFD-A26A-BAE81269BA02}" name="Column3513"/>
    <tableColumn id="3521" xr3:uid="{91099739-C5FD-4125-9664-30311BB59C1B}" name="Column3514"/>
    <tableColumn id="3522" xr3:uid="{ACDA2FEE-94C2-43E9-B47D-41775127C19D}" name="Column3515"/>
    <tableColumn id="3523" xr3:uid="{039D50FC-13D5-4A82-B85E-34951C8A8115}" name="Column3516"/>
    <tableColumn id="3524" xr3:uid="{0F10EBAB-0D33-4BD7-9846-5DC061752C75}" name="Column3517"/>
    <tableColumn id="3525" xr3:uid="{AA8643AB-304E-4CA3-ABE1-12FA0435D17A}" name="Column3518"/>
    <tableColumn id="3526" xr3:uid="{5BF8A782-8802-4A6B-AF72-CDD28C9F3BA6}" name="Column3519"/>
    <tableColumn id="3527" xr3:uid="{3B3D8662-1153-44A8-85CF-319F64688009}" name="Column3520"/>
    <tableColumn id="3528" xr3:uid="{489C1E10-C1CA-4C0B-AD9E-678F70B67BFF}" name="Column3521"/>
    <tableColumn id="3529" xr3:uid="{1A46612C-272D-4CFE-974B-A4779B472737}" name="Column3522"/>
    <tableColumn id="3530" xr3:uid="{39C55D95-C420-426A-B5BD-8876E46AF481}" name="Column3523"/>
    <tableColumn id="3531" xr3:uid="{4F2C1A75-8A7A-47A1-8772-137566653849}" name="Column3524"/>
    <tableColumn id="3532" xr3:uid="{32C4A757-C810-47D6-AC1A-C7BB7CE1F78D}" name="Column3525"/>
    <tableColumn id="3533" xr3:uid="{A755469F-9BCD-485C-A8F4-9CE76052CF74}" name="Column3526"/>
    <tableColumn id="3534" xr3:uid="{4DBD3CE4-A3B4-4881-86DB-771AC1B4B2E1}" name="Column3527"/>
    <tableColumn id="3535" xr3:uid="{91A85174-AFB7-40CF-9FD9-5CEFACCE45B5}" name="Column3528"/>
    <tableColumn id="3536" xr3:uid="{1F980011-68E5-42DE-8BA6-252BA72006C5}" name="Column3529"/>
    <tableColumn id="3537" xr3:uid="{BB56A14E-A5D7-4D85-A7B7-EE769BE0B06D}" name="Column3530"/>
    <tableColumn id="3538" xr3:uid="{C9E41DF2-7C78-43B4-903C-E9010B6EFAF6}" name="Column3531"/>
    <tableColumn id="3539" xr3:uid="{F4E8F128-D52B-4610-8AA1-D3324A63761F}" name="Column3532"/>
    <tableColumn id="3540" xr3:uid="{70E97556-1167-4514-823F-7BAB85C0A388}" name="Column3533"/>
    <tableColumn id="3541" xr3:uid="{5F63E393-EB74-4FC6-BF16-347E92DF7613}" name="Column3534"/>
    <tableColumn id="3542" xr3:uid="{F2B206C7-E497-4ACA-96E3-10563F2E2BF4}" name="Column3535"/>
    <tableColumn id="3543" xr3:uid="{E703B985-7D72-4D7A-9A09-A79D5B06EC97}" name="Column3536"/>
    <tableColumn id="3544" xr3:uid="{8AF3F561-2CE0-4DD4-B83F-C6A45C45B40D}" name="Column3537"/>
    <tableColumn id="3545" xr3:uid="{ECCAEEF5-F0F5-495C-BE37-9EDA76456C19}" name="Column3538"/>
    <tableColumn id="3546" xr3:uid="{F57D9BA8-7EA7-482D-B3E3-A7227FD81693}" name="Column3539"/>
    <tableColumn id="3547" xr3:uid="{70ED2C76-6128-4436-9A24-B9E7F1BAD380}" name="Column3540"/>
    <tableColumn id="3548" xr3:uid="{BCDC4B24-694F-4CCD-89ED-A17CE5776BF3}" name="Column3541"/>
    <tableColumn id="3549" xr3:uid="{D6B35FFD-6E18-4FFB-AA76-3321C95A8BFF}" name="Column3542"/>
    <tableColumn id="3550" xr3:uid="{622FFE3B-E3EA-4388-A9DE-42A2D62013DA}" name="Column3543"/>
    <tableColumn id="3551" xr3:uid="{AADC3E88-D239-428C-878F-10D8B4BE45DA}" name="Column3544"/>
    <tableColumn id="3552" xr3:uid="{416D98CF-5D31-4ABD-8888-72BF795DEFE7}" name="Column3545"/>
    <tableColumn id="3553" xr3:uid="{A2746DAE-CB5F-4607-92D5-6FEAB4AA1547}" name="Column3546"/>
    <tableColumn id="3554" xr3:uid="{6877374B-F90E-4E9E-B65C-29F7FE6E467B}" name="Column3547"/>
    <tableColumn id="3555" xr3:uid="{20EFCFC2-DBFA-4DCA-90BD-C631B839F0EA}" name="Column3548"/>
    <tableColumn id="3556" xr3:uid="{DB1E0329-1FB5-4ACA-855C-DEB5C8C9AA1F}" name="Column3549"/>
    <tableColumn id="3557" xr3:uid="{2B8C398A-8F34-44F3-BC05-82327B7012EC}" name="Column3550"/>
    <tableColumn id="3558" xr3:uid="{1E8F8A91-4B78-4B4E-9CFE-CE3DE15B16C8}" name="Column3551"/>
    <tableColumn id="3559" xr3:uid="{6E61298C-3E81-482E-ACA9-84E7A02F756D}" name="Column3552"/>
    <tableColumn id="3560" xr3:uid="{C821C3D0-E969-47D4-A368-ABB82AEAB8F8}" name="Column3553"/>
    <tableColumn id="3561" xr3:uid="{03D7553C-CFCF-41C4-9014-3C8E1E10210D}" name="Column3554"/>
    <tableColumn id="3562" xr3:uid="{8AAEF2D7-96BA-4B53-917D-77BF32768255}" name="Column3555"/>
    <tableColumn id="3563" xr3:uid="{9CFEB070-F102-41C3-A696-4AC2B802A912}" name="Column3556"/>
    <tableColumn id="3564" xr3:uid="{B7408764-6E0C-47D4-A247-D376E2EA4CEA}" name="Column3557"/>
    <tableColumn id="3565" xr3:uid="{2C5E9E87-868F-4077-A4D2-45B17AC88D53}" name="Column3558"/>
    <tableColumn id="3566" xr3:uid="{6F44B49B-A849-4E5B-99F7-3CB7B1E111BD}" name="Column3559"/>
    <tableColumn id="3567" xr3:uid="{FD3EEFD5-A9FD-427A-A3E2-65C86E820477}" name="Column3560"/>
    <tableColumn id="3568" xr3:uid="{A1AA89A7-51C1-4FAC-8B38-FE2CA40E1356}" name="Column3561"/>
    <tableColumn id="3569" xr3:uid="{46F617E8-204B-4F66-816D-F4DC6C213998}" name="Column3562"/>
    <tableColumn id="3570" xr3:uid="{2E40198B-745A-424F-870D-9E9BBF79AE6E}" name="Column3563"/>
    <tableColumn id="3571" xr3:uid="{80A1AB74-5EA7-46FC-8BAA-9FC2AF13B2EE}" name="Column3564"/>
    <tableColumn id="3572" xr3:uid="{28B34C7E-AAC4-498F-B136-F72E8D480B18}" name="Column3565"/>
    <tableColumn id="3573" xr3:uid="{9CE5EC4E-BA4A-4E05-9ED4-4690845E1221}" name="Column3566"/>
    <tableColumn id="3574" xr3:uid="{8B50EF7B-15E9-4BBD-A952-DED4A2C79671}" name="Column3567"/>
    <tableColumn id="3575" xr3:uid="{3BD94859-F9EA-4DBF-A285-608E43C452A6}" name="Column3568"/>
    <tableColumn id="3576" xr3:uid="{29FACD84-B8E0-44FF-9900-A14EC4A82D3D}" name="Column3569"/>
    <tableColumn id="3577" xr3:uid="{5AA268E5-DBF9-42F7-A410-E2C1F61F72B2}" name="Column3570"/>
    <tableColumn id="3578" xr3:uid="{4D5415C8-F078-4A37-ACCE-3C76AEC9241B}" name="Column3571"/>
    <tableColumn id="3579" xr3:uid="{F9FD3F27-C2D5-41DA-944B-3F62A1086C30}" name="Column3572"/>
    <tableColumn id="3580" xr3:uid="{40AA0BAB-2275-4E9E-A627-955092C01B2C}" name="Column3573"/>
    <tableColumn id="3581" xr3:uid="{722D7081-1BA8-441F-8232-6114A0B44A80}" name="Column3574"/>
    <tableColumn id="3582" xr3:uid="{236FF223-9FDF-4FB7-A61F-FC981371CBE7}" name="Column3575"/>
    <tableColumn id="3583" xr3:uid="{74B36368-AA7E-45F2-9FD7-240FF9E4930F}" name="Column3576"/>
    <tableColumn id="3584" xr3:uid="{F959C7A1-5A48-4800-8DAB-5401055A26DF}" name="Column3577"/>
    <tableColumn id="3585" xr3:uid="{6D977080-EF67-4FD9-9F13-5B845FA816CA}" name="Column3578"/>
    <tableColumn id="3586" xr3:uid="{BDE11021-3C6A-485A-B629-3F1A6D252197}" name="Column3579"/>
    <tableColumn id="3587" xr3:uid="{2271974E-9557-40B8-B323-5490108E0592}" name="Column3580"/>
    <tableColumn id="3588" xr3:uid="{F3CA9CC4-54E4-404C-BF3F-8CA52622D67A}" name="Column3581"/>
    <tableColumn id="3589" xr3:uid="{ACBCB64D-174B-4831-BC04-5F3B1D3D7242}" name="Column3582"/>
    <tableColumn id="3590" xr3:uid="{28BA06E7-54E3-4113-9346-D8BA5A06E186}" name="Column3583"/>
    <tableColumn id="3591" xr3:uid="{62F6BE3D-EB8D-43AE-B58C-835DA7BCC830}" name="Column3584"/>
    <tableColumn id="3592" xr3:uid="{A50C1DD9-1D4F-46D2-A799-1A56E16098B3}" name="Column3585"/>
    <tableColumn id="3593" xr3:uid="{72854039-79F0-4ABA-A34B-6F9C2F1A3B01}" name="Column3586"/>
    <tableColumn id="3594" xr3:uid="{AB798EEC-F8DD-4108-B2E0-3EA423290EEF}" name="Column3587"/>
    <tableColumn id="3595" xr3:uid="{4B3A1EE6-A127-46E8-9FA4-19CD2F93DF07}" name="Column3588"/>
    <tableColumn id="3596" xr3:uid="{396D9678-82F1-4A0C-9E2D-DBAA5C5C21E4}" name="Column3589"/>
    <tableColumn id="3597" xr3:uid="{E362D217-1574-4228-9075-DEDD904B4942}" name="Column3590"/>
    <tableColumn id="3598" xr3:uid="{DD291041-2744-4C0E-84FF-D094501B0A44}" name="Column3591"/>
    <tableColumn id="3599" xr3:uid="{DD909500-A2EA-4FF2-B59E-A9BAD99900F5}" name="Column3592"/>
    <tableColumn id="3600" xr3:uid="{03D9582D-7AB8-43D0-B775-2C327337743C}" name="Column3593"/>
    <tableColumn id="3601" xr3:uid="{3B23F2FD-A9A3-4B74-9522-2B9AAE6705AC}" name="Column3594"/>
    <tableColumn id="3602" xr3:uid="{659E219B-6799-4BED-8CD6-ABF21D798263}" name="Column3595"/>
    <tableColumn id="3603" xr3:uid="{5759E661-580A-4465-BBA5-6BAC9DB7BA4A}" name="Column3596"/>
    <tableColumn id="3604" xr3:uid="{37263290-E797-4DE2-8984-1DE6C0FA582A}" name="Column3597"/>
    <tableColumn id="3605" xr3:uid="{612EC166-4E62-47EC-8192-D323D45EF514}" name="Column3598"/>
    <tableColumn id="3606" xr3:uid="{57321FFF-673B-4658-A9DF-297A7DC668D1}" name="Column3599"/>
    <tableColumn id="3607" xr3:uid="{FA15BD8F-46E8-480A-B941-B99538CBC307}" name="Column3600"/>
    <tableColumn id="3608" xr3:uid="{F11B151B-1B58-4262-93A5-7B83176CA86F}" name="Column3601"/>
    <tableColumn id="3609" xr3:uid="{2395806C-0430-4BA0-B9F3-7B5CCE15D615}" name="Column3602"/>
    <tableColumn id="3610" xr3:uid="{C3391F59-9803-4C42-98C4-7FE0A0076BAF}" name="Column3603"/>
    <tableColumn id="3611" xr3:uid="{01088A65-27D8-490C-A604-2901F4397B0D}" name="Column3604"/>
    <tableColumn id="3612" xr3:uid="{DDEAD012-D41B-4360-9B1B-99948A5F0689}" name="Column3605"/>
    <tableColumn id="3613" xr3:uid="{6C13968C-4187-400C-84CF-BB1981FE7E61}" name="Column3606"/>
    <tableColumn id="3614" xr3:uid="{3CDED885-11E4-4AB9-B90A-F592B04485F7}" name="Column3607"/>
    <tableColumn id="3615" xr3:uid="{0B4E8D6E-FC91-4CB9-BB04-D3F0FA167CBE}" name="Column3608"/>
    <tableColumn id="3616" xr3:uid="{0E4A90AD-5565-4638-B7E7-0F520390C3FB}" name="Column3609"/>
    <tableColumn id="3617" xr3:uid="{CF842C96-93DB-4350-9FFF-F24F687B282D}" name="Column3610"/>
    <tableColumn id="3618" xr3:uid="{F469AB5F-2174-49E8-9813-6D7844EDCC0D}" name="Column3611"/>
    <tableColumn id="3619" xr3:uid="{D268630B-B89A-4B1E-9BA7-6FC4567BBE75}" name="Column3612"/>
    <tableColumn id="3620" xr3:uid="{8280533D-B542-4785-AEE2-D03CE94BAAEA}" name="Column3613"/>
    <tableColumn id="3621" xr3:uid="{3D8D8742-D39C-41DF-9DB7-CFC66D8CA917}" name="Column3614"/>
    <tableColumn id="3622" xr3:uid="{4355DD46-E535-4EC9-992A-DDAE2F6FC21D}" name="Column3615"/>
    <tableColumn id="3623" xr3:uid="{125B09B8-E628-4009-9036-820B57612956}" name="Column3616"/>
    <tableColumn id="3624" xr3:uid="{35930E74-F2CA-47DC-B5A9-68D0D21EBD4D}" name="Column3617"/>
    <tableColumn id="3625" xr3:uid="{37F841C3-17C5-4FD4-AD76-2FC8A57917EE}" name="Column3618"/>
    <tableColumn id="3626" xr3:uid="{DBDBC606-A63A-412D-8C5D-EF1FBB4B2A52}" name="Column3619"/>
    <tableColumn id="3627" xr3:uid="{D921E543-D9AF-454E-A14C-E8A4DC4CE5EC}" name="Column3620"/>
    <tableColumn id="3628" xr3:uid="{0016671F-B8D7-477B-9F72-A34C3B5744BF}" name="Column3621"/>
    <tableColumn id="3629" xr3:uid="{A2289CDF-442F-4C98-AB5D-4EE36999AF54}" name="Column3622"/>
    <tableColumn id="3630" xr3:uid="{288A2E7B-D6DA-4E57-A15D-49B9DEA8F6DC}" name="Column3623"/>
    <tableColumn id="3631" xr3:uid="{27728B98-BB9C-429E-9F65-2FB4CE46B9C8}" name="Column3624"/>
    <tableColumn id="3632" xr3:uid="{B1AB4536-879E-4DB0-B594-CFAFC8F32411}" name="Column3625"/>
    <tableColumn id="3633" xr3:uid="{F2495C31-6C79-4192-A309-654C4DA6CBA9}" name="Column3626"/>
    <tableColumn id="3634" xr3:uid="{C7022B47-CFA4-4054-A88D-CC1E6A0C5A8C}" name="Column3627"/>
    <tableColumn id="3635" xr3:uid="{7F5AF8F9-FEC3-4FE4-B564-AD3A18E01834}" name="Column3628"/>
    <tableColumn id="3636" xr3:uid="{6952AB2A-5234-4D70-BF51-358A03D17A3A}" name="Column3629"/>
    <tableColumn id="3637" xr3:uid="{5824DDE6-BAEA-46C4-818F-0BC075B188D5}" name="Column3630"/>
    <tableColumn id="3638" xr3:uid="{EE954535-A49B-4C30-9194-A36A1C429550}" name="Column3631"/>
    <tableColumn id="3639" xr3:uid="{40206732-4AA8-4ABF-B180-09A882BB2419}" name="Column3632"/>
    <tableColumn id="3640" xr3:uid="{3CD85788-6B67-4D39-99B9-815BF110472B}" name="Column3633"/>
    <tableColumn id="3641" xr3:uid="{8AC73A93-38EB-460D-B233-E5A89E9C03AB}" name="Column3634"/>
    <tableColumn id="3642" xr3:uid="{CFBCDD75-91E6-4869-9BF2-DB00C15FA1D5}" name="Column3635"/>
    <tableColumn id="3643" xr3:uid="{D18D45A1-1386-4CF5-99DF-3FBDFB11711F}" name="Column3636"/>
    <tableColumn id="3644" xr3:uid="{C0D633B1-DDD7-4CA4-B2A5-F9B717579A75}" name="Column3637"/>
    <tableColumn id="3645" xr3:uid="{58D37793-4DE9-4474-B228-C2B02516C3E8}" name="Column3638"/>
    <tableColumn id="3646" xr3:uid="{8B3C022F-EF9D-4CED-98F2-B292242E15D2}" name="Column3639"/>
    <tableColumn id="3647" xr3:uid="{00EA542F-8CD0-4DE1-9735-286E6E13B6B2}" name="Column3640"/>
    <tableColumn id="3648" xr3:uid="{2DDD8D37-917C-46CA-8EE4-F1AC49E48B24}" name="Column3641"/>
    <tableColumn id="3649" xr3:uid="{C0BAEB51-1A3A-46FF-BD36-B3022634EB48}" name="Column3642"/>
    <tableColumn id="3650" xr3:uid="{963ED3F1-ABBA-49E5-8116-ABA062B8D954}" name="Column3643"/>
    <tableColumn id="3651" xr3:uid="{C6335261-FE90-47EC-A92B-66BAE7717FD6}" name="Column3644"/>
    <tableColumn id="3652" xr3:uid="{9D89D860-4C0E-4460-90DA-4D1D975A4D82}" name="Column3645"/>
    <tableColumn id="3653" xr3:uid="{FEF37C87-BB73-40F2-A890-E606B8466E2F}" name="Column3646"/>
    <tableColumn id="3654" xr3:uid="{E1D95969-F353-4F71-8BA7-6A5F8E0FA75B}" name="Column3647"/>
    <tableColumn id="3655" xr3:uid="{8AA792DB-8EA0-4289-BA6F-A5E5AED29B66}" name="Column3648"/>
    <tableColumn id="3656" xr3:uid="{3A0E459B-10E9-4C28-9F86-7E772B59EC36}" name="Column3649"/>
    <tableColumn id="3657" xr3:uid="{D6B21A57-6EF5-45C5-8D97-0F4971557410}" name="Column3650"/>
    <tableColumn id="3658" xr3:uid="{18947948-5F3D-40A1-BA60-98FDDC10D0FD}" name="Column3651"/>
    <tableColumn id="3659" xr3:uid="{9973DAB0-C21D-4669-9E06-C5B6803425AD}" name="Column3652"/>
    <tableColumn id="3660" xr3:uid="{C1B088E9-9CD9-483F-984F-3B70B49D2BC8}" name="Column3653"/>
    <tableColumn id="3661" xr3:uid="{34FFDED9-2653-4ED1-AC5C-BFCE40741AA5}" name="Column3654"/>
    <tableColumn id="3662" xr3:uid="{5141141B-6C72-4862-A0FB-78C8286AAB45}" name="Column3655"/>
    <tableColumn id="3663" xr3:uid="{78AA5EA3-FFB2-409D-8F5D-69D5FFBA546D}" name="Column3656"/>
    <tableColumn id="3664" xr3:uid="{6EF66F4F-1635-459A-A716-0A4F41454779}" name="Column3657"/>
    <tableColumn id="3665" xr3:uid="{25D433E1-8851-40E9-9DDF-492D721AEDFC}" name="Column3658"/>
    <tableColumn id="3666" xr3:uid="{FEBF4FF3-64B3-4F81-B994-5465DEE1DF16}" name="Column3659"/>
    <tableColumn id="3667" xr3:uid="{5C60872E-4AB7-47B1-90CD-EF41B3C5DDE0}" name="Column3660"/>
    <tableColumn id="3668" xr3:uid="{8701DBE6-C840-43DE-AF1E-54DD10F5A3B8}" name="Column3661"/>
    <tableColumn id="3669" xr3:uid="{D32CBD9C-37D1-40D9-B0E0-A773D9CC662A}" name="Column3662"/>
    <tableColumn id="3670" xr3:uid="{90AF748F-DF6D-483F-98B2-D88288526619}" name="Column3663"/>
    <tableColumn id="3671" xr3:uid="{A5B1A017-4855-4ACC-96DC-06DBC203071C}" name="Column3664"/>
    <tableColumn id="3672" xr3:uid="{0DDD4879-7750-4F2F-A678-1BBE82938F18}" name="Column3665"/>
    <tableColumn id="3673" xr3:uid="{E7E37DBD-49D0-42DD-B6C0-DD327BFC5994}" name="Column3666"/>
    <tableColumn id="3674" xr3:uid="{88E5FA61-96E4-41A9-85FF-554BA99CC2A6}" name="Column3667"/>
    <tableColumn id="3675" xr3:uid="{13F7BF15-EADF-4D32-B59D-76787446D8B8}" name="Column3668"/>
    <tableColumn id="3676" xr3:uid="{8B2A33A9-C255-4E12-8184-F8DAC9D14877}" name="Column3669"/>
    <tableColumn id="3677" xr3:uid="{143D574A-CEF8-41BF-9115-77306E22B763}" name="Column3670"/>
    <tableColumn id="3678" xr3:uid="{A1679C23-7DA1-49F9-94F9-98E54D46FA42}" name="Column3671"/>
    <tableColumn id="3679" xr3:uid="{0EF9D896-973B-46DD-AF56-8FB18CDE86BC}" name="Column3672"/>
    <tableColumn id="3680" xr3:uid="{248F7B92-2F29-4C2C-922F-155208BDA170}" name="Column3673"/>
    <tableColumn id="3681" xr3:uid="{B0641D0B-C62E-4E5A-99E5-04EC3E72AA7B}" name="Column3674"/>
    <tableColumn id="3682" xr3:uid="{AED4CBF6-5279-43A7-A0B2-77FAAC030485}" name="Column3675"/>
    <tableColumn id="3683" xr3:uid="{019007A8-B81A-42B7-8F2C-321AB4360359}" name="Column3676"/>
    <tableColumn id="3684" xr3:uid="{6A71D83D-D9D2-45F0-B29A-5F32CD71182A}" name="Column3677"/>
    <tableColumn id="3685" xr3:uid="{194E08A3-71CB-4F8B-BB39-3056965339DB}" name="Column3678"/>
    <tableColumn id="3686" xr3:uid="{AD0E5174-BFD4-43FF-8862-BA0860A5F1B8}" name="Column3679"/>
    <tableColumn id="3687" xr3:uid="{FF501307-9186-4E4C-A2F8-324E40AA6AC7}" name="Column3680"/>
    <tableColumn id="3688" xr3:uid="{9303FDD8-6905-432E-B33E-D3441CCEC673}" name="Column3681"/>
    <tableColumn id="3689" xr3:uid="{751143F0-986B-4B3F-B231-53D4E21A867D}" name="Column3682"/>
    <tableColumn id="3690" xr3:uid="{0AA6D5E8-5774-49DB-99E2-19CFA1BC65C4}" name="Column3683"/>
    <tableColumn id="3691" xr3:uid="{6DF219EC-E7A2-4010-8718-3B0DE5F81ED9}" name="Column3684"/>
    <tableColumn id="3692" xr3:uid="{E47581D2-9BA9-4E27-AFBD-4AD471AFF6AA}" name="Column3685"/>
    <tableColumn id="3693" xr3:uid="{BD66A325-D961-49EF-8C01-18BAD63EE521}" name="Column3686"/>
    <tableColumn id="3694" xr3:uid="{1BA4FB03-98AE-4E94-A2DF-1AFA84912A61}" name="Column3687"/>
    <tableColumn id="3695" xr3:uid="{8B2D8051-8DCD-4FC2-B0BB-7CF50E4C5D00}" name="Column3688"/>
    <tableColumn id="3696" xr3:uid="{C4F801A5-CCCA-409E-9772-1C3D884FBA9A}" name="Column3689"/>
    <tableColumn id="3697" xr3:uid="{E17D5453-A99B-4115-9980-5EF8752D43BA}" name="Column3690"/>
    <tableColumn id="3698" xr3:uid="{E3791B6F-AF3E-48BE-9006-01B51BB1A91B}" name="Column3691"/>
    <tableColumn id="3699" xr3:uid="{3E1F9706-0C00-44DD-B6CA-CA370B3D11BA}" name="Column3692"/>
    <tableColumn id="3700" xr3:uid="{76B0D91F-A9CA-4389-8454-568D7E0980C1}" name="Column3693"/>
    <tableColumn id="3701" xr3:uid="{47F44F79-2096-460A-BC9B-FFE0291C7CDC}" name="Column3694"/>
    <tableColumn id="3702" xr3:uid="{64656E20-8D56-4481-B4E6-1BC6469CC40D}" name="Column3695"/>
    <tableColumn id="3703" xr3:uid="{8FECAF97-89B3-4E68-817C-12EEED1898A6}" name="Column3696"/>
    <tableColumn id="3704" xr3:uid="{CCDF35C9-68F5-4731-88A1-3F634D2A4F6C}" name="Column3697"/>
    <tableColumn id="3705" xr3:uid="{90352046-1F80-40DF-A980-6E51DF962A15}" name="Column3698"/>
    <tableColumn id="3706" xr3:uid="{BC3833AC-6703-453B-93D1-0D65EB76D271}" name="Column3699"/>
    <tableColumn id="3707" xr3:uid="{1C8AE121-F679-46A2-894B-F3902AB612B6}" name="Column3700"/>
    <tableColumn id="3708" xr3:uid="{DB0B1125-C29A-49C0-B9A4-B23964AAEF83}" name="Column3701"/>
    <tableColumn id="3709" xr3:uid="{7ED66557-68EC-49D2-9396-D89926033F88}" name="Column3702"/>
    <tableColumn id="3710" xr3:uid="{B178744F-832F-42E5-82E8-C7BA7F365178}" name="Column3703"/>
    <tableColumn id="3711" xr3:uid="{10E4393F-5B85-4F0C-B2CE-FE827514E295}" name="Column3704"/>
    <tableColumn id="3712" xr3:uid="{541A9D59-54CD-4372-A8DC-0C2A6DC6CBE6}" name="Column3705"/>
    <tableColumn id="3713" xr3:uid="{78112A06-9DA4-4B2A-A5AE-26E450024254}" name="Column3706"/>
    <tableColumn id="3714" xr3:uid="{742A9109-D0AF-4ABA-B771-6902F55C2033}" name="Column3707"/>
    <tableColumn id="3715" xr3:uid="{F44A64EB-D9B4-4FBF-9A32-271CF8A47536}" name="Column3708"/>
    <tableColumn id="3716" xr3:uid="{C31301BB-870B-42C0-B527-FBAEB88558B5}" name="Column3709"/>
    <tableColumn id="3717" xr3:uid="{03367CDB-1D27-4ED3-AECB-A2F88134F309}" name="Column3710"/>
    <tableColumn id="3718" xr3:uid="{115F0022-2289-4180-AC25-1AB3C98BE39D}" name="Column3711"/>
    <tableColumn id="3719" xr3:uid="{86764655-1879-4BF2-A5A2-5627E10AB133}" name="Column3712"/>
    <tableColumn id="3720" xr3:uid="{4103FFFD-081E-43C0-B8FC-83BF697C7E2C}" name="Column3713"/>
    <tableColumn id="3721" xr3:uid="{B9680C8E-071B-4CBB-9A9A-C0ABDDD15647}" name="Column3714"/>
    <tableColumn id="3722" xr3:uid="{F2A69172-5705-46DC-BA49-4169E7403709}" name="Column3715"/>
    <tableColumn id="3723" xr3:uid="{2E0F94D6-2F60-4D98-A784-C679B17A24CD}" name="Column3716"/>
    <tableColumn id="3724" xr3:uid="{DEA802FB-5E61-4BF2-BC85-E4B8B4340370}" name="Column3717"/>
    <tableColumn id="3725" xr3:uid="{40915A8A-F920-4BC2-8596-693E08731DD1}" name="Column3718"/>
    <tableColumn id="3726" xr3:uid="{4B37B054-644B-4E9A-AEC8-216B7B28325A}" name="Column3719"/>
    <tableColumn id="3727" xr3:uid="{0CBF8701-84BF-48DA-A378-E7CE03920B5D}" name="Column3720"/>
    <tableColumn id="3728" xr3:uid="{0DFBA5E1-E841-4A2E-BFDF-82BF2FB9A249}" name="Column3721"/>
    <tableColumn id="3729" xr3:uid="{E8AFC432-A774-4FB9-9B2E-CC3023C34380}" name="Column3722"/>
    <tableColumn id="3730" xr3:uid="{74F63284-153D-4853-B042-4C706EB16270}" name="Column3723"/>
    <tableColumn id="3731" xr3:uid="{DCEC94D1-11D8-4741-9EE3-EB0F868FED80}" name="Column3724"/>
    <tableColumn id="3732" xr3:uid="{C9B07055-2371-4CB2-9571-A1BD626A04B9}" name="Column3725"/>
    <tableColumn id="3733" xr3:uid="{30822762-DBDD-40EF-92E0-CA0B31449040}" name="Column3726"/>
    <tableColumn id="3734" xr3:uid="{6327666C-8242-432D-8570-EA814783155B}" name="Column3727"/>
    <tableColumn id="3735" xr3:uid="{A5ADF101-FD3F-43FF-8F0F-22E35BF4D6D1}" name="Column3728"/>
    <tableColumn id="3736" xr3:uid="{D00B6840-C459-4069-9C27-21DA1D34E53A}" name="Column3729"/>
    <tableColumn id="3737" xr3:uid="{E9E71234-45C9-4922-B92C-C2E700593EEA}" name="Column3730"/>
    <tableColumn id="3738" xr3:uid="{A17C6E63-EB2A-4AE5-9803-7A7471355C1F}" name="Column3731"/>
    <tableColumn id="3739" xr3:uid="{EE29C1FF-5C45-4B75-92B7-6DD96B44AA96}" name="Column3732"/>
    <tableColumn id="3740" xr3:uid="{E42BFF78-43AD-420C-B4E4-32C056C8265C}" name="Column3733"/>
    <tableColumn id="3741" xr3:uid="{29B3E47E-EF3B-49E1-AF77-FBB6DB4E0A21}" name="Column3734"/>
    <tableColumn id="3742" xr3:uid="{1008AE15-BB44-4F80-BAAA-31B05A9992C0}" name="Column3735"/>
    <tableColumn id="3743" xr3:uid="{9A0D4EFE-0F77-4E41-9AEB-78F41A4614DF}" name="Column3736"/>
    <tableColumn id="3744" xr3:uid="{8F831946-DF38-41A5-A7EA-B8D4CF7F244B}" name="Column3737"/>
    <tableColumn id="3745" xr3:uid="{9C44D9CD-B716-4DE6-BC37-9BC9681905CE}" name="Column3738"/>
    <tableColumn id="3746" xr3:uid="{8937414E-DCB7-455F-8D97-8D89FF087073}" name="Column3739"/>
    <tableColumn id="3747" xr3:uid="{1349976A-C70C-4478-AF29-79A8114A4870}" name="Column3740"/>
    <tableColumn id="3748" xr3:uid="{97062643-0F14-45A0-B075-872CA4AF3781}" name="Column3741"/>
    <tableColumn id="3749" xr3:uid="{3302D02F-627A-4DD0-A475-213FE15C24F8}" name="Column3742"/>
    <tableColumn id="3750" xr3:uid="{D925F725-E05D-4ED8-B767-5DD876B6B843}" name="Column3743"/>
    <tableColumn id="3751" xr3:uid="{12D2D0A1-DCD7-4EED-815E-536090953536}" name="Column3744"/>
    <tableColumn id="3752" xr3:uid="{1CF80E74-DA86-43AC-B129-57C392EE7A88}" name="Column3745"/>
    <tableColumn id="3753" xr3:uid="{A92DDDB6-3064-4DFF-B4FA-2C9D4003F065}" name="Column3746"/>
    <tableColumn id="3754" xr3:uid="{C2D54615-CF31-4F6C-AB7F-C2CB8C767CE8}" name="Column3747"/>
    <tableColumn id="3755" xr3:uid="{BD3259D8-F2E3-4A25-9CE7-2741314BDC08}" name="Column3748"/>
    <tableColumn id="3756" xr3:uid="{BCDC3DAD-9684-448A-BD3A-488C3B9C7D09}" name="Column3749"/>
    <tableColumn id="3757" xr3:uid="{F63F68A0-60D6-4776-B0D8-D4734816AB60}" name="Column3750"/>
    <tableColumn id="3758" xr3:uid="{18237CA9-1237-4E6F-8E33-ABB0E9CB6D08}" name="Column3751"/>
    <tableColumn id="3759" xr3:uid="{996309C7-22B6-4EE4-B86F-5844E64AFAE6}" name="Column3752"/>
    <tableColumn id="3760" xr3:uid="{01D836A8-D609-4724-B057-A7058DBD4E2A}" name="Column3753"/>
    <tableColumn id="3761" xr3:uid="{589261D4-45F9-40B4-9DF0-0CD3DF9234CD}" name="Column3754"/>
    <tableColumn id="3762" xr3:uid="{A4C5755E-013C-4E34-BD20-C1490494F4FA}" name="Column3755"/>
    <tableColumn id="3763" xr3:uid="{0BD44B97-49A9-45CC-BCC4-CA997E560021}" name="Column3756"/>
    <tableColumn id="3764" xr3:uid="{2947D118-8195-47AC-A227-90CCCAC499BA}" name="Column3757"/>
    <tableColumn id="3765" xr3:uid="{55D97E4A-2CF8-4DD0-B9B0-083243F90CC3}" name="Column3758"/>
    <tableColumn id="3766" xr3:uid="{A7A1EE40-7DBC-4880-9D8C-D6373D6ED901}" name="Column3759"/>
    <tableColumn id="3767" xr3:uid="{64970638-6990-46E2-9E92-8D6C70E86893}" name="Column3760"/>
    <tableColumn id="3768" xr3:uid="{63B6F0EF-8C9C-48A4-804F-890F27E794ED}" name="Column3761"/>
    <tableColumn id="3769" xr3:uid="{C94D2140-1276-4CA5-AE5F-75CE663885CA}" name="Column3762"/>
    <tableColumn id="3770" xr3:uid="{562F178B-2D67-4B59-AE06-F4C94795EFCE}" name="Column3763"/>
    <tableColumn id="3771" xr3:uid="{A4E7F8FA-4C1B-4E81-A0FF-232A911350DB}" name="Column3764"/>
    <tableColumn id="3772" xr3:uid="{02D0F1A3-80EE-4C9D-86FE-980F7A273ABD}" name="Column3765"/>
    <tableColumn id="3773" xr3:uid="{27E2DD51-F75F-4405-BD58-173A87773632}" name="Column3766"/>
    <tableColumn id="3774" xr3:uid="{6A54916F-7A16-4C49-9EBB-B400DA706F80}" name="Column3767"/>
    <tableColumn id="3775" xr3:uid="{379C6E29-C224-4FE2-B7C1-05DF103F08F8}" name="Column3768"/>
    <tableColumn id="3776" xr3:uid="{5A9E62F2-29DE-4B8E-8B88-9B4334F2C545}" name="Column3769"/>
    <tableColumn id="3777" xr3:uid="{84AE6B28-899D-4C71-B5F2-4FFD5D9C3303}" name="Column3770"/>
    <tableColumn id="3778" xr3:uid="{F27F3906-D106-47D9-A17D-3FFED4219D05}" name="Column3771"/>
    <tableColumn id="3779" xr3:uid="{B79160AF-BABD-4069-B069-A5CB847E2719}" name="Column3772"/>
    <tableColumn id="3780" xr3:uid="{3633E540-D9C0-43D0-92DA-0042BF369489}" name="Column3773"/>
    <tableColumn id="3781" xr3:uid="{A86888AA-2B13-4E5F-A50E-DE904D7483B9}" name="Column3774"/>
    <tableColumn id="3782" xr3:uid="{1089E27C-27E7-4956-8261-E14B98941F49}" name="Column3775"/>
    <tableColumn id="3783" xr3:uid="{346D458A-9D6D-4E01-AD6B-DC53194878E3}" name="Column3776"/>
    <tableColumn id="3784" xr3:uid="{EF3F05AB-8718-4ECF-9157-968737840DEE}" name="Column3777"/>
    <tableColumn id="3785" xr3:uid="{776D96F1-7A0D-4EEC-819D-EB60CA0FA48A}" name="Column3778"/>
    <tableColumn id="3786" xr3:uid="{E46D5A0E-754F-4445-AE7F-1A3FC33CCA18}" name="Column3779"/>
    <tableColumn id="3787" xr3:uid="{BA9B4BBC-52FC-428A-A805-254E5B2DDFA3}" name="Column3780"/>
    <tableColumn id="3788" xr3:uid="{E54216B4-7B2E-4EDC-A86E-4DF3565F99F9}" name="Column3781"/>
    <tableColumn id="3789" xr3:uid="{A964AF95-43A6-4EC3-89FE-0D132F73B7CE}" name="Column3782"/>
    <tableColumn id="3790" xr3:uid="{A392F03D-2C86-46A1-922A-BC0CD1EE5C32}" name="Column3783"/>
    <tableColumn id="3791" xr3:uid="{1E6B0062-38B8-4323-AA4B-C227E40CE56E}" name="Column3784"/>
    <tableColumn id="3792" xr3:uid="{F716749E-B147-4EFB-B4BB-74D3E16B4DA7}" name="Column3785"/>
    <tableColumn id="3793" xr3:uid="{F76C4284-3405-457C-A211-D23208645E6B}" name="Column3786"/>
    <tableColumn id="3794" xr3:uid="{E8758E01-4037-4F4F-BFDE-5F25A164972B}" name="Column3787"/>
    <tableColumn id="3795" xr3:uid="{63DAC79A-1EF3-40E0-B343-75C4C3972B96}" name="Column3788"/>
    <tableColumn id="3796" xr3:uid="{1FF1A64C-FED6-4935-B156-37D1F3EE50C6}" name="Column3789"/>
    <tableColumn id="3797" xr3:uid="{03D2B526-7EE1-43DB-8067-8DC06912AE23}" name="Column3790"/>
    <tableColumn id="3798" xr3:uid="{0317F2F7-3005-4B2D-A044-733F55E9FCF5}" name="Column3791"/>
    <tableColumn id="3799" xr3:uid="{F6F7E061-A3E9-4A9C-9A31-CD27FB54FB34}" name="Column3792"/>
    <tableColumn id="3800" xr3:uid="{F167C51A-46B8-4EC5-AFFA-41A295BED4F2}" name="Column3793"/>
    <tableColumn id="3801" xr3:uid="{A3155C02-BAC8-4FB8-8305-0537C013CDFF}" name="Column3794"/>
    <tableColumn id="3802" xr3:uid="{EDBAE12A-5B95-4B76-9DF9-F8325D4378C5}" name="Column3795"/>
    <tableColumn id="3803" xr3:uid="{C93326F3-FD38-457C-A9C3-2F5265BF7C7C}" name="Column3796"/>
    <tableColumn id="3804" xr3:uid="{9BAC4717-69EE-4A28-8192-799CBC608241}" name="Column3797"/>
    <tableColumn id="3805" xr3:uid="{E4E656ED-9637-4556-B03C-7F47AFC7F962}" name="Column3798"/>
    <tableColumn id="3806" xr3:uid="{AE423D7E-5C14-4992-8544-6341C7EB17C9}" name="Column3799"/>
    <tableColumn id="3807" xr3:uid="{A4084960-14A7-420C-BB1D-2D9422A7660A}" name="Column3800"/>
    <tableColumn id="3808" xr3:uid="{B3D42DF3-2D8F-4091-B143-F07FE228A66E}" name="Column3801"/>
    <tableColumn id="3809" xr3:uid="{8EFB317D-3A73-4946-B0D7-3CB60C6874E0}" name="Column3802"/>
    <tableColumn id="3810" xr3:uid="{9D11397D-C611-4852-90D0-4DB0B80593DC}" name="Column3803"/>
    <tableColumn id="3811" xr3:uid="{A7D37C44-BA95-4DE1-AA47-1FF4570571D7}" name="Column3804"/>
    <tableColumn id="3812" xr3:uid="{DF32C2E6-1465-4DA4-A038-D9DE50AF47CA}" name="Column3805"/>
    <tableColumn id="3813" xr3:uid="{3A001EE9-A4F6-4D07-B035-90D2556ED45D}" name="Column3806"/>
    <tableColumn id="3814" xr3:uid="{19A0B6E1-D8C1-48DC-BBFD-02C02B282500}" name="Column3807"/>
    <tableColumn id="3815" xr3:uid="{0B4F78D2-B556-4BA0-81B8-7F1FFFEFAEC8}" name="Column3808"/>
    <tableColumn id="3816" xr3:uid="{2E8081E7-1C36-4406-8939-71E2E2D2B4A7}" name="Column3809"/>
    <tableColumn id="3817" xr3:uid="{FD73E041-63F9-4935-87D2-8AA7F53E35FC}" name="Column3810"/>
    <tableColumn id="3818" xr3:uid="{7C0ABE31-1756-4564-8CC8-E3A45B14614A}" name="Column3811"/>
    <tableColumn id="3819" xr3:uid="{2D1F6FF9-04D1-467E-B815-243B2B8A47BF}" name="Column3812"/>
    <tableColumn id="3820" xr3:uid="{0D4618EE-6155-4234-9C36-037A63BD4C8B}" name="Column3813"/>
    <tableColumn id="3821" xr3:uid="{DD7CB2E6-2A04-42FB-B145-900CD5E1D413}" name="Column3814"/>
    <tableColumn id="3822" xr3:uid="{03E4BEB9-C3D3-4F68-A956-D6EABABBE5D9}" name="Column3815"/>
    <tableColumn id="3823" xr3:uid="{6B2796CF-BAFB-4316-BD2F-B4F0562106CA}" name="Column3816"/>
    <tableColumn id="3824" xr3:uid="{2BAE2340-8EAA-4C7B-99A7-82AA4D8BF3C8}" name="Column3817"/>
    <tableColumn id="3825" xr3:uid="{62AB7433-6ADC-4DD7-B6C9-AA761975DCF3}" name="Column3818"/>
    <tableColumn id="3826" xr3:uid="{A7C1D3CA-9243-4000-A019-71AB61D5A1E5}" name="Column3819"/>
    <tableColumn id="3827" xr3:uid="{41E4BE07-4DC4-442C-BA45-A87B63DAE079}" name="Column3820"/>
    <tableColumn id="3828" xr3:uid="{3C9280E8-C615-49D8-A553-24074D6CA65E}" name="Column3821"/>
    <tableColumn id="3829" xr3:uid="{5ED943B7-A7E0-43E5-8049-79E3E07A99A5}" name="Column3822"/>
    <tableColumn id="3830" xr3:uid="{7D51D899-9E15-4BC2-B974-367199544025}" name="Column3823"/>
    <tableColumn id="3831" xr3:uid="{CE082805-C9C5-4285-8B64-642D06DF57BF}" name="Column3824"/>
    <tableColumn id="3832" xr3:uid="{9E611CDE-E389-45E2-AA64-518DFB9F9223}" name="Column3825"/>
    <tableColumn id="3833" xr3:uid="{A9F38137-CE9F-4D45-85B7-E3A966D132DE}" name="Column3826"/>
    <tableColumn id="3834" xr3:uid="{16ABDFF2-3171-4E6E-8170-19AD67A9E808}" name="Column3827"/>
    <tableColumn id="3835" xr3:uid="{132A1CC5-0DC1-45BB-AD78-DD933B9323DC}" name="Column3828"/>
    <tableColumn id="3836" xr3:uid="{79FD53D0-7DDA-427B-9978-9600E3B84C07}" name="Column3829"/>
    <tableColumn id="3837" xr3:uid="{83C0BD16-EFF1-4EAC-A1B1-10271A5D876C}" name="Column3830"/>
    <tableColumn id="3838" xr3:uid="{4B2BA2F9-C482-4B26-B663-2E0EE8752C28}" name="Column3831"/>
    <tableColumn id="3839" xr3:uid="{BC24C53D-1BC2-400F-873B-1FAB5A0BCF1A}" name="Column3832"/>
    <tableColumn id="3840" xr3:uid="{E3A3A7DA-3C54-47A9-AE17-F7AC22F0DAA0}" name="Column3833"/>
    <tableColumn id="3841" xr3:uid="{2B9E2B62-7D5F-486B-AE03-180C0C141DEE}" name="Column3834"/>
    <tableColumn id="3842" xr3:uid="{C6CAED1F-6F53-482B-A335-BD402CEF272F}" name="Column3835"/>
    <tableColumn id="3843" xr3:uid="{CEC0DE53-C9E9-4FFB-BFB5-5B6BA680A726}" name="Column3836"/>
    <tableColumn id="3844" xr3:uid="{BC8DDA8C-48BD-4E3B-9672-6B0735FB7A90}" name="Column3837"/>
    <tableColumn id="3845" xr3:uid="{C5A27DBD-1F86-4559-AA07-432A2EE310DB}" name="Column3838"/>
    <tableColumn id="3846" xr3:uid="{2E691412-713A-43DB-9986-10D31DE2A835}" name="Column3839"/>
    <tableColumn id="3847" xr3:uid="{98900566-9E3E-44E3-BFF5-E383C1E222AB}" name="Column3840"/>
    <tableColumn id="3848" xr3:uid="{292D8485-3726-4450-9049-B5637BA41B57}" name="Column3841"/>
    <tableColumn id="3849" xr3:uid="{166981DA-C0DA-4B10-938B-1CF54833A77E}" name="Column3842"/>
    <tableColumn id="3850" xr3:uid="{093ADD70-B9D2-4081-A510-3A9ED6FC7AED}" name="Column3843"/>
    <tableColumn id="3851" xr3:uid="{BD914FBE-A490-49A6-82EF-922C4CA95F2C}" name="Column3844"/>
    <tableColumn id="3852" xr3:uid="{7A9DFB68-BC47-4659-B854-ACA81A0B79C0}" name="Column3845"/>
    <tableColumn id="3853" xr3:uid="{22794937-898A-40C4-B33D-C6BEB5384EE1}" name="Column3846"/>
    <tableColumn id="3854" xr3:uid="{A31BF1BC-B9B7-4A79-BAC2-37B4BE8B16B9}" name="Column3847"/>
    <tableColumn id="3855" xr3:uid="{191AED02-5394-4139-93F9-EF9DB2204B68}" name="Column3848"/>
    <tableColumn id="3856" xr3:uid="{574A1258-74BD-4F52-AD31-75A2192D2D3A}" name="Column3849"/>
    <tableColumn id="3857" xr3:uid="{A0E4CC3D-EAB5-4518-A055-3C258987A77B}" name="Column3850"/>
    <tableColumn id="3858" xr3:uid="{970A7D43-1279-4292-88F3-9B1D910EF008}" name="Column3851"/>
    <tableColumn id="3859" xr3:uid="{76FF67D8-FB02-490C-BF71-713EADCB2FA6}" name="Column3852"/>
    <tableColumn id="3860" xr3:uid="{39B16A6E-86E8-4262-9D3C-44C601FAAB7A}" name="Column3853"/>
    <tableColumn id="3861" xr3:uid="{FCCCACA3-F62D-4EE8-98D9-54FB7372F401}" name="Column3854"/>
    <tableColumn id="3862" xr3:uid="{992F84A7-BB06-4FB6-B603-636EBD077376}" name="Column3855"/>
    <tableColumn id="3863" xr3:uid="{7CEA27C0-D3DA-401B-BB93-622337448FA0}" name="Column3856"/>
    <tableColumn id="3864" xr3:uid="{0F88B857-D980-4A97-9C8B-BE5C226AB019}" name="Column3857"/>
    <tableColumn id="3865" xr3:uid="{0591BDD9-53F9-408C-ACDA-00FBF99F626C}" name="Column3858"/>
    <tableColumn id="3866" xr3:uid="{3EB8A761-DC67-48C8-9FEB-350E74292F12}" name="Column3859"/>
    <tableColumn id="3867" xr3:uid="{4180FA76-0E92-4EA5-B132-940906D83EB4}" name="Column3860"/>
    <tableColumn id="3868" xr3:uid="{114BEDB0-40AD-431F-840C-A2C5EFE01219}" name="Column3861"/>
    <tableColumn id="3869" xr3:uid="{F1988DF0-7423-4A19-9A66-4EAFCA153BF3}" name="Column3862"/>
    <tableColumn id="3870" xr3:uid="{18AD8C90-3A53-4E67-A7D5-B003BE530E8F}" name="Column3863"/>
    <tableColumn id="3871" xr3:uid="{D6CFE170-938C-49E8-A800-1E2726DF82AD}" name="Column3864"/>
    <tableColumn id="3872" xr3:uid="{65F919E2-5FC1-43A7-9ABC-2AC7F7E0E2F8}" name="Column3865"/>
    <tableColumn id="3873" xr3:uid="{55DD4F83-E51B-4349-A6BD-239E476F6DEA}" name="Column3866"/>
    <tableColumn id="3874" xr3:uid="{BD7467CE-DCE2-478A-A857-C70EF9D00AD5}" name="Column3867"/>
    <tableColumn id="3875" xr3:uid="{A0109969-D5B6-4B7A-90EE-1E85E08A13C0}" name="Column3868"/>
    <tableColumn id="3876" xr3:uid="{4ACDD575-F864-4381-9E8C-BDCEBC586FEE}" name="Column3869"/>
    <tableColumn id="3877" xr3:uid="{050B5488-A07F-42CC-A1C5-7BC73C4A6189}" name="Column3870"/>
    <tableColumn id="3878" xr3:uid="{BEDD9CEB-B976-4A35-AC9A-ADB29253BECD}" name="Column3871"/>
    <tableColumn id="3879" xr3:uid="{83A15AEC-1A58-4C5B-8FDA-5A3999B462C6}" name="Column3872"/>
    <tableColumn id="3880" xr3:uid="{8556ADF9-79A3-44B4-BF8D-246B7BC30FF7}" name="Column3873"/>
    <tableColumn id="3881" xr3:uid="{9178A124-B13B-4923-B53C-F1215BCD717E}" name="Column3874"/>
    <tableColumn id="3882" xr3:uid="{B057BDA2-997D-4308-AD7B-B77EB7F66C9B}" name="Column3875"/>
    <tableColumn id="3883" xr3:uid="{8529B03F-7977-40AA-86B8-D2E709DADD7A}" name="Column3876"/>
    <tableColumn id="3884" xr3:uid="{4A41E4B9-904B-4864-8C37-D8D9958DA5F6}" name="Column3877"/>
    <tableColumn id="3885" xr3:uid="{14C2DB18-45D4-4642-96CB-B66218F4B493}" name="Column3878"/>
    <tableColumn id="3886" xr3:uid="{27A9B4BA-7720-41DB-BEE4-0F4BE25B6BFB}" name="Column3879"/>
    <tableColumn id="3887" xr3:uid="{521B6F8B-1FFA-4EF0-A8A4-04CBB62FB2F3}" name="Column3880"/>
    <tableColumn id="3888" xr3:uid="{A98F1D24-EF85-4CB6-B102-137A48327CE3}" name="Column3881"/>
    <tableColumn id="3889" xr3:uid="{C62D12C0-72C5-454A-A019-E2C8F8333326}" name="Column3882"/>
    <tableColumn id="3890" xr3:uid="{6E02D212-8B2C-4B44-AE39-FF3C105D286A}" name="Column3883"/>
    <tableColumn id="3891" xr3:uid="{730913A1-13A6-4625-9AF3-FD9658E3294A}" name="Column3884"/>
    <tableColumn id="3892" xr3:uid="{47FE4203-94A0-4FA5-A6F4-50CC65B1E0B9}" name="Column3885"/>
    <tableColumn id="3893" xr3:uid="{4C4D723A-50EC-4B13-9ADB-46058583A8BB}" name="Column3886"/>
    <tableColumn id="3894" xr3:uid="{29338668-5A85-4E37-B1F1-24C3504AF100}" name="Column3887"/>
    <tableColumn id="3895" xr3:uid="{C2829130-1DA0-476B-AB80-DBEC4F75DAED}" name="Column3888"/>
    <tableColumn id="3896" xr3:uid="{A27CF10E-5E11-4895-9C42-34F59993C8F1}" name="Column3889"/>
    <tableColumn id="3897" xr3:uid="{A8FF378D-D55B-4BDD-87DB-5FB527FD0536}" name="Column3890"/>
    <tableColumn id="3898" xr3:uid="{708F69A6-2B87-47B8-AB5F-A48FA28D4681}" name="Column3891"/>
    <tableColumn id="3899" xr3:uid="{4E861D2E-78C7-43A2-A15E-3A03384084DA}" name="Column3892"/>
    <tableColumn id="3900" xr3:uid="{08A6717F-9AFB-46A0-A8F4-ADBB9B2C6C90}" name="Column3893"/>
    <tableColumn id="3901" xr3:uid="{969AA18B-6952-46C0-8460-BA34D2DBE0D5}" name="Column3894"/>
    <tableColumn id="3902" xr3:uid="{0A66DC5D-5BA4-4240-A989-AB666255BE30}" name="Column3895"/>
    <tableColumn id="3903" xr3:uid="{98921F4B-136C-4BF6-970B-9C3C5B893CC9}" name="Column3896"/>
    <tableColumn id="3904" xr3:uid="{DBFE6979-C4D1-4C07-8E77-98B2B5C4279F}" name="Column3897"/>
    <tableColumn id="3905" xr3:uid="{331CB586-A8B4-4AF0-A164-A86DAA1D2D90}" name="Column3898"/>
    <tableColumn id="3906" xr3:uid="{52702C77-0C10-4724-8737-43DE7BF5E340}" name="Column3899"/>
    <tableColumn id="3907" xr3:uid="{81ECEE9B-8B52-4622-8DF7-38AE6268A217}" name="Column3900"/>
    <tableColumn id="3908" xr3:uid="{4A278FD3-3707-4467-B463-96FB6D54063F}" name="Column3901"/>
    <tableColumn id="3909" xr3:uid="{46003DAF-A479-4C0A-BFFB-1A39C1766571}" name="Column3902"/>
    <tableColumn id="3910" xr3:uid="{AD7E16D3-7096-4F5E-94EC-DB10D7850717}" name="Column3903"/>
    <tableColumn id="3911" xr3:uid="{60609C0C-0E79-49D8-B34B-38ABC954CAFB}" name="Column3904"/>
    <tableColumn id="3912" xr3:uid="{BFD6A302-D2A2-4BD7-8F7F-5CD288FDCDCC}" name="Column3905"/>
    <tableColumn id="3913" xr3:uid="{D91FC716-F02A-4BFB-96E0-FDC9C0AEE15E}" name="Column3906"/>
    <tableColumn id="3914" xr3:uid="{9511EC3C-F271-4427-8D6C-53139B43DF84}" name="Column3907"/>
    <tableColumn id="3915" xr3:uid="{CC2FFF0D-0F49-41EB-8858-47B3E99E73A7}" name="Column3908"/>
    <tableColumn id="3916" xr3:uid="{8A7393AD-34F0-414C-BED6-5E1A83FF19F2}" name="Column3909"/>
    <tableColumn id="3917" xr3:uid="{E86ECE04-12BC-4E05-B75A-A5B81C7EC3AD}" name="Column3910"/>
    <tableColumn id="3918" xr3:uid="{9195E977-FE32-4092-BDFC-D7BE86174D67}" name="Column3911"/>
    <tableColumn id="3919" xr3:uid="{BD74F420-C517-4D87-9756-0D6E94DF28EC}" name="Column3912"/>
    <tableColumn id="3920" xr3:uid="{5569882E-531A-41FE-87F1-CFC08EA31055}" name="Column3913"/>
    <tableColumn id="3921" xr3:uid="{9B70A129-510F-46FE-B8EF-ACD54300C4CA}" name="Column3914"/>
    <tableColumn id="3922" xr3:uid="{8E749705-3953-49BD-BA9C-D8514FBD3B0E}" name="Column3915"/>
    <tableColumn id="3923" xr3:uid="{AFB9F086-0B6B-41B0-A7A4-DF7A4AF1314D}" name="Column3916"/>
    <tableColumn id="3924" xr3:uid="{C9A4A7EA-8C0E-4125-AF83-C9C95AFB7981}" name="Column3917"/>
    <tableColumn id="3925" xr3:uid="{3BED70CF-1C1E-4D3F-A34C-EEA5BDFC873A}" name="Column3918"/>
    <tableColumn id="3926" xr3:uid="{47C3B6C2-DC34-4CA6-95E7-DFE54024616E}" name="Column3919"/>
    <tableColumn id="3927" xr3:uid="{E2439D27-CD70-47F7-B12B-89EF526F0703}" name="Column3920"/>
    <tableColumn id="3928" xr3:uid="{79A2041C-2606-4A77-8EB8-B1587011FBC1}" name="Column3921"/>
    <tableColumn id="3929" xr3:uid="{6B032526-3429-4F11-8E8B-0AFAFECFCCA3}" name="Column3922"/>
    <tableColumn id="3930" xr3:uid="{C3B42F2F-A80F-4ECD-B7D3-86BE9DF9603B}" name="Column3923"/>
    <tableColumn id="3931" xr3:uid="{65999600-1B71-4B01-A0EB-7B9A4FF9D68E}" name="Column3924"/>
    <tableColumn id="3932" xr3:uid="{E09B7B97-BB4A-4F1E-8756-FBCADD1CFE17}" name="Column3925"/>
    <tableColumn id="3933" xr3:uid="{203DDE13-6843-4930-820B-DC716436A25E}" name="Column3926"/>
    <tableColumn id="3934" xr3:uid="{7FD787B1-E674-48CC-BC61-FB331037D945}" name="Column3927"/>
    <tableColumn id="3935" xr3:uid="{82CCE695-6945-4039-97AF-6D44D0A79964}" name="Column3928"/>
    <tableColumn id="3936" xr3:uid="{461A0809-3680-4421-BA3C-8699944C2DF7}" name="Column3929"/>
    <tableColumn id="3937" xr3:uid="{3FA90298-721F-4B4D-AB67-1DC8528D12C7}" name="Column3930"/>
    <tableColumn id="3938" xr3:uid="{78F58740-9300-453B-8148-47E107E3FC7E}" name="Column3931"/>
    <tableColumn id="3939" xr3:uid="{79CA2990-9B6A-4C5B-8143-BE176991F982}" name="Column3932"/>
    <tableColumn id="3940" xr3:uid="{4A87705E-8F4F-4B79-B2DC-9E4435E71CD7}" name="Column3933"/>
    <tableColumn id="3941" xr3:uid="{DEC3FF7F-D0E5-490F-8B1F-A13F37B33124}" name="Column3934"/>
    <tableColumn id="3942" xr3:uid="{3C6A447C-68A7-443D-8BD3-D58F79673280}" name="Column3935"/>
    <tableColumn id="3943" xr3:uid="{DD1C222E-165D-404B-8CEB-F9A83C5ADA91}" name="Column3936"/>
    <tableColumn id="3944" xr3:uid="{FA6BC517-963E-4D54-8577-334F2A4B6CD9}" name="Column3937"/>
    <tableColumn id="3945" xr3:uid="{228458F7-A72A-4AC8-B38F-572E0377F2FE}" name="Column3938"/>
    <tableColumn id="3946" xr3:uid="{98BE3EF2-0ABB-48D0-B517-666EBE13ED23}" name="Column3939"/>
    <tableColumn id="3947" xr3:uid="{CF042447-BCD6-4F50-91A4-F73B15BEA1E2}" name="Column3940"/>
    <tableColumn id="3948" xr3:uid="{2527C254-3971-4990-81ED-839A2D5ABC0C}" name="Column3941"/>
    <tableColumn id="3949" xr3:uid="{BD131ECD-17CB-4B66-A5E6-A625027F8DE3}" name="Column3942"/>
    <tableColumn id="3950" xr3:uid="{AF1E2517-63C4-41A9-826C-4EA9023923D0}" name="Column3943"/>
    <tableColumn id="3951" xr3:uid="{4D06C5A1-1EA5-46A5-9939-9EED91A31C61}" name="Column3944"/>
    <tableColumn id="3952" xr3:uid="{15DBD60E-5C29-49ED-980E-857E87B096BA}" name="Column3945"/>
    <tableColumn id="3953" xr3:uid="{1BC605F3-4720-4075-9697-F2A162481872}" name="Column3946"/>
    <tableColumn id="3954" xr3:uid="{1CBA47BC-9B3C-41A5-8F59-5590049C77D0}" name="Column3947"/>
    <tableColumn id="3955" xr3:uid="{87FB33F1-7F32-41EF-B42B-6F8645DFFC3F}" name="Column3948"/>
    <tableColumn id="3956" xr3:uid="{BD5641C3-3E75-46D2-A349-08E03301E59C}" name="Column3949"/>
    <tableColumn id="3957" xr3:uid="{88617F78-D147-4043-ACBF-1BF5E02418C4}" name="Column3950"/>
    <tableColumn id="3958" xr3:uid="{B7EC4518-965A-4682-BDA0-72D86FCA2485}" name="Column3951"/>
    <tableColumn id="3959" xr3:uid="{584F0C39-FE89-481B-A8E7-244F55BB676D}" name="Column3952"/>
    <tableColumn id="3960" xr3:uid="{45182BDD-9699-4551-8ADF-314F1CF0CEAE}" name="Column3953"/>
    <tableColumn id="3961" xr3:uid="{250343B9-08C4-4BF8-871A-53FC9C27C29E}" name="Column3954"/>
    <tableColumn id="3962" xr3:uid="{15C45E02-1902-45E6-A94A-739F56DEB802}" name="Column3955"/>
    <tableColumn id="3963" xr3:uid="{C2B649A3-3360-4F2F-8694-CF4A08BE0FF8}" name="Column3956"/>
    <tableColumn id="3964" xr3:uid="{AA93BED2-DAD3-40AD-AF2F-AB33E0816E27}" name="Column3957"/>
    <tableColumn id="3965" xr3:uid="{F65B9788-3DA9-42C8-9F24-046F4353B6A0}" name="Column3958"/>
    <tableColumn id="3966" xr3:uid="{11C3258E-D693-4492-B4BC-740CD6042B78}" name="Column3959"/>
    <tableColumn id="3967" xr3:uid="{A4682135-86E5-4AF5-8FA0-608ADD367F18}" name="Column3960"/>
    <tableColumn id="3968" xr3:uid="{CE905EF0-B6DD-4BD0-8506-94CA5B0E1541}" name="Column3961"/>
    <tableColumn id="3969" xr3:uid="{ED7DE692-0CF5-4B54-A92C-8157FACB969B}" name="Column3962"/>
    <tableColumn id="3970" xr3:uid="{2F2555DA-4B83-46BA-A85D-CEB0AF7B1910}" name="Column3963"/>
    <tableColumn id="3971" xr3:uid="{3B3E01BD-220C-4F1D-B757-05E6A2572812}" name="Column3964"/>
    <tableColumn id="3972" xr3:uid="{FAD8A6AB-1CD6-4D40-BB02-CEC58AA51146}" name="Column3965"/>
    <tableColumn id="3973" xr3:uid="{475EBB67-37C4-49A1-B60D-BE661FAB5F4E}" name="Column3966"/>
    <tableColumn id="3974" xr3:uid="{112A760D-3CE9-4B1E-99B4-693DF388E7EC}" name="Column3967"/>
    <tableColumn id="3975" xr3:uid="{4C5A5A5B-55E4-4791-8479-92A28F4565B5}" name="Column3968"/>
    <tableColumn id="3976" xr3:uid="{AAC8BA58-57FB-48FF-8D1D-BF8BF79795EF}" name="Column3969"/>
    <tableColumn id="3977" xr3:uid="{924A7ADD-3A46-4726-9915-C356EF0E6C95}" name="Column3970"/>
    <tableColumn id="3978" xr3:uid="{6848AB5D-C0E1-4162-92EA-CF7BC2BD2D53}" name="Column3971"/>
    <tableColumn id="3979" xr3:uid="{C6682D6A-7195-4C96-879A-96C608E1F73D}" name="Column3972"/>
    <tableColumn id="3980" xr3:uid="{FCA79550-15B7-4E5C-AA5C-7DCE766A2559}" name="Column3973"/>
    <tableColumn id="3981" xr3:uid="{D12477A5-1B1A-4AC5-8F9D-98A88B79EFF2}" name="Column3974"/>
    <tableColumn id="3982" xr3:uid="{9D0238DC-E8A9-416A-95D1-48296821C5FD}" name="Column3975"/>
    <tableColumn id="3983" xr3:uid="{87A725A7-DC90-4CB7-8D48-5BEB6E0979E2}" name="Column3976"/>
    <tableColumn id="3984" xr3:uid="{A9084865-D4AD-481F-9EFE-77BC1DF03EF2}" name="Column3977"/>
    <tableColumn id="3985" xr3:uid="{313D97B7-59B6-4F45-BF10-5CE7FC5A9917}" name="Column3978"/>
    <tableColumn id="3986" xr3:uid="{5DF58469-82F9-4B15-97FB-0C4C2C8AA022}" name="Column3979"/>
    <tableColumn id="3987" xr3:uid="{E18F8717-5527-49AE-A1B7-A801E1785EA5}" name="Column3980"/>
    <tableColumn id="3988" xr3:uid="{401CC7E0-5FEF-4E14-912A-CF318E08E793}" name="Column3981"/>
    <tableColumn id="3989" xr3:uid="{46076A15-2495-4741-93BB-D4D3BEB3ED4C}" name="Column3982"/>
    <tableColumn id="3990" xr3:uid="{A17AAB11-6F48-4904-9287-A3EAA4644978}" name="Column3983"/>
    <tableColumn id="3991" xr3:uid="{376606D1-A2D6-4C8B-9485-9C15535DE1B5}" name="Column3984"/>
    <tableColumn id="3992" xr3:uid="{2FB27E6B-0CCA-4CF6-A90A-E1DF2747C375}" name="Column3985"/>
    <tableColumn id="3993" xr3:uid="{26A7A370-79CD-468C-A778-A093DBDF21CB}" name="Column3986"/>
    <tableColumn id="3994" xr3:uid="{4BC8127F-7C20-4A64-B1F6-895208DBFB54}" name="Column3987"/>
    <tableColumn id="3995" xr3:uid="{6B202326-A847-4A30-864B-C124CAC6A9C9}" name="Column3988"/>
    <tableColumn id="3996" xr3:uid="{531CDCC8-ECD8-4C9C-AADA-F8887A01CE0C}" name="Column3989"/>
    <tableColumn id="3997" xr3:uid="{C7A5F1BB-F8FF-4BE4-875B-5E14F4D367D7}" name="Column3990"/>
    <tableColumn id="3998" xr3:uid="{2DBF5A12-D7B6-44A1-B948-21EE274FB35E}" name="Column3991"/>
    <tableColumn id="3999" xr3:uid="{703F9F1B-B32B-45E3-8848-CE55FAAD19E9}" name="Column3992"/>
    <tableColumn id="4000" xr3:uid="{E844C5EB-71DB-4F1C-BE93-1DE622D0580C}" name="Column3993"/>
    <tableColumn id="4001" xr3:uid="{F7570FB0-DA40-470A-868E-8D03994E3587}" name="Column3994"/>
    <tableColumn id="4002" xr3:uid="{E364F874-1390-4BB7-9F47-A09143C509B1}" name="Column3995"/>
    <tableColumn id="4003" xr3:uid="{AAF9D00A-3293-430C-A5A5-033F1C72CCBE}" name="Column3996"/>
    <tableColumn id="4004" xr3:uid="{5279EC45-1A2E-4E07-AD38-071C95642239}" name="Column3997"/>
    <tableColumn id="4005" xr3:uid="{C612A753-53B5-4313-9A6A-EDF5E074E3FE}" name="Column3998"/>
    <tableColumn id="4006" xr3:uid="{32F6CC5C-D24D-4AAF-8E0D-D5E3126F869F}" name="Column3999"/>
    <tableColumn id="4007" xr3:uid="{BF5A3A4C-FB34-43E5-97DA-994DE231A330}" name="Column4000"/>
    <tableColumn id="4008" xr3:uid="{08B78D8F-F660-4EBF-8004-2B01865BBBA0}" name="Column4001"/>
    <tableColumn id="4009" xr3:uid="{ECF0EEE5-77A6-48C4-AF63-D1CC14498C72}" name="Column4002"/>
    <tableColumn id="4010" xr3:uid="{287EC613-C0F8-4DE4-83E4-7DBE88DD545E}" name="Column4003"/>
    <tableColumn id="4011" xr3:uid="{DA14C647-79F4-41BB-A826-14B763E1347C}" name="Column4004"/>
    <tableColumn id="4012" xr3:uid="{76DE18C3-72E4-4323-95A5-E7DD9C2DCB44}" name="Column4005"/>
    <tableColumn id="4013" xr3:uid="{BF690C2B-D6E5-496E-B0CA-CA0CF5CB5A00}" name="Column4006"/>
    <tableColumn id="4014" xr3:uid="{CB59CE86-B04E-4F60-B008-A1E4C5464A8B}" name="Column4007"/>
    <tableColumn id="4015" xr3:uid="{E4BFD95D-3ED5-4519-840E-1C15CDE5BC4C}" name="Column4008"/>
    <tableColumn id="4016" xr3:uid="{1F181038-6665-4819-BA12-7F3FDA33A10D}" name="Column4009"/>
    <tableColumn id="4017" xr3:uid="{5CCBB74E-A427-40B1-B713-040ADF0950D8}" name="Column4010"/>
    <tableColumn id="4018" xr3:uid="{8162C2F8-7767-4A8B-BAC5-0ECCA30B83A8}" name="Column4011"/>
    <tableColumn id="4019" xr3:uid="{7980D0C7-5939-4932-84AA-D104D9C2ED36}" name="Column4012"/>
    <tableColumn id="4020" xr3:uid="{A0952B72-BCC1-43AC-ADC1-63D60162A938}" name="Column4013"/>
    <tableColumn id="4021" xr3:uid="{9FF22259-2D6E-4C33-9F6D-23A775BD75A9}" name="Column4014"/>
    <tableColumn id="4022" xr3:uid="{4487E9C4-68DC-4775-90C3-2D325745E55E}" name="Column4015"/>
    <tableColumn id="4023" xr3:uid="{81B81C87-C09F-4982-B17D-D3EC64B7CB3C}" name="Column4016"/>
    <tableColumn id="4024" xr3:uid="{C41F58EA-CEFF-4F3E-B0CC-9AD995D4139E}" name="Column4017"/>
    <tableColumn id="4025" xr3:uid="{DCC3E9E1-C3C9-40B7-9343-E667FE1FFA68}" name="Column4018"/>
    <tableColumn id="4026" xr3:uid="{0CFA4930-00B9-455C-B082-FDAF5447B3BF}" name="Column4019"/>
    <tableColumn id="4027" xr3:uid="{D805405C-7179-42CF-A0B5-8C5D79CBC73E}" name="Column4020"/>
    <tableColumn id="4028" xr3:uid="{A842AAA2-81BF-46B9-A95D-367C3B2E74A1}" name="Column4021"/>
    <tableColumn id="4029" xr3:uid="{4F273F37-CADD-4B59-8F81-5320BF0EC41C}" name="Column4022"/>
    <tableColumn id="4030" xr3:uid="{D8B673F7-59BA-4956-8F88-821B15CCE5F1}" name="Column4023"/>
    <tableColumn id="4031" xr3:uid="{1E01BBBC-B7F2-4A65-97E8-8E0345329B6C}" name="Column4024"/>
    <tableColumn id="4032" xr3:uid="{C37BCB06-7827-419C-B114-58243685C57B}" name="Column4025"/>
    <tableColumn id="4033" xr3:uid="{42A2CC60-2F9C-463D-9CD4-881D0CCAF4E5}" name="Column4026"/>
    <tableColumn id="4034" xr3:uid="{0FE2A172-4A55-403F-832E-A78287FB6206}" name="Column4027"/>
    <tableColumn id="4035" xr3:uid="{BE4F77AC-9844-4441-949B-EB8FEEA1F03D}" name="Column4028"/>
    <tableColumn id="4036" xr3:uid="{DAB00250-0298-4E8F-B925-829F06A777AE}" name="Column4029"/>
    <tableColumn id="4037" xr3:uid="{D443B6D2-D758-4937-A107-18DECCBCE086}" name="Column4030"/>
    <tableColumn id="4038" xr3:uid="{2E3F924E-991A-4258-B921-3E3899FA8F01}" name="Column4031"/>
    <tableColumn id="4039" xr3:uid="{0D8AB324-0338-4A4B-8F8A-193BBA5EBE42}" name="Column4032"/>
    <tableColumn id="4040" xr3:uid="{83F18B34-DBD5-4B30-BD34-394235D319C0}" name="Column4033"/>
    <tableColumn id="4041" xr3:uid="{F737857E-39A9-493F-9168-8EEC857193C3}" name="Column4034"/>
    <tableColumn id="4042" xr3:uid="{443AC754-094D-4BDB-9B7B-743F2826EEC2}" name="Column4035"/>
    <tableColumn id="4043" xr3:uid="{7C549C04-07B6-4C36-9752-58F977E740BB}" name="Column4036"/>
    <tableColumn id="4044" xr3:uid="{3EE652B1-E6AB-4E60-935C-28C8CAD07F72}" name="Column4037"/>
    <tableColumn id="4045" xr3:uid="{892989AA-4940-46EC-9515-238550E54A0B}" name="Column4038"/>
    <tableColumn id="4046" xr3:uid="{053E38A8-D4FD-4883-9E11-359FAE23F2B0}" name="Column4039"/>
    <tableColumn id="4047" xr3:uid="{1E233269-4ED7-4B6C-AAB6-83338CB65B17}" name="Column4040"/>
    <tableColumn id="4048" xr3:uid="{3105ED26-72C1-4A57-9A06-8FCC26D1B6ED}" name="Column4041"/>
    <tableColumn id="4049" xr3:uid="{59E6B16E-EA85-4E18-A840-3730DDD0CF09}" name="Column4042"/>
    <tableColumn id="4050" xr3:uid="{ECAB1E30-A900-491A-BC8D-4D3BF50143BF}" name="Column4043"/>
    <tableColumn id="4051" xr3:uid="{FC428A97-ECEB-4A95-B9C8-567FA2DBAF69}" name="Column4044"/>
    <tableColumn id="4052" xr3:uid="{870565A2-A3DB-459F-A93D-53F528337286}" name="Column4045"/>
    <tableColumn id="4053" xr3:uid="{E1FDF4B2-D0B9-45F6-A26C-D3B19DFCD122}" name="Column4046"/>
    <tableColumn id="4054" xr3:uid="{7593C827-EC1C-4BE8-B9CE-29A11ECC2BA6}" name="Column4047"/>
    <tableColumn id="4055" xr3:uid="{3618B6D0-FAF6-4D2E-B14B-EE4DABE050FC}" name="Column4048"/>
    <tableColumn id="4056" xr3:uid="{51C5E5CB-42D8-461A-A3AD-5F41F5363588}" name="Column4049"/>
    <tableColumn id="4057" xr3:uid="{19873BFD-B194-4FFF-A815-C3604B4665B7}" name="Column4050"/>
    <tableColumn id="4058" xr3:uid="{CCEEF0DF-0558-45DE-9980-621A8BCDF11F}" name="Column4051"/>
    <tableColumn id="4059" xr3:uid="{0E8C7E33-76B0-4EFA-995A-6CAB09F44D05}" name="Column4052"/>
    <tableColumn id="4060" xr3:uid="{CABC019D-E33A-4476-872D-596A06A183CD}" name="Column4053"/>
    <tableColumn id="4061" xr3:uid="{8EDE8527-D25E-4332-8E76-71BDC7787E69}" name="Column4054"/>
    <tableColumn id="4062" xr3:uid="{BB6630B0-0E4A-4D5B-898D-4CB0ED9AC13D}" name="Column4055"/>
    <tableColumn id="4063" xr3:uid="{2C89FEB5-9A28-4959-B46D-309D8665E031}" name="Column4056"/>
    <tableColumn id="4064" xr3:uid="{403C7598-16A4-42AB-857E-87A387A1C1C3}" name="Column4057"/>
    <tableColumn id="4065" xr3:uid="{8643ED58-9A89-4190-9907-2F171C8580A2}" name="Column4058"/>
    <tableColumn id="4066" xr3:uid="{E273C0F9-846D-4039-BC62-8073ED616F9E}" name="Column4059"/>
    <tableColumn id="4067" xr3:uid="{D77E3B6C-9B7A-409A-AEA6-2473DA6AA2B0}" name="Column4060"/>
    <tableColumn id="4068" xr3:uid="{883D29CF-A081-449E-A253-3363247B6E39}" name="Column4061"/>
    <tableColumn id="4069" xr3:uid="{35FF20B6-FF46-4086-A955-8CE27D33094D}" name="Column4062"/>
    <tableColumn id="4070" xr3:uid="{F2AC09A0-77F0-4F58-BA56-F54E4E7E88C5}" name="Column4063"/>
    <tableColumn id="4071" xr3:uid="{1C99DA3A-405E-44EF-A70F-CA7F75767324}" name="Column4064"/>
    <tableColumn id="4072" xr3:uid="{88491144-493B-4B0C-A46F-3CF3C1831F15}" name="Column4065"/>
    <tableColumn id="4073" xr3:uid="{F7B077F3-9F6D-433F-8D2E-9785EE1C7097}" name="Column4066"/>
    <tableColumn id="4074" xr3:uid="{C07AAD07-4735-4025-97C6-8475B8B45775}" name="Column4067"/>
    <tableColumn id="4075" xr3:uid="{02B8502A-2C63-4BA5-9156-C7693C2B587D}" name="Column4068"/>
    <tableColumn id="4076" xr3:uid="{D6E1BFBD-B7E7-4567-931B-7347200993B9}" name="Column4069"/>
    <tableColumn id="4077" xr3:uid="{C8E0ECB7-2AD1-4534-8AE3-6C20CD5E07E1}" name="Column4070"/>
    <tableColumn id="4078" xr3:uid="{89550F44-1F6E-4CFC-B28E-A75F0ADE842D}" name="Column4071"/>
    <tableColumn id="4079" xr3:uid="{EE0F3C1A-F76B-4215-A737-7C26663CD66D}" name="Column4072"/>
    <tableColumn id="4080" xr3:uid="{88F17EC9-8A8E-494A-BF5A-7C5418BB3394}" name="Column4073"/>
    <tableColumn id="4081" xr3:uid="{C87A8B16-241A-4DDE-888B-5E804CAA79F2}" name="Column4074"/>
    <tableColumn id="4082" xr3:uid="{FD96CE35-A0E0-4F6B-815C-0C727DB14B2A}" name="Column4075"/>
    <tableColumn id="4083" xr3:uid="{3AE954EF-D7C4-4048-AA91-5126BECF507B}" name="Column4076"/>
    <tableColumn id="4084" xr3:uid="{62E458D1-30BD-44DF-8281-9E7F848E3C2B}" name="Column4077"/>
    <tableColumn id="4085" xr3:uid="{63CD91E1-0B7D-48C3-A5E8-E125FE61B30D}" name="Column4078"/>
    <tableColumn id="4086" xr3:uid="{B95AC846-EC37-40D2-A249-17780DCAB261}" name="Column4079"/>
    <tableColumn id="4087" xr3:uid="{EBB25DCF-6BBB-490E-8666-2185077FB1B7}" name="Column4080"/>
    <tableColumn id="4088" xr3:uid="{63C14CCD-DF14-4C85-8FE9-5CDDC3CCC418}" name="Column4081"/>
    <tableColumn id="4089" xr3:uid="{93FBF9DF-6AB6-4405-B577-7A99E791CFC5}" name="Column4082"/>
    <tableColumn id="4090" xr3:uid="{75518094-AB9D-4378-93DC-EAEC4E7ECC45}" name="Column4083"/>
    <tableColumn id="4091" xr3:uid="{86A70FC3-2ADB-48F3-AC58-EDC436EB98CB}" name="Column4084"/>
    <tableColumn id="4092" xr3:uid="{55F21532-E279-40F0-A849-B39FB886A43D}" name="Column4085"/>
    <tableColumn id="4093" xr3:uid="{D55C64E1-DC26-434D-9907-C466926A1B39}" name="Column4086"/>
    <tableColumn id="4094" xr3:uid="{5DAE0601-C7BC-4BBC-ADB0-72CA6C1DDEF6}" name="Column4087"/>
    <tableColumn id="4095" xr3:uid="{C2AF656C-05BF-40E3-A358-5CB9ADC4E073}" name="Column4088"/>
    <tableColumn id="4096" xr3:uid="{D452E3C5-552E-42B4-9EED-55C77209BF7C}" name="Column4089"/>
    <tableColumn id="4097" xr3:uid="{FE5520E0-FDD3-4872-9B30-31DA663EAAF8}" name="Column4090"/>
    <tableColumn id="4098" xr3:uid="{21F50E46-48AC-4729-9C84-20CAD7507F9C}" name="Column4091"/>
    <tableColumn id="4099" xr3:uid="{05E3BAC9-E532-43DC-AA37-2F803F369C85}" name="Column4092"/>
    <tableColumn id="4100" xr3:uid="{2875F46F-B065-4AA3-A599-5DD69C0462B1}" name="Column4093"/>
    <tableColumn id="4101" xr3:uid="{36875608-A28B-4B94-B394-0493670571BF}" name="Column4094"/>
    <tableColumn id="4102" xr3:uid="{DFF34F14-2F7A-4EB3-8502-725FA05C74B9}" name="Column4095"/>
    <tableColumn id="4103" xr3:uid="{F31737C5-7C15-4538-8739-7E5FB469B8DB}" name="Column4096"/>
    <tableColumn id="4104" xr3:uid="{FBC20126-FA0F-442F-8A16-8F309424A893}" name="Column4097"/>
    <tableColumn id="4105" xr3:uid="{54E93999-B508-4B05-A7ED-6E191C7C9C0A}" name="Column4098"/>
    <tableColumn id="4106" xr3:uid="{3DF01BDE-150E-4056-BA2A-2FCA1581D7EF}" name="Column4099"/>
    <tableColumn id="4107" xr3:uid="{E932D2B4-1BA6-44E4-A2BF-4843A7E659BC}" name="Column4100"/>
    <tableColumn id="4108" xr3:uid="{CDBB73F3-5C36-437F-8900-B32BD07CC48F}" name="Column4101"/>
    <tableColumn id="4109" xr3:uid="{30C9D3CC-3346-48B1-9ADE-24FC8AC51D4C}" name="Column4102"/>
    <tableColumn id="4110" xr3:uid="{82357677-713B-4161-AD61-94789C71BC61}" name="Column4103"/>
    <tableColumn id="4111" xr3:uid="{7C7B3DD5-EDD8-4F0F-ADBB-45887494958F}" name="Column4104"/>
    <tableColumn id="4112" xr3:uid="{812056FE-D387-404F-B61E-1DE29C002559}" name="Column4105"/>
    <tableColumn id="4113" xr3:uid="{A35D9A72-711F-4C62-8392-5DEC1A5FF7AE}" name="Column4106"/>
    <tableColumn id="4114" xr3:uid="{DF74F9A5-1FC5-4F6D-A6FF-B23AF8CF5A17}" name="Column4107"/>
    <tableColumn id="4115" xr3:uid="{E90DA2DC-6A81-43AB-BAEE-2B28E1C0DFE6}" name="Column4108"/>
    <tableColumn id="4116" xr3:uid="{83D2E639-32CC-4E59-AC86-3519E4DA4763}" name="Column4109"/>
    <tableColumn id="4117" xr3:uid="{64D1AFCA-04DD-45F7-81AB-3AE23186C641}" name="Column4110"/>
    <tableColumn id="4118" xr3:uid="{FBFF7E0F-A75B-4C38-91D6-02D9B3C17F37}" name="Column4111"/>
    <tableColumn id="4119" xr3:uid="{36C850F2-5640-4202-9825-93CCEB7F36B5}" name="Column4112"/>
    <tableColumn id="4120" xr3:uid="{4E4B20DB-5320-48F1-BAC0-4C1ABB62CAF1}" name="Column4113"/>
    <tableColumn id="4121" xr3:uid="{C6BFA615-D8F7-449E-BAA3-52FBAAC9E500}" name="Column4114"/>
    <tableColumn id="4122" xr3:uid="{A264AFE5-51D0-452D-9E77-03F4117F6E19}" name="Column4115"/>
    <tableColumn id="4123" xr3:uid="{E81EF4D1-12AF-4925-BE3C-3370CC6BB35D}" name="Column4116"/>
    <tableColumn id="4124" xr3:uid="{F4EAE7F3-A5AE-4FE0-9ABE-FB2706ED342A}" name="Column4117"/>
    <tableColumn id="4125" xr3:uid="{0CE8B824-D9D7-4EF6-AEC0-7393C66F58A3}" name="Column4118"/>
    <tableColumn id="4126" xr3:uid="{25AEF6C1-4076-4B82-A447-82279ACF93C2}" name="Column4119"/>
    <tableColumn id="4127" xr3:uid="{2D7ADFA6-AFFC-4D6A-96C8-908EB38631E5}" name="Column4120"/>
    <tableColumn id="4128" xr3:uid="{AD87019E-00FB-4FB5-99AD-D125058898C7}" name="Column4121"/>
    <tableColumn id="4129" xr3:uid="{8255EFF0-AE46-4C3C-89B7-28BF03118A4E}" name="Column4122"/>
    <tableColumn id="4130" xr3:uid="{C31E99C8-59BD-41A5-A761-9DE2A73F468B}" name="Column4123"/>
    <tableColumn id="4131" xr3:uid="{0573E7F9-F768-4E24-AA42-8697762ED1D1}" name="Column4124"/>
    <tableColumn id="4132" xr3:uid="{CCBFDC6D-2D00-433A-A467-8BBEEE7CBABD}" name="Column4125"/>
    <tableColumn id="4133" xr3:uid="{D33D14B2-6B93-453E-AC2C-972ED5C72D08}" name="Column4126"/>
    <tableColumn id="4134" xr3:uid="{50071FE7-27A5-4ED5-84E8-5F2C79AE7205}" name="Column4127"/>
    <tableColumn id="4135" xr3:uid="{778CCD1E-5B4D-46E6-8154-3872BD758F8D}" name="Column4128"/>
    <tableColumn id="4136" xr3:uid="{02299FC9-C389-4D3E-A34E-CA092C41D6F1}" name="Column4129"/>
    <tableColumn id="4137" xr3:uid="{7C5CA24F-924F-4077-A253-1712B6163F4E}" name="Column4130"/>
    <tableColumn id="4138" xr3:uid="{789B0E1B-8595-40F6-B308-261F2FA503A4}" name="Column4131"/>
    <tableColumn id="4139" xr3:uid="{9F8C4A8D-0C7E-4CB3-ABF6-37EB83107627}" name="Column4132"/>
    <tableColumn id="4140" xr3:uid="{F8E93791-B43F-49A8-8565-51E3EFD06414}" name="Column4133"/>
    <tableColumn id="4141" xr3:uid="{1B486452-1598-41C2-A1D4-8A966C2F11F4}" name="Column4134"/>
    <tableColumn id="4142" xr3:uid="{6D943D2A-9AEA-475E-BE95-0534696F3352}" name="Column4135"/>
    <tableColumn id="4143" xr3:uid="{AE0D79C7-52FD-4FB4-A7E5-9C59486B1BB3}" name="Column4136"/>
    <tableColumn id="4144" xr3:uid="{5F510B3D-91B0-4783-B9CA-AACFC9B0F65B}" name="Column4137"/>
    <tableColumn id="4145" xr3:uid="{665145CC-7A41-432A-AF68-C8CB43608332}" name="Column4138"/>
    <tableColumn id="4146" xr3:uid="{30D466C3-842C-4FE5-8871-BE3D529F5811}" name="Column4139"/>
    <tableColumn id="4147" xr3:uid="{290BE947-4413-40DB-BBCE-7943C3B90CA0}" name="Column4140"/>
    <tableColumn id="4148" xr3:uid="{76360DEE-C050-4E14-A873-9B1C08AABBAF}" name="Column4141"/>
    <tableColumn id="4149" xr3:uid="{49CDE5AB-8741-457E-BA2E-9D58A05D3765}" name="Column4142"/>
    <tableColumn id="4150" xr3:uid="{DC0B5327-C83E-4A33-9461-2BA785DB415F}" name="Column4143"/>
    <tableColumn id="4151" xr3:uid="{BA8B32DE-BFCB-4F5D-A0A9-604376B5FE19}" name="Column4144"/>
    <tableColumn id="4152" xr3:uid="{AEA805D7-01AC-4446-9D49-179B3BF0D150}" name="Column4145"/>
    <tableColumn id="4153" xr3:uid="{0537B970-4E65-4746-9D33-87F181BBB5D7}" name="Column4146"/>
    <tableColumn id="4154" xr3:uid="{137550C1-1289-45CD-A103-FFEBB146196C}" name="Column4147"/>
    <tableColumn id="4155" xr3:uid="{B0E413F2-2F69-4BD6-9F41-C1FE58C41681}" name="Column4148"/>
    <tableColumn id="4156" xr3:uid="{866BF810-BDED-4BE9-9DBE-697E6E226C99}" name="Column4149"/>
    <tableColumn id="4157" xr3:uid="{ED71736E-5CDE-45B6-97FD-CCAACF3799D9}" name="Column4150"/>
    <tableColumn id="4158" xr3:uid="{D0DD2953-8316-4536-8AF0-816D49DE1C5B}" name="Column4151"/>
    <tableColumn id="4159" xr3:uid="{B8578D79-7CB8-49BB-BA96-D77C790D79F1}" name="Column4152"/>
    <tableColumn id="4160" xr3:uid="{F782D85D-C55E-4C55-978D-23433B95B2E7}" name="Column4153"/>
    <tableColumn id="4161" xr3:uid="{A2E68905-95CE-4B61-8FCC-DE58E32C230F}" name="Column4154"/>
    <tableColumn id="4162" xr3:uid="{60F0C4C3-3223-47EB-A6CC-E0D820712E96}" name="Column4155"/>
    <tableColumn id="4163" xr3:uid="{587AA89E-56A8-44E2-80F1-A294465A7ED4}" name="Column4156"/>
    <tableColumn id="4164" xr3:uid="{0DD76660-7710-4275-825D-A8F72AE96EB1}" name="Column4157"/>
    <tableColumn id="4165" xr3:uid="{2E31FD03-D373-48C7-83CE-948B0621682C}" name="Column4158"/>
    <tableColumn id="4166" xr3:uid="{5976C791-5030-4E72-976E-8891B2823A40}" name="Column4159"/>
    <tableColumn id="4167" xr3:uid="{F35AB03A-B24A-4DB0-9C40-E9FF39EAEC76}" name="Column4160"/>
    <tableColumn id="4168" xr3:uid="{5D297985-B7E9-40CF-9D87-5BFAA2652156}" name="Column4161"/>
    <tableColumn id="4169" xr3:uid="{86D1F775-7C53-4E0A-B50F-48A216E383DF}" name="Column4162"/>
    <tableColumn id="4170" xr3:uid="{94384D15-397E-4AE0-914F-8911AF028135}" name="Column4163"/>
    <tableColumn id="4171" xr3:uid="{3D7B3179-359F-4E36-8E72-5237791846B4}" name="Column4164"/>
    <tableColumn id="4172" xr3:uid="{C24B5BA9-E946-4052-9A46-77968B58F1C1}" name="Column4165"/>
    <tableColumn id="4173" xr3:uid="{0026A2B4-40A0-4D45-A734-4010F32A62DC}" name="Column4166"/>
    <tableColumn id="4174" xr3:uid="{2F467F17-7E6B-43CF-A9A7-4DC935440869}" name="Column4167"/>
    <tableColumn id="4175" xr3:uid="{0A5B63A1-9484-4BD6-A948-5FBE62DEF12B}" name="Column4168"/>
    <tableColumn id="4176" xr3:uid="{6009C981-E496-4832-822F-F2E614843E65}" name="Column4169"/>
    <tableColumn id="4177" xr3:uid="{30D43B54-A6C9-48F0-9043-A1AC78E89764}" name="Column4170"/>
    <tableColumn id="4178" xr3:uid="{240110EB-FC0F-4F45-9565-3BA112A21C09}" name="Column4171"/>
    <tableColumn id="4179" xr3:uid="{1BD6D17B-7622-4F73-B1F7-380B9383DA06}" name="Column4172"/>
    <tableColumn id="4180" xr3:uid="{75F36FE6-FE68-4DF8-92E2-85683D66CB62}" name="Column4173"/>
    <tableColumn id="4181" xr3:uid="{A11CB596-9C4F-4844-9086-0C77C24FD443}" name="Column4174"/>
    <tableColumn id="4182" xr3:uid="{33FADDBD-3458-483A-9B9B-D96AA502D555}" name="Column4175"/>
    <tableColumn id="4183" xr3:uid="{4203426D-5CC5-487C-A7D1-9548283B1A61}" name="Column4176"/>
    <tableColumn id="4184" xr3:uid="{BC949A77-C6FF-4810-93B3-480A9CF1972D}" name="Column4177"/>
    <tableColumn id="4185" xr3:uid="{DB972473-C1C7-4E5E-ACFA-B73162FEEFC6}" name="Column4178"/>
    <tableColumn id="4186" xr3:uid="{157321EA-0193-40DA-B47F-F9C658D6FD75}" name="Column4179"/>
    <tableColumn id="4187" xr3:uid="{2F052AB7-F693-41D9-A896-212896AF31AE}" name="Column4180"/>
    <tableColumn id="4188" xr3:uid="{1128F362-B928-4D24-B83C-6042E3066750}" name="Column4181"/>
    <tableColumn id="4189" xr3:uid="{91684DEB-3189-45FA-BE04-AB810B9F31A7}" name="Column4182"/>
    <tableColumn id="4190" xr3:uid="{A6BB0FB9-DF79-4DA4-966A-2CE683E86ADD}" name="Column4183"/>
    <tableColumn id="4191" xr3:uid="{EFE24B4B-460D-47FB-AE27-28513950E096}" name="Column4184"/>
    <tableColumn id="4192" xr3:uid="{447B8A4A-8D50-464A-A376-86B623AF2E77}" name="Column4185"/>
    <tableColumn id="4193" xr3:uid="{B581509F-95B5-4F50-912B-264EE3001A06}" name="Column4186"/>
    <tableColumn id="4194" xr3:uid="{E2080A16-1168-43BE-BD28-B5AF42D8C4E3}" name="Column4187"/>
    <tableColumn id="4195" xr3:uid="{86014353-1968-4F52-9808-C8DD0670AC93}" name="Column4188"/>
    <tableColumn id="4196" xr3:uid="{409D3449-968B-46DB-9A95-314A0BC122D1}" name="Column4189"/>
    <tableColumn id="4197" xr3:uid="{B06F9E93-6F1D-44DE-A66E-141972C4710E}" name="Column4190"/>
    <tableColumn id="4198" xr3:uid="{E80F75E7-74F8-4323-9480-5B9F0FCB7493}" name="Column4191"/>
    <tableColumn id="4199" xr3:uid="{FC466785-F25C-43F7-A7C9-39ED365F9CAF}" name="Column4192"/>
    <tableColumn id="4200" xr3:uid="{A047DA7F-71D6-437F-9967-5FE716E60E1E}" name="Column4193"/>
    <tableColumn id="4201" xr3:uid="{9CB52470-0615-4045-97B5-9268D389349F}" name="Column4194"/>
    <tableColumn id="4202" xr3:uid="{A0A8154A-D947-4B31-A17E-B47995E9CDBC}" name="Column4195"/>
    <tableColumn id="4203" xr3:uid="{8CB46C4E-E541-4CE4-856E-904E8F9672F8}" name="Column4196"/>
    <tableColumn id="4204" xr3:uid="{5CC24FE0-43EE-44EC-A77C-98F0BA67D6EE}" name="Column4197"/>
    <tableColumn id="4205" xr3:uid="{B65E834E-E080-4893-923F-A68A1ABB32E7}" name="Column4198"/>
    <tableColumn id="4206" xr3:uid="{703B9E7F-1163-4F81-9136-6005C3A28B98}" name="Column4199"/>
    <tableColumn id="4207" xr3:uid="{6432CE9A-CC9F-4846-AEF3-8B570708EB77}" name="Column4200"/>
    <tableColumn id="4208" xr3:uid="{E4CE5E85-C755-4261-8F8F-1CA21EE35C50}" name="Column4201"/>
    <tableColumn id="4209" xr3:uid="{30F9CC5F-5135-4AE2-BE4C-8BF08441B20D}" name="Column4202"/>
    <tableColumn id="4210" xr3:uid="{D9306F4A-F11C-422B-9E68-FCCEA7B0CFBB}" name="Column4203"/>
    <tableColumn id="4211" xr3:uid="{D374CA6C-E5FD-49FF-AAE0-95A33AB8F37F}" name="Column4204"/>
    <tableColumn id="4212" xr3:uid="{00546444-9F86-46C4-AEEB-2491E6E350F3}" name="Column4205"/>
    <tableColumn id="4213" xr3:uid="{8872AABE-00C1-4F0E-B8EE-5917CDD8B95A}" name="Column4206"/>
    <tableColumn id="4214" xr3:uid="{5C21B433-3112-4622-AA51-B78C4D44AA86}" name="Column4207"/>
    <tableColumn id="4215" xr3:uid="{6B300D4C-3465-48D9-8DF6-CCB50046D94C}" name="Column4208"/>
    <tableColumn id="4216" xr3:uid="{01666351-F6C6-41ED-9516-9219C2FCA22B}" name="Column4209"/>
    <tableColumn id="4217" xr3:uid="{BAE71EE6-FC11-4627-A700-4E98109F5003}" name="Column4210"/>
    <tableColumn id="4218" xr3:uid="{8F541E30-FA9D-4CD6-AECA-CCBFBFD11EA2}" name="Column4211"/>
    <tableColumn id="4219" xr3:uid="{53413649-2A15-43B7-B6BE-77D7201A34DE}" name="Column4212"/>
    <tableColumn id="4220" xr3:uid="{86CB329A-57A1-4AC9-A5E5-B0D765A22342}" name="Column4213"/>
    <tableColumn id="4221" xr3:uid="{ACDA3386-1504-4257-9154-2097718F9E46}" name="Column4214"/>
    <tableColumn id="4222" xr3:uid="{FA5D1FB9-7B30-479E-95F2-8E4BD09D8A13}" name="Column4215"/>
    <tableColumn id="4223" xr3:uid="{DF009D30-F3AA-45B0-B89E-FA0AE9E6FE45}" name="Column4216"/>
    <tableColumn id="4224" xr3:uid="{4EA6513E-C810-4F68-8AC8-63EE04ADFDC1}" name="Column4217"/>
    <tableColumn id="4225" xr3:uid="{30DE5C7F-9DB7-4902-8D1A-9089FE9EC939}" name="Column4218"/>
    <tableColumn id="4226" xr3:uid="{02E0CDF1-D004-4CF8-8BA1-4B464779FAAC}" name="Column4219"/>
    <tableColumn id="4227" xr3:uid="{7AB9D1C3-D169-4D88-B485-6A1771DD7160}" name="Column4220"/>
    <tableColumn id="4228" xr3:uid="{8243FCDA-D47C-470C-ADE5-E070AB4E2587}" name="Column4221"/>
    <tableColumn id="4229" xr3:uid="{4AB4189C-44C5-4320-A358-038E1A151EBE}" name="Column4222"/>
    <tableColumn id="4230" xr3:uid="{B3B5AFDA-3D4D-40C4-965A-5195E0F177A3}" name="Column4223"/>
    <tableColumn id="4231" xr3:uid="{8B8DD50B-B533-4228-81DB-D48BEB7F010A}" name="Column4224"/>
    <tableColumn id="4232" xr3:uid="{C9D84D23-1D23-4F63-868C-F690C7CA371C}" name="Column4225"/>
    <tableColumn id="4233" xr3:uid="{657DB11A-D5CE-4C2D-9F96-0F5DEED7D515}" name="Column4226"/>
    <tableColumn id="4234" xr3:uid="{EBA3A4E4-FAAA-43A3-87B4-1F6D417C51D7}" name="Column4227"/>
    <tableColumn id="4235" xr3:uid="{5BF6FD9E-9825-4304-B727-C67EFC088BF7}" name="Column4228"/>
    <tableColumn id="4236" xr3:uid="{656BF5FF-6AAB-42D8-A2AA-D27C3F149C9A}" name="Column4229"/>
    <tableColumn id="4237" xr3:uid="{9E68A8EE-C413-412C-AAFA-C36F06A57875}" name="Column4230"/>
    <tableColumn id="4238" xr3:uid="{31FFA4CC-BC4B-426D-BAE2-830FDB5EC6CF}" name="Column4231"/>
    <tableColumn id="4239" xr3:uid="{142C987F-053C-461C-B535-F70EEFD7FE09}" name="Column4232"/>
    <tableColumn id="4240" xr3:uid="{1207C511-0E1E-4D64-8ABD-1EF902CEB8E1}" name="Column4233"/>
    <tableColumn id="4241" xr3:uid="{FCF7B220-B438-41EA-85FE-84706832409D}" name="Column4234"/>
    <tableColumn id="4242" xr3:uid="{B534779F-0EEC-49A8-BAA8-46E5470903F7}" name="Column4235"/>
    <tableColumn id="4243" xr3:uid="{1609A7A5-99E8-4D71-A564-0F3E292AECF1}" name="Column4236"/>
    <tableColumn id="4244" xr3:uid="{597222C9-DF85-43A3-AA59-E0388BD44CCF}" name="Column4237"/>
    <tableColumn id="4245" xr3:uid="{DE17718A-31F8-47F4-9A96-7910228F8D5B}" name="Column4238"/>
    <tableColumn id="4246" xr3:uid="{945DD3C8-2764-443A-B3E6-3E40F9E14192}" name="Column4239"/>
    <tableColumn id="4247" xr3:uid="{BC18A4EE-E5DD-4B94-952A-BB609A12316D}" name="Column4240"/>
    <tableColumn id="4248" xr3:uid="{7E2C9FF6-5083-46D2-918F-301F6B501D11}" name="Column4241"/>
    <tableColumn id="4249" xr3:uid="{CD03AD19-5FC3-40F3-A7EF-B5393913ED54}" name="Column4242"/>
    <tableColumn id="4250" xr3:uid="{1BE514BE-B0D8-4005-9A1C-E89ABE98BD15}" name="Column4243"/>
    <tableColumn id="4251" xr3:uid="{2940B6A9-73E2-4641-897C-8DA0921CA9AA}" name="Column4244"/>
    <tableColumn id="4252" xr3:uid="{B34DAA29-A76D-4871-AE90-469F9F305461}" name="Column4245"/>
    <tableColumn id="4253" xr3:uid="{AC6FAD79-631F-4FA3-9C07-42F7AA09846E}" name="Column4246"/>
    <tableColumn id="4254" xr3:uid="{83D04D8D-B745-40BB-BA55-E216CD6C78D0}" name="Column4247"/>
    <tableColumn id="4255" xr3:uid="{8EB9ED61-657F-47F3-B74E-4452156E93F7}" name="Column4248"/>
    <tableColumn id="4256" xr3:uid="{1CCBEE2E-8A6D-46C0-99CC-9480384BECC9}" name="Column4249"/>
    <tableColumn id="4257" xr3:uid="{02DBD72A-9F98-411B-8623-87131A996E7D}" name="Column4250"/>
    <tableColumn id="4258" xr3:uid="{68C31073-3686-48A3-9B4C-C00654BCBEEB}" name="Column4251"/>
    <tableColumn id="4259" xr3:uid="{FED4B44B-5239-4AAD-A736-E64D43F8F1F8}" name="Column4252"/>
    <tableColumn id="4260" xr3:uid="{2E1AFB4F-8A3A-4CAD-BA98-A89E6B83B6BF}" name="Column4253"/>
    <tableColumn id="4261" xr3:uid="{01BEABE4-402E-4545-93C6-D16209404ED5}" name="Column4254"/>
    <tableColumn id="4262" xr3:uid="{403B7D6E-CEF7-483C-BB8B-38D05E530A23}" name="Column4255"/>
    <tableColumn id="4263" xr3:uid="{33A17485-3A4D-4E42-A260-C6B2E2361E5E}" name="Column4256"/>
    <tableColumn id="4264" xr3:uid="{2692C841-2ADA-40C0-8E82-C722503FF403}" name="Column4257"/>
    <tableColumn id="4265" xr3:uid="{5E22CC63-E4E1-4956-9350-A83692E23A33}" name="Column4258"/>
    <tableColumn id="4266" xr3:uid="{700C56A7-8A9A-44B0-9C32-CDC6CF960F09}" name="Column4259"/>
    <tableColumn id="4267" xr3:uid="{F7675DD1-0A8C-44C1-9163-AE711579A0FE}" name="Column4260"/>
    <tableColumn id="4268" xr3:uid="{4E72FD94-5612-4318-8912-DA961E8AAB18}" name="Column4261"/>
    <tableColumn id="4269" xr3:uid="{B98F6733-B990-4F29-BF42-22438D7D9642}" name="Column4262"/>
    <tableColumn id="4270" xr3:uid="{50810613-D803-451A-AA06-AE794B23B7A9}" name="Column4263"/>
    <tableColumn id="4271" xr3:uid="{5F1A2ACD-4929-4D8C-8871-80614000D8AB}" name="Column4264"/>
    <tableColumn id="4272" xr3:uid="{E9ABE225-F2F0-47D8-B890-C2BD616D9AF2}" name="Column4265"/>
    <tableColumn id="4273" xr3:uid="{7455635C-5C5E-49B9-8041-A8A4B07F13B0}" name="Column4266"/>
    <tableColumn id="4274" xr3:uid="{F0AD7958-8A7F-4265-B413-833239FE61AB}" name="Column4267"/>
    <tableColumn id="4275" xr3:uid="{C0E1074E-CC04-4800-8E2A-EE107D62D54B}" name="Column4268"/>
    <tableColumn id="4276" xr3:uid="{F4708BBC-14F5-411B-ACF0-906B31ED109D}" name="Column4269"/>
    <tableColumn id="4277" xr3:uid="{E58B90BF-5C0F-4DC5-AA48-0A4FE7E27362}" name="Column4270"/>
    <tableColumn id="4278" xr3:uid="{5CAF7E7D-B4E4-4E64-9C49-5DC0595F7570}" name="Column4271"/>
    <tableColumn id="4279" xr3:uid="{CF95F29A-BF87-4B1C-B977-2325F4D4F7D1}" name="Column4272"/>
    <tableColumn id="4280" xr3:uid="{893BEBBF-56F5-4D22-AC13-5F049D86F75E}" name="Column4273"/>
    <tableColumn id="4281" xr3:uid="{C10578AE-3009-416C-B864-3B841D5A14CC}" name="Column4274"/>
    <tableColumn id="4282" xr3:uid="{DE1C0ADD-5854-4488-AA41-E7C089DBB849}" name="Column4275"/>
    <tableColumn id="4283" xr3:uid="{15E62519-E65D-43CB-8C56-A1F87BA81312}" name="Column4276"/>
    <tableColumn id="4284" xr3:uid="{B02323F4-902A-4FB2-9B84-65C0792BF04D}" name="Column4277"/>
    <tableColumn id="4285" xr3:uid="{E3281603-FE47-4E1A-9EFA-7BA6239B21E9}" name="Column4278"/>
    <tableColumn id="4286" xr3:uid="{9AA13342-1877-4AC3-B7EC-537118952035}" name="Column4279"/>
    <tableColumn id="4287" xr3:uid="{942600FC-4C7A-44B1-9F29-70D68E37A65A}" name="Column4280"/>
    <tableColumn id="4288" xr3:uid="{947B04B4-9318-4807-AFFC-1C30520385E6}" name="Column4281"/>
    <tableColumn id="4289" xr3:uid="{D3B35E1B-CA80-4C29-8851-7CC9691FA04F}" name="Column4282"/>
    <tableColumn id="4290" xr3:uid="{52A78ED8-6E70-4A6F-9260-E0FC348CF2C9}" name="Column4283"/>
    <tableColumn id="4291" xr3:uid="{BA0DFD55-F473-43F7-A20F-D9D6D096BBDD}" name="Column4284"/>
    <tableColumn id="4292" xr3:uid="{769FDEC0-6D1D-4104-ABF8-B344B946466E}" name="Column4285"/>
    <tableColumn id="4293" xr3:uid="{3547459F-0DA4-408C-9A7F-B5DC5DA65018}" name="Column4286"/>
    <tableColumn id="4294" xr3:uid="{E8488FFD-DC43-4016-AB7D-6EEAF34B2D99}" name="Column4287"/>
    <tableColumn id="4295" xr3:uid="{6CEB98E1-2D1E-41A5-A710-454122287864}" name="Column4288"/>
    <tableColumn id="4296" xr3:uid="{85FC1DC4-AB3B-49AD-868B-944C016C0A4E}" name="Column4289"/>
    <tableColumn id="4297" xr3:uid="{F8105818-EDB9-4284-B7B9-DC4D7768E59F}" name="Column4290"/>
    <tableColumn id="4298" xr3:uid="{685F99A6-21D2-4A78-8EDD-7BBBFBED8B11}" name="Column4291"/>
    <tableColumn id="4299" xr3:uid="{DD920152-4BF9-4388-9981-5C1DE40FA8AF}" name="Column4292"/>
    <tableColumn id="4300" xr3:uid="{E433591B-8CB7-49E5-9737-A2110F811606}" name="Column4293"/>
    <tableColumn id="4301" xr3:uid="{CFFEF586-CF31-4DB7-88BD-E26D14CBC8D1}" name="Column4294"/>
    <tableColumn id="4302" xr3:uid="{77A51D29-7FC3-4585-A9A4-D0F7579FF27A}" name="Column4295"/>
    <tableColumn id="4303" xr3:uid="{6582A2D5-A8D1-4BAE-96AA-AA1090CA202A}" name="Column4296"/>
    <tableColumn id="4304" xr3:uid="{6AAC85FF-6448-467D-978E-B65CECF5FC48}" name="Column4297"/>
    <tableColumn id="4305" xr3:uid="{5CCCAD11-C3B7-40C0-B135-24778C4B92F9}" name="Column4298"/>
    <tableColumn id="4306" xr3:uid="{0471EBFA-BD46-41DA-B128-9A66AF4B4F75}" name="Column4299"/>
    <tableColumn id="4307" xr3:uid="{1AA7D5C9-9C02-4935-AD75-17A0C289AFD3}" name="Column4300"/>
    <tableColumn id="4308" xr3:uid="{FE160B31-0ECA-475B-B0AD-DF5F63FF26CD}" name="Column4301"/>
    <tableColumn id="4309" xr3:uid="{A64E32B3-3987-4178-A19B-433C3C974F81}" name="Column4302"/>
    <tableColumn id="4310" xr3:uid="{C0252626-3AB9-4717-9305-CABDF1CEA723}" name="Column4303"/>
    <tableColumn id="4311" xr3:uid="{2078671D-7196-49DD-9F0E-C5C9B0CD37BD}" name="Column4304"/>
    <tableColumn id="4312" xr3:uid="{9A3A2EB0-FD3F-4236-96B8-6EF768469E07}" name="Column4305"/>
    <tableColumn id="4313" xr3:uid="{7C36416F-C4E8-4AEF-9375-1D04CDCA1EC2}" name="Column4306"/>
    <tableColumn id="4314" xr3:uid="{03C87DD9-04B2-4B1D-9B17-C14334AC9FF3}" name="Column4307"/>
    <tableColumn id="4315" xr3:uid="{AE225C03-5B8C-44C7-BB3E-C7678805C42C}" name="Column4308"/>
    <tableColumn id="4316" xr3:uid="{B830B859-8AF5-4878-AD18-41138E0208BB}" name="Column4309"/>
    <tableColumn id="4317" xr3:uid="{E8103076-D23C-4A81-9843-EC921799F25B}" name="Column4310"/>
    <tableColumn id="4318" xr3:uid="{3B7876E0-52C9-45C5-883F-B6A9849F63DD}" name="Column4311"/>
    <tableColumn id="4319" xr3:uid="{AB8B0E6D-758D-4ABB-BE12-7B271CAB3B64}" name="Column4312"/>
    <tableColumn id="4320" xr3:uid="{CFF558E9-907A-4D05-A537-691CE72E04F3}" name="Column4313"/>
    <tableColumn id="4321" xr3:uid="{D62BFA48-8A5E-4D74-9627-DED9D2CB2ED0}" name="Column4314"/>
    <tableColumn id="4322" xr3:uid="{AB08D27D-72B3-454D-80F6-08EDA3690505}" name="Column4315"/>
    <tableColumn id="4323" xr3:uid="{84A1E438-1941-4D66-AD32-A0BFB71B1B78}" name="Column4316"/>
    <tableColumn id="4324" xr3:uid="{8DD05C23-CF91-409D-99B1-FF56E710B934}" name="Column4317"/>
    <tableColumn id="4325" xr3:uid="{4B1F5E38-33DF-4AD4-9907-145913AAD38C}" name="Column4318"/>
    <tableColumn id="4326" xr3:uid="{B4AA10D7-0195-4DBF-AF5C-D7B67703AA7E}" name="Column4319"/>
    <tableColumn id="4327" xr3:uid="{A713C6B4-4E68-4D46-8A42-8A96104F454F}" name="Column4320"/>
    <tableColumn id="4328" xr3:uid="{6A782084-3E36-42AE-903B-D36E0CEA2E10}" name="Column4321"/>
    <tableColumn id="4329" xr3:uid="{7BAFFEA7-A0FF-45E3-B07B-7726BFAC66AD}" name="Column4322"/>
    <tableColumn id="4330" xr3:uid="{6AA71578-CF1D-42D3-8F35-5B52565311B1}" name="Column4323"/>
    <tableColumn id="4331" xr3:uid="{A7D955EA-1E30-4B9F-AC61-74775687ED95}" name="Column4324"/>
    <tableColumn id="4332" xr3:uid="{F1DF7B2F-BA90-4B5D-8BDB-387F57B6A0C3}" name="Column4325"/>
    <tableColumn id="4333" xr3:uid="{EEA0568E-6177-4E6B-A594-C3C54AC25E74}" name="Column4326"/>
    <tableColumn id="4334" xr3:uid="{5C5D7F22-9FDE-4E82-AEBD-54EAB16CE943}" name="Column4327"/>
    <tableColumn id="4335" xr3:uid="{3A71ABE9-8AC7-45A5-A398-59BB36B07D19}" name="Column4328"/>
    <tableColumn id="4336" xr3:uid="{2D0F8AC1-8147-4414-89A1-1E2E604E0EC8}" name="Column4329"/>
    <tableColumn id="4337" xr3:uid="{AA911D1C-FF21-44E0-830B-A3904C26BAAC}" name="Column4330"/>
    <tableColumn id="4338" xr3:uid="{73357EE4-6F44-4518-98C6-581CA3C648C2}" name="Column4331"/>
    <tableColumn id="4339" xr3:uid="{C164C4F3-BC0D-4BDA-889C-D8DB8B2D8B88}" name="Column4332"/>
    <tableColumn id="4340" xr3:uid="{6115BB51-68C9-48BC-A42A-FBD2295DC23B}" name="Column4333"/>
    <tableColumn id="4341" xr3:uid="{C35CBDB7-C6D2-4F5C-A47F-E2170C1F1FF2}" name="Column4334"/>
    <tableColumn id="4342" xr3:uid="{E627FBC4-4471-48E4-B6EC-86301B8252FB}" name="Column4335"/>
    <tableColumn id="4343" xr3:uid="{2F613358-5539-447D-9CBA-CC7B772F1402}" name="Column4336"/>
    <tableColumn id="4344" xr3:uid="{4BE39166-80CD-4BBC-9F0C-502F8EA4F511}" name="Column4337"/>
    <tableColumn id="4345" xr3:uid="{0C955806-3C2A-4954-B5D1-A8360E452A35}" name="Column4338"/>
    <tableColumn id="4346" xr3:uid="{22125F9B-F6BA-47C4-99AE-DCBF8F31BD2E}" name="Column4339"/>
    <tableColumn id="4347" xr3:uid="{E3D23EFF-FD13-4EBA-99D1-FAC3186DB0AF}" name="Column4340"/>
    <tableColumn id="4348" xr3:uid="{B83D22F5-C468-40E7-8B2B-D65F5D26AD4A}" name="Column4341"/>
    <tableColumn id="4349" xr3:uid="{A5CF8C11-FAFF-4B52-9233-3A7D5D617B2B}" name="Column4342"/>
    <tableColumn id="4350" xr3:uid="{8B43E646-06A0-400E-AD1C-A6E513DCF017}" name="Column4343"/>
    <tableColumn id="4351" xr3:uid="{0116DE82-9FE4-4A2A-9373-131F58E0856D}" name="Column4344"/>
    <tableColumn id="4352" xr3:uid="{4707EFF1-4D25-4221-9F60-6E22102F1847}" name="Column4345"/>
    <tableColumn id="4353" xr3:uid="{90019A3E-DEE9-47E2-9FAF-2D2BF8256394}" name="Column4346"/>
    <tableColumn id="4354" xr3:uid="{AD0E1E46-1532-45B8-B373-01D80FCF3537}" name="Column4347"/>
    <tableColumn id="4355" xr3:uid="{06ADC548-3FCD-41B5-8844-6A8D3E3D2842}" name="Column4348"/>
    <tableColumn id="4356" xr3:uid="{11DBFF63-EDE4-4A64-A080-F02BB24DAB1F}" name="Column4349"/>
    <tableColumn id="4357" xr3:uid="{8032D774-B51F-4CB7-94E2-1BCC91D783C7}" name="Column4350"/>
    <tableColumn id="4358" xr3:uid="{87ACD347-606F-443D-8FE9-406F5F3460B0}" name="Column4351"/>
    <tableColumn id="4359" xr3:uid="{414284CC-3197-44AE-BB6E-0C1F316B910C}" name="Column4352"/>
    <tableColumn id="4360" xr3:uid="{08451B12-FE9D-4524-8D7B-E976D7ACF5C2}" name="Column4353"/>
    <tableColumn id="4361" xr3:uid="{F3C4142B-4A71-4FDB-A0A8-62F4C1874974}" name="Column4354"/>
    <tableColumn id="4362" xr3:uid="{3A958D8C-0AE9-4D7F-A335-AB5F3C9DD76E}" name="Column4355"/>
    <tableColumn id="4363" xr3:uid="{A9D0AB7E-015F-4373-A266-DF6E29F1A1AC}" name="Column4356"/>
    <tableColumn id="4364" xr3:uid="{3575EC43-4294-40F7-8FFF-C80F004D25E0}" name="Column4357"/>
    <tableColumn id="4365" xr3:uid="{7287C142-70EB-4649-AEB3-186BA914E0FE}" name="Column4358"/>
    <tableColumn id="4366" xr3:uid="{C7515289-403B-4537-8D93-DB1AF6955F83}" name="Column4359"/>
    <tableColumn id="4367" xr3:uid="{175B6B0B-ED14-4B4D-AC09-73330FC06881}" name="Column4360"/>
    <tableColumn id="4368" xr3:uid="{F9445114-1BC4-4F73-A8EA-9AF51ED64C76}" name="Column4361"/>
    <tableColumn id="4369" xr3:uid="{7D340011-AA43-4C34-A8CA-A72CE2EB8C05}" name="Column4362"/>
    <tableColumn id="4370" xr3:uid="{61169873-BEB2-44D6-AB82-75AD922A137C}" name="Column4363"/>
    <tableColumn id="4371" xr3:uid="{F7104FB6-C611-4E63-929A-B96A9CFC349A}" name="Column4364"/>
    <tableColumn id="4372" xr3:uid="{A9A17A1D-87F9-4BDA-89CF-C5DF8F3C3F3D}" name="Column4365"/>
    <tableColumn id="4373" xr3:uid="{39FA2536-3085-4408-974F-8081F3EFA728}" name="Column4366"/>
    <tableColumn id="4374" xr3:uid="{82B8EF13-A249-4488-BE9F-285585ADC470}" name="Column4367"/>
    <tableColumn id="4375" xr3:uid="{A5898E7E-4FA7-4B71-8831-3FF66D3E3407}" name="Column4368"/>
    <tableColumn id="4376" xr3:uid="{388A790D-826A-463D-80FC-81E56C41C6A2}" name="Column4369"/>
    <tableColumn id="4377" xr3:uid="{7C6E5F29-F3B2-4D45-88D0-01D44A9AC170}" name="Column4370"/>
    <tableColumn id="4378" xr3:uid="{D270954E-9973-49C5-85F7-89C302FC3C7B}" name="Column4371"/>
    <tableColumn id="4379" xr3:uid="{D8FA696B-6AAC-4DFF-94B6-C74235717CDD}" name="Column4372"/>
    <tableColumn id="4380" xr3:uid="{FDCCDEC4-8604-4A68-BF64-3D14147B3C5E}" name="Column4373"/>
    <tableColumn id="4381" xr3:uid="{A43E7BB0-0E85-4954-A5DF-A3CB5E26CB6F}" name="Column4374"/>
    <tableColumn id="4382" xr3:uid="{1CBA181F-4737-4940-BC89-AFAB621A2B2C}" name="Column4375"/>
    <tableColumn id="4383" xr3:uid="{AA8F0B89-33AA-40B5-BDCF-6D245E0A28C3}" name="Column4376"/>
    <tableColumn id="4384" xr3:uid="{2CC24955-0CD1-446C-B6D5-DFF3936B0EDB}" name="Column4377"/>
    <tableColumn id="4385" xr3:uid="{C343C686-CA52-489F-97F2-949560B39BD7}" name="Column4378"/>
    <tableColumn id="4386" xr3:uid="{D12CEBC1-1D5F-45A6-B6C1-8158948A6900}" name="Column4379"/>
    <tableColumn id="4387" xr3:uid="{38ECE54F-7D56-4265-B775-0E4572675E7D}" name="Column4380"/>
    <tableColumn id="4388" xr3:uid="{0AA223C9-97AD-4FA3-8F66-4513ED8BC96F}" name="Column4381"/>
    <tableColumn id="4389" xr3:uid="{716C22F3-F7E2-4298-BC58-D54A7F6A22C9}" name="Column4382"/>
    <tableColumn id="4390" xr3:uid="{1AD8D7F2-18D6-4F59-99FE-32A449C1BCA7}" name="Column4383"/>
    <tableColumn id="4391" xr3:uid="{3230A538-02A3-4383-97BB-5D86D72C72A5}" name="Column4384"/>
    <tableColumn id="4392" xr3:uid="{82A14BAB-9592-4B29-8BB1-6E6C70DE3154}" name="Column4385"/>
    <tableColumn id="4393" xr3:uid="{87110336-97C1-4123-9FA9-A9FAADC7C19F}" name="Column4386"/>
    <tableColumn id="4394" xr3:uid="{02DED258-A495-49EE-BDCA-7BB1B86417FA}" name="Column4387"/>
    <tableColumn id="4395" xr3:uid="{4F0A7539-2A94-41DE-A16F-0239718DE26D}" name="Column4388"/>
    <tableColumn id="4396" xr3:uid="{74678FCA-5757-4BD4-847E-8B4864EBF865}" name="Column4389"/>
    <tableColumn id="4397" xr3:uid="{B358612B-4EFF-4063-927D-9A0B8B887AA4}" name="Column4390"/>
    <tableColumn id="4398" xr3:uid="{04EC23D8-76FD-4412-8950-40EB38A5E6B3}" name="Column4391"/>
    <tableColumn id="4399" xr3:uid="{1383578D-3BF1-4326-86BD-072BD31BC7E6}" name="Column4392"/>
    <tableColumn id="4400" xr3:uid="{AFE732A3-5439-470E-8597-6909C445AAEE}" name="Column4393"/>
    <tableColumn id="4401" xr3:uid="{27E21F09-9F5A-49D2-BD12-F30EC7E7A053}" name="Column4394"/>
    <tableColumn id="4402" xr3:uid="{8F732208-CB2B-41A9-8CFF-251923155EF5}" name="Column4395"/>
    <tableColumn id="4403" xr3:uid="{5FC5E625-9E60-467A-ABC7-B608C31105B6}" name="Column4396"/>
    <tableColumn id="4404" xr3:uid="{9545CC1B-EABB-4B33-B131-FF8EE2017E40}" name="Column4397"/>
    <tableColumn id="4405" xr3:uid="{7144C199-1489-4E91-9369-85306D19B865}" name="Column4398"/>
    <tableColumn id="4406" xr3:uid="{2CAD7DA6-65DC-40AB-A4D4-FFC4588761A2}" name="Column4399"/>
    <tableColumn id="4407" xr3:uid="{B5E86478-30F0-4B8C-9B5B-CA8F66F8310F}" name="Column4400"/>
    <tableColumn id="4408" xr3:uid="{265C47C9-E335-4410-B5D1-B8C9D1A9781A}" name="Column4401"/>
    <tableColumn id="4409" xr3:uid="{CF2A7F41-01AE-426F-BBA9-B33DCC14883D}" name="Column4402"/>
    <tableColumn id="4410" xr3:uid="{4ED84695-365B-49DA-8EB8-A31CD9B76E83}" name="Column4403"/>
    <tableColumn id="4411" xr3:uid="{4E4B99EA-FFCF-46B2-A110-C7221D137842}" name="Column4404"/>
    <tableColumn id="4412" xr3:uid="{6CB13AA1-43CC-44EE-B72A-5575AD1FABA6}" name="Column4405"/>
    <tableColumn id="4413" xr3:uid="{E9EDC3FC-4448-41D1-B806-0227C6A606D1}" name="Column4406"/>
    <tableColumn id="4414" xr3:uid="{E9DF5423-3497-4D60-BC13-5775E972951C}" name="Column4407"/>
    <tableColumn id="4415" xr3:uid="{5B471E09-8F55-4AA8-AE51-CFEC5EB7A9D9}" name="Column4408"/>
    <tableColumn id="4416" xr3:uid="{CFCF1885-BDA2-49EE-96D5-79B56670079E}" name="Column4409"/>
    <tableColumn id="4417" xr3:uid="{A8660C82-ADC0-4C22-BAB1-BCEE06DD3CFE}" name="Column4410"/>
    <tableColumn id="4418" xr3:uid="{DCFA38B6-DD7D-4258-91FA-7E5F5B69E4AD}" name="Column4411"/>
    <tableColumn id="4419" xr3:uid="{8AF0AC74-31BA-4D3B-9CB2-DB4015CF5292}" name="Column4412"/>
    <tableColumn id="4420" xr3:uid="{4F152B91-D5E1-4B9C-982B-A7BB41E30CD8}" name="Column4413"/>
    <tableColumn id="4421" xr3:uid="{EADFC348-EE01-4E21-847E-6DCAE1ACF153}" name="Column4414"/>
    <tableColumn id="4422" xr3:uid="{AA691353-E678-426D-B8F3-09520CB8E96D}" name="Column4415"/>
    <tableColumn id="4423" xr3:uid="{C331D583-BB0A-497C-AF7D-A2227B497843}" name="Column4416"/>
    <tableColumn id="4424" xr3:uid="{6EA6612E-598B-4886-B774-55C13DD2C3E7}" name="Column4417"/>
    <tableColumn id="4425" xr3:uid="{ED44311B-A8BE-4E70-A3B0-1C9ED1EBE7E3}" name="Column4418"/>
    <tableColumn id="4426" xr3:uid="{4F65DB5B-52AF-4591-A2C6-969011FEF4C0}" name="Column4419"/>
    <tableColumn id="4427" xr3:uid="{C49B81A0-8B83-47E3-BC73-185E7C6F70FC}" name="Column4420"/>
    <tableColumn id="4428" xr3:uid="{0B2D2BEB-5B2A-486D-B4FA-5A43CFEE79A8}" name="Column4421"/>
    <tableColumn id="4429" xr3:uid="{5C635515-AA59-4EEB-9562-B858C2193D91}" name="Column4422"/>
    <tableColumn id="4430" xr3:uid="{F36ABD94-D402-4549-8527-260678EDB1EB}" name="Column4423"/>
    <tableColumn id="4431" xr3:uid="{7CA289B4-7190-446F-8E39-5EC695148320}" name="Column4424"/>
    <tableColumn id="4432" xr3:uid="{94BD048F-836F-4F74-84E2-5FC00682CD50}" name="Column4425"/>
    <tableColumn id="4433" xr3:uid="{3A3F65AD-7961-4204-9FBC-A6B4BFDE876B}" name="Column4426"/>
    <tableColumn id="4434" xr3:uid="{8B7453A2-4BBF-41F1-BA2E-3479C86C64E8}" name="Column4427"/>
    <tableColumn id="4435" xr3:uid="{1EE1B046-5A9F-4D3B-B086-1D3F88F711D2}" name="Column4428"/>
    <tableColumn id="4436" xr3:uid="{8E8A4122-5E70-448C-8344-FA731D2ED0EF}" name="Column4429"/>
    <tableColumn id="4437" xr3:uid="{E9CB7634-EEC7-47F0-AF6D-0CA9AD9A74D7}" name="Column4430"/>
    <tableColumn id="4438" xr3:uid="{B90FF327-6B1E-4596-A647-C5C24C5A129F}" name="Column4431"/>
    <tableColumn id="4439" xr3:uid="{A619ADA2-C1E9-446D-BE6B-ADEAB860BBC7}" name="Column4432"/>
    <tableColumn id="4440" xr3:uid="{E01D3537-D048-474F-B789-DBECCDAFBDED}" name="Column4433"/>
    <tableColumn id="4441" xr3:uid="{AD9095D4-2338-43EB-B50F-D701ACA14147}" name="Column4434"/>
    <tableColumn id="4442" xr3:uid="{959B4946-CE87-44DF-99E6-142588356EE4}" name="Column4435"/>
    <tableColumn id="4443" xr3:uid="{4194516A-656F-4FBF-891E-2A86D388B69B}" name="Column4436"/>
    <tableColumn id="4444" xr3:uid="{650A4ACB-CF6E-4D5E-9A3B-97105C4FE894}" name="Column4437"/>
    <tableColumn id="4445" xr3:uid="{D8ABAB97-8C8C-47EB-BFD0-28E6F9AC3218}" name="Column4438"/>
    <tableColumn id="4446" xr3:uid="{759D0064-CA68-419E-ADB7-EF620BD3B855}" name="Column4439"/>
    <tableColumn id="4447" xr3:uid="{0752F636-4D50-441C-80BB-7EA01A8CC1C0}" name="Column4440"/>
    <tableColumn id="4448" xr3:uid="{A4B44554-2D88-419F-B1F4-1345EDBD510B}" name="Column4441"/>
    <tableColumn id="4449" xr3:uid="{E7FE3551-93D4-4133-B139-130C83B25AC5}" name="Column4442"/>
    <tableColumn id="4450" xr3:uid="{DB132AC5-7DCD-42D2-A709-84C6EDC6E23A}" name="Column4443"/>
    <tableColumn id="4451" xr3:uid="{7D142E14-A6DF-4991-9F97-6252C558820A}" name="Column4444"/>
    <tableColumn id="4452" xr3:uid="{69177D20-9AF6-4CFD-98ED-A16856FD7D0D}" name="Column4445"/>
    <tableColumn id="4453" xr3:uid="{86EB32F7-AB4E-4497-AD0F-95394E750230}" name="Column4446"/>
    <tableColumn id="4454" xr3:uid="{0AF0FE34-A62F-4CCA-9887-BAF1C0069AE3}" name="Column4447"/>
    <tableColumn id="4455" xr3:uid="{073A7CCD-46C6-4400-A3ED-A14618EFDE90}" name="Column4448"/>
    <tableColumn id="4456" xr3:uid="{191EA7E7-CC5E-43B0-B27A-67352A9B1D78}" name="Column4449"/>
    <tableColumn id="4457" xr3:uid="{7D035D57-A1C0-4E60-83A6-CAD1813D7844}" name="Column4450"/>
    <tableColumn id="4458" xr3:uid="{D2365ABD-4F88-49E0-AF43-86609256634C}" name="Column4451"/>
    <tableColumn id="4459" xr3:uid="{5E6FC9C9-0180-4B99-87A6-2FE5F600EC56}" name="Column4452"/>
    <tableColumn id="4460" xr3:uid="{D9AF8230-FD9E-419A-B317-8A8190186D11}" name="Column4453"/>
    <tableColumn id="4461" xr3:uid="{084F08BD-E2C5-4B88-8106-D78D76836E1F}" name="Column4454"/>
    <tableColumn id="4462" xr3:uid="{FC6A7B0C-9475-4F6B-9467-A9C7E13A8936}" name="Column4455"/>
    <tableColumn id="4463" xr3:uid="{884C2A4A-7ED0-4144-BD9E-D7AD171EABDE}" name="Column4456"/>
    <tableColumn id="4464" xr3:uid="{A28BC8F7-86FD-46C3-8E81-65CD817C24B8}" name="Column4457"/>
    <tableColumn id="4465" xr3:uid="{2F1D0670-A735-43BE-930F-91DE14E2715A}" name="Column4458"/>
    <tableColumn id="4466" xr3:uid="{64C0DC73-8156-4230-B063-485722A3FF40}" name="Column4459"/>
    <tableColumn id="4467" xr3:uid="{84484DD5-B15D-496C-92C3-2538585FC683}" name="Column4460"/>
    <tableColumn id="4468" xr3:uid="{675DE49C-B9B5-4202-BCE7-AA644C252B32}" name="Column4461"/>
    <tableColumn id="4469" xr3:uid="{5D715EC4-BB2B-4AF2-9C10-D59EC9819D3B}" name="Column4462"/>
    <tableColumn id="4470" xr3:uid="{31AF9BCE-6134-404C-9229-356273B22711}" name="Column4463"/>
    <tableColumn id="4471" xr3:uid="{24F60A60-9FFC-4758-A589-F2E02616FD36}" name="Column4464"/>
    <tableColumn id="4472" xr3:uid="{348B7535-D0F2-449E-8D23-8527AB6C5DC6}" name="Column4465"/>
    <tableColumn id="4473" xr3:uid="{BB851876-40DE-4A05-B519-DE1E5B24C6E9}" name="Column4466"/>
    <tableColumn id="4474" xr3:uid="{6A546235-4016-41A3-8185-D96CE26D5AD3}" name="Column4467"/>
    <tableColumn id="4475" xr3:uid="{A6BA3F45-C6D8-41D7-BDFE-5CEB4AB13240}" name="Column4468"/>
    <tableColumn id="4476" xr3:uid="{6E4FBD02-2C9D-4DFF-B5EA-E3C8A5694612}" name="Column4469"/>
    <tableColumn id="4477" xr3:uid="{C7B1B89F-BAF5-495F-9E34-2368CD9BBD93}" name="Column4470"/>
    <tableColumn id="4478" xr3:uid="{139A9D69-30E8-4398-B553-9217109FFB47}" name="Column4471"/>
    <tableColumn id="4479" xr3:uid="{FB379256-CFB6-4759-A019-A3D3F8A72B69}" name="Column4472"/>
    <tableColumn id="4480" xr3:uid="{5AFDB5BC-DC11-4158-B60D-FBF0FB88AD84}" name="Column4473"/>
    <tableColumn id="4481" xr3:uid="{57EF3437-46A1-4F2D-9C03-F9C5A5D0D9AC}" name="Column4474"/>
    <tableColumn id="4482" xr3:uid="{1B1D523E-BE60-4BBF-A572-08540B4685BE}" name="Column4475"/>
    <tableColumn id="4483" xr3:uid="{2BC4A63B-5CB9-4FD7-B725-6274BDA74E5A}" name="Column4476"/>
    <tableColumn id="4484" xr3:uid="{97C5F848-A2AE-4341-B7E3-2315D57D4044}" name="Column4477"/>
    <tableColumn id="4485" xr3:uid="{EDB84526-BCF0-400F-A7D0-DCADD8C82D4D}" name="Column4478"/>
    <tableColumn id="4486" xr3:uid="{1A13EF5B-A066-4418-8ADA-DE823A31BFF8}" name="Column4479"/>
    <tableColumn id="4487" xr3:uid="{46679317-98A7-4755-8E59-E38B054AA7CC}" name="Column4480"/>
    <tableColumn id="4488" xr3:uid="{8C706B3B-6A8B-4489-9583-8E188C66BC95}" name="Column4481"/>
    <tableColumn id="4489" xr3:uid="{8ED6286B-AABB-4F8A-9DA1-1E637F3CC7B7}" name="Column4482"/>
    <tableColumn id="4490" xr3:uid="{8FF99778-2C83-4B95-B58C-C5C26CD97F3D}" name="Column4483"/>
    <tableColumn id="4491" xr3:uid="{74114BCF-F713-46D4-9C0E-294D3E305750}" name="Column4484"/>
    <tableColumn id="4492" xr3:uid="{3B29D1A8-1F43-49A8-82EC-7A963A26729A}" name="Column4485"/>
    <tableColumn id="4493" xr3:uid="{F6DD768F-B66C-4A6B-AA1C-010256BFC11A}" name="Column4486"/>
    <tableColumn id="4494" xr3:uid="{F5F8B404-8CCA-4E8C-A2FF-390433A77FB8}" name="Column4487"/>
    <tableColumn id="4495" xr3:uid="{D3F3E0AC-65DA-4202-8209-9F217379AA5D}" name="Column4488"/>
    <tableColumn id="4496" xr3:uid="{24CFBA0C-888D-4AA2-A444-F2B9949F35F3}" name="Column4489"/>
    <tableColumn id="4497" xr3:uid="{7F00BE4F-F6CE-479F-BCB2-1DD7EE0EFFFD}" name="Column4490"/>
    <tableColumn id="4498" xr3:uid="{6C50ED76-9639-4AE8-BDC6-76D05BED33E5}" name="Column4491"/>
    <tableColumn id="4499" xr3:uid="{DA83D5B0-89CD-40B4-91D6-FBA1C3774688}" name="Column4492"/>
    <tableColumn id="4500" xr3:uid="{0960FF95-1E23-4910-A579-383BA7EFBA20}" name="Column4493"/>
    <tableColumn id="4501" xr3:uid="{7248BCB6-20B0-449F-9AD5-34EBD1D0D700}" name="Column4494"/>
    <tableColumn id="4502" xr3:uid="{D353310E-27BD-4049-B9CB-23AC872F727F}" name="Column4495"/>
    <tableColumn id="4503" xr3:uid="{A6BB1F6E-CDF8-464D-A808-264A7C09B4E7}" name="Column4496"/>
    <tableColumn id="4504" xr3:uid="{CFD9FC25-DEDB-4811-B690-D0292C8C1654}" name="Column4497"/>
    <tableColumn id="4505" xr3:uid="{E4366782-83B4-4ACD-97C3-57D70080911C}" name="Column4498"/>
    <tableColumn id="4506" xr3:uid="{7FB771CB-61A4-4173-8FE5-0EEE6A2D24BF}" name="Column4499"/>
    <tableColumn id="4507" xr3:uid="{2D6B3286-E456-47E2-9478-F61A1A5C77E0}" name="Column4500"/>
    <tableColumn id="4508" xr3:uid="{5924DE44-C052-48E9-80DB-0BF508704A15}" name="Column4501"/>
    <tableColumn id="4509" xr3:uid="{A4001C5C-11FB-48F7-841A-DE12FAAB99CD}" name="Column4502"/>
    <tableColumn id="4510" xr3:uid="{9AB0EDDB-33EC-4797-8C56-22C4A53BE188}" name="Column4503"/>
    <tableColumn id="4511" xr3:uid="{45DE4854-AD83-4E15-A701-55033B6A1A0B}" name="Column4504"/>
    <tableColumn id="4512" xr3:uid="{F15248E6-0370-4E37-A18C-8DA81CBD5F06}" name="Column4505"/>
    <tableColumn id="4513" xr3:uid="{9BD5516C-FE3F-44AC-9E97-FC5AF2EE4063}" name="Column4506"/>
    <tableColumn id="4514" xr3:uid="{800250FA-F1EE-410F-9BE9-59CA312183CB}" name="Column4507"/>
    <tableColumn id="4515" xr3:uid="{69A4EBF3-627B-4D99-9580-58BFA373C494}" name="Column4508"/>
    <tableColumn id="4516" xr3:uid="{6199B3F9-EA0E-43C0-997B-DCF5405AE3B0}" name="Column4509"/>
    <tableColumn id="4517" xr3:uid="{04A0877E-D617-4280-A415-779A2FE21992}" name="Column4510"/>
    <tableColumn id="4518" xr3:uid="{39D2CAFB-9771-45E3-9405-F4EF700A888B}" name="Column4511"/>
    <tableColumn id="4519" xr3:uid="{03B494CF-4D78-47A7-A6C7-DF5B0BA38218}" name="Column4512"/>
    <tableColumn id="4520" xr3:uid="{D89CFB53-E6C9-45CD-A5FA-2604910EDDA9}" name="Column4513"/>
    <tableColumn id="4521" xr3:uid="{9F316203-85DD-4CAF-AA51-580FE03E498F}" name="Column4514"/>
    <tableColumn id="4522" xr3:uid="{94549A9D-80B5-4597-A4B5-E82B4C491D9A}" name="Column4515"/>
    <tableColumn id="4523" xr3:uid="{D3C94E84-6CF2-4DA9-AFA9-6A30311DA61A}" name="Column4516"/>
    <tableColumn id="4524" xr3:uid="{DEEFE66C-68A8-4076-A685-DB7FE77D06BC}" name="Column4517"/>
    <tableColumn id="4525" xr3:uid="{2F5D9BD8-8B15-490A-A47F-A2C289EACC6E}" name="Column4518"/>
    <tableColumn id="4526" xr3:uid="{9092C4D4-2E76-4A01-A617-114D168C8208}" name="Column4519"/>
    <tableColumn id="4527" xr3:uid="{75E500AF-2CF9-4EB4-9DBB-7BF2CFEEB65A}" name="Column4520"/>
    <tableColumn id="4528" xr3:uid="{55AD5E1F-DB4C-418F-953E-064943861DC5}" name="Column4521"/>
    <tableColumn id="4529" xr3:uid="{CF5B05DA-49B2-4816-BD7C-7C7DDBF789C6}" name="Column4522"/>
    <tableColumn id="4530" xr3:uid="{E956087B-EB01-4BE3-988A-E21F1E80002A}" name="Column4523"/>
    <tableColumn id="4531" xr3:uid="{13C0A2A8-5316-4DDD-86AF-6B979245EFF4}" name="Column4524"/>
    <tableColumn id="4532" xr3:uid="{909BE3EF-B378-4548-8587-7BED524C7B4C}" name="Column4525"/>
    <tableColumn id="4533" xr3:uid="{C56FD1D1-2DEA-4BF4-B3FE-632C2B385D6B}" name="Column4526"/>
    <tableColumn id="4534" xr3:uid="{0226A56A-0EF4-4533-B6C6-FBE8A421CF6E}" name="Column4527"/>
    <tableColumn id="4535" xr3:uid="{F448B9B6-3E8F-4542-A995-ADBA9E34C437}" name="Column4528"/>
    <tableColumn id="4536" xr3:uid="{42296026-8CCA-4112-8F24-4799374697AB}" name="Column4529"/>
    <tableColumn id="4537" xr3:uid="{889EEA71-5AFD-4642-9B58-2808314DF3DE}" name="Column4530"/>
    <tableColumn id="4538" xr3:uid="{7793C79E-1657-4AB5-912E-C8EA48F808EE}" name="Column4531"/>
    <tableColumn id="4539" xr3:uid="{A205C017-4DC3-41F4-8082-B6D769E58618}" name="Column4532"/>
    <tableColumn id="4540" xr3:uid="{DE2B1F95-A7AF-452B-A4D5-19DB8A58C9C4}" name="Column4533"/>
    <tableColumn id="4541" xr3:uid="{8C55223F-B76C-48BA-9F2E-384B58CC6E5C}" name="Column4534"/>
    <tableColumn id="4542" xr3:uid="{DBFB37F7-7569-4436-9F13-FAD4A50800CE}" name="Column4535"/>
    <tableColumn id="4543" xr3:uid="{03D8F050-DE91-45D6-A033-6BAA1C867174}" name="Column4536"/>
    <tableColumn id="4544" xr3:uid="{BCB75488-DDC8-4495-B830-64CFA2BBF7D2}" name="Column4537"/>
    <tableColumn id="4545" xr3:uid="{B390D74A-A88E-483E-BBDC-46D99E5CE7FE}" name="Column4538"/>
    <tableColumn id="4546" xr3:uid="{328477CB-0CB6-46B6-8695-B9C2C2B532D1}" name="Column4539"/>
    <tableColumn id="4547" xr3:uid="{4B743852-F43C-44BA-B6EF-40897C646F5C}" name="Column4540"/>
    <tableColumn id="4548" xr3:uid="{34C50EDE-D6D7-4167-98A0-238244982600}" name="Column4541"/>
    <tableColumn id="4549" xr3:uid="{D2AC6F18-8AD7-4193-9F10-B473D9937B6E}" name="Column4542"/>
    <tableColumn id="4550" xr3:uid="{2770290F-05F6-4468-BCB1-EC5A48E40ACA}" name="Column4543"/>
    <tableColumn id="4551" xr3:uid="{C3717796-6596-4AF4-A855-B6E7B64B4CC9}" name="Column4544"/>
    <tableColumn id="4552" xr3:uid="{E23773C1-40FB-4EF1-A055-F93E1E382F5E}" name="Column4545"/>
    <tableColumn id="4553" xr3:uid="{515D0799-2051-4A54-85A2-018293F9C2D4}" name="Column4546"/>
    <tableColumn id="4554" xr3:uid="{89AD7BE4-0397-4BA2-BCC3-E0842EE8A796}" name="Column4547"/>
    <tableColumn id="4555" xr3:uid="{A92215AA-4A49-45D4-8857-D8D78986082A}" name="Column4548"/>
    <tableColumn id="4556" xr3:uid="{94CB8D49-ED2E-450A-A8CA-CE681CCE1F6D}" name="Column4549"/>
    <tableColumn id="4557" xr3:uid="{38B4C343-CE5F-49C5-9422-0EAF87CCBB3F}" name="Column4550"/>
    <tableColumn id="4558" xr3:uid="{42D291BD-9B4A-46AA-9627-23BCCE107E02}" name="Column4551"/>
    <tableColumn id="4559" xr3:uid="{4BAF7F08-F770-4EF2-944E-F8BA7C0EB0C1}" name="Column4552"/>
    <tableColumn id="4560" xr3:uid="{BBBA7A8C-23B1-4C78-904B-BA858C07FCB9}" name="Column4553"/>
    <tableColumn id="4561" xr3:uid="{94C45291-9334-426F-8B3D-752569C466FF}" name="Column4554"/>
    <tableColumn id="4562" xr3:uid="{F52C096C-1C22-4F47-88AC-AE50701CDEF4}" name="Column4555"/>
    <tableColumn id="4563" xr3:uid="{EC5D0406-30D1-4805-81A1-5F56AA75F1BC}" name="Column4556"/>
    <tableColumn id="4564" xr3:uid="{A383C3F5-CF5E-4982-84E8-B3D4993A0291}" name="Column4557"/>
    <tableColumn id="4565" xr3:uid="{30F1A853-B2AE-4B25-9357-550E72443EA4}" name="Column4558"/>
    <tableColumn id="4566" xr3:uid="{9D114C6E-8DDA-4D60-8F19-4B92B55B68CE}" name="Column4559"/>
    <tableColumn id="4567" xr3:uid="{8D691C0B-D75C-424D-A057-24C170C17BE3}" name="Column4560"/>
    <tableColumn id="4568" xr3:uid="{C2856930-AA61-4A44-A9C7-31EF5E43B0A3}" name="Column4561"/>
    <tableColumn id="4569" xr3:uid="{01C6FC26-2CB3-400A-B2C3-ADF943E52560}" name="Column4562"/>
    <tableColumn id="4570" xr3:uid="{9B79ECE2-0D0B-41D6-A850-58D2FCCCD328}" name="Column4563"/>
    <tableColumn id="4571" xr3:uid="{D8FA5A5E-4983-4EE5-877E-A6379DACC276}" name="Column4564"/>
    <tableColumn id="4572" xr3:uid="{E3892B04-F67F-403E-8F8C-DE629949CDA0}" name="Column4565"/>
    <tableColumn id="4573" xr3:uid="{09159BB5-BAB3-4149-AC42-CB61E1095524}" name="Column4566"/>
    <tableColumn id="4574" xr3:uid="{FE555176-30C5-428A-8F6D-7B20FB7A6846}" name="Column4567"/>
    <tableColumn id="4575" xr3:uid="{536904AB-32B2-4DEC-BC33-02370A20670D}" name="Column4568"/>
    <tableColumn id="4576" xr3:uid="{331ACE47-793F-4E00-9300-3DF23890AACF}" name="Column4569"/>
    <tableColumn id="4577" xr3:uid="{4B40B47E-FC13-4B05-963E-7C6625F03296}" name="Column4570"/>
    <tableColumn id="4578" xr3:uid="{61EC5493-26C6-4FFE-8FC0-0DD26A008EB9}" name="Column4571"/>
    <tableColumn id="4579" xr3:uid="{A550BFE6-4802-456B-82B6-824231C43005}" name="Column4572"/>
    <tableColumn id="4580" xr3:uid="{64A2491B-FBCA-4CF8-A80C-8B5E615C5FC8}" name="Column4573"/>
    <tableColumn id="4581" xr3:uid="{E9F276DC-A2FC-4336-9B4B-56BB56FC545F}" name="Column4574"/>
    <tableColumn id="4582" xr3:uid="{D0DD4744-5560-430D-91DC-C4A020786408}" name="Column4575"/>
    <tableColumn id="4583" xr3:uid="{7EFF0F4D-789A-4A64-8F3B-0A4F48D3BB08}" name="Column4576"/>
    <tableColumn id="4584" xr3:uid="{53B6F0C8-7801-4D2B-8B47-97BF092AB319}" name="Column4577"/>
    <tableColumn id="4585" xr3:uid="{C8FA6C86-7D50-4201-AF2F-A56526FB7A04}" name="Column4578"/>
    <tableColumn id="4586" xr3:uid="{E6F2510E-E59E-4257-B4C2-CA38BD8C236F}" name="Column4579"/>
    <tableColumn id="4587" xr3:uid="{F220D1DF-E029-455D-AD85-0B2E8F941B3D}" name="Column4580"/>
    <tableColumn id="4588" xr3:uid="{A8764C2E-089B-4259-B692-CDA2E6B45BC8}" name="Column4581"/>
    <tableColumn id="4589" xr3:uid="{6936B576-87FB-45B4-A576-6C4330BCD748}" name="Column4582"/>
    <tableColumn id="4590" xr3:uid="{27526E14-B640-4DAF-BECB-E7BE05C45E5D}" name="Column4583"/>
    <tableColumn id="4591" xr3:uid="{94D4BB1B-137F-432F-8967-02EC4D0496D1}" name="Column4584"/>
    <tableColumn id="4592" xr3:uid="{4F34D7ED-120B-4392-BFF4-F1A4A738E0E7}" name="Column4585"/>
    <tableColumn id="4593" xr3:uid="{7217D06A-455A-498B-BE51-D2107F0F9ADF}" name="Column4586"/>
    <tableColumn id="4594" xr3:uid="{DBBF0D16-9690-4A29-87DA-68E6EE272843}" name="Column4587"/>
    <tableColumn id="4595" xr3:uid="{E82509D4-A72F-4F5A-953E-37CC4ED2F771}" name="Column4588"/>
    <tableColumn id="4596" xr3:uid="{92FBE881-3514-498B-AEAA-33D947C86E7A}" name="Column4589"/>
    <tableColumn id="4597" xr3:uid="{2D66752A-8FFE-4FDC-BF73-235E2A60A69F}" name="Column4590"/>
    <tableColumn id="4598" xr3:uid="{C989B716-6E86-4EB0-B53F-A2AA86CC0F4A}" name="Column4591"/>
    <tableColumn id="4599" xr3:uid="{4EA5E02F-87DC-4C80-A828-D962FB0BF45B}" name="Column4592"/>
    <tableColumn id="4600" xr3:uid="{4B48725B-25DC-4C8B-BBB8-3FB7178ABB2A}" name="Column4593"/>
    <tableColumn id="4601" xr3:uid="{9D3830A7-2486-437B-B905-63BFC9059FDF}" name="Column4594"/>
    <tableColumn id="4602" xr3:uid="{A47790DA-4CFA-4E12-A4B3-534DC5FF3166}" name="Column4595"/>
    <tableColumn id="4603" xr3:uid="{ACEE6B44-50BC-435E-BD3B-F345C2E7B51F}" name="Column4596"/>
    <tableColumn id="4604" xr3:uid="{7B784CCE-AA87-468B-A19B-EA066C83F45A}" name="Column4597"/>
    <tableColumn id="4605" xr3:uid="{48E61953-8B4C-44B7-8B25-48D79034EDFA}" name="Column4598"/>
    <tableColumn id="4606" xr3:uid="{CAAD0052-1675-4C7B-B04B-513A6CCA1E70}" name="Column4599"/>
    <tableColumn id="4607" xr3:uid="{3FA7CF13-89A5-4356-AB5C-2B8A817F25CF}" name="Column4600"/>
    <tableColumn id="4608" xr3:uid="{0BFC5F8D-0CF0-452B-8161-3296A8FFFD15}" name="Column4601"/>
    <tableColumn id="4609" xr3:uid="{DCEE2797-A303-4DF3-8C62-98E29DD2FC6A}" name="Column4602"/>
    <tableColumn id="4610" xr3:uid="{1871F4A7-B46A-451F-B615-C26476C7F1B6}" name="Column4603"/>
    <tableColumn id="4611" xr3:uid="{F727B732-FBA9-4089-A9EA-551F2A545598}" name="Column4604"/>
    <tableColumn id="4612" xr3:uid="{965314F2-4226-4437-A73B-D191FE96CE12}" name="Column4605"/>
    <tableColumn id="4613" xr3:uid="{2329959F-248E-48C1-826A-3C7594BDECC1}" name="Column4606"/>
    <tableColumn id="4614" xr3:uid="{C1640C39-395A-474D-B51F-7D941690CFAB}" name="Column4607"/>
    <tableColumn id="4615" xr3:uid="{A003014B-A67C-4609-86CF-2506DFCB4339}" name="Column4608"/>
    <tableColumn id="4616" xr3:uid="{D7382D22-297C-4C5A-A087-CFD7525FE8D9}" name="Column4609"/>
    <tableColumn id="4617" xr3:uid="{2E8F14A8-8CEF-47DF-A36A-1060D1A645D8}" name="Column4610"/>
    <tableColumn id="4618" xr3:uid="{1C762265-D408-4B06-80E4-2793CFAD2BCA}" name="Column4611"/>
    <tableColumn id="4619" xr3:uid="{7EEC1939-345A-4230-A353-8100B7715197}" name="Column4612"/>
    <tableColumn id="4620" xr3:uid="{40F392F8-EE46-4AF2-A000-B07BE5FAD1D1}" name="Column4613"/>
    <tableColumn id="4621" xr3:uid="{D64888BB-83CF-4D85-99C8-51A421AC3C45}" name="Column4614"/>
    <tableColumn id="4622" xr3:uid="{80214019-D9DF-4098-97AA-80A8A7BC321E}" name="Column4615"/>
    <tableColumn id="4623" xr3:uid="{3EBD113F-3893-4672-981A-F80B600D5CC0}" name="Column4616"/>
    <tableColumn id="4624" xr3:uid="{C49147FD-705B-4228-B888-0EB18C2FFA00}" name="Column4617"/>
    <tableColumn id="4625" xr3:uid="{D6BD314D-B8CD-4C5A-B615-92FCB603301A}" name="Column4618"/>
    <tableColumn id="4626" xr3:uid="{A02CBE58-927D-48F4-B205-141327B6875A}" name="Column4619"/>
    <tableColumn id="4627" xr3:uid="{64CB5712-C157-4D97-8EA3-0B681747ACD4}" name="Column4620"/>
    <tableColumn id="4628" xr3:uid="{1888464C-9D9B-4057-B810-957E2AC94243}" name="Column4621"/>
    <tableColumn id="4629" xr3:uid="{83DDD743-19F8-499E-98AB-D748BAB23D8F}" name="Column4622"/>
    <tableColumn id="4630" xr3:uid="{80F3200A-FC33-4B62-A9C4-E0303E49F0A9}" name="Column4623"/>
    <tableColumn id="4631" xr3:uid="{06E34C2E-C636-430E-A98F-B20D9CB98D62}" name="Column4624"/>
    <tableColumn id="4632" xr3:uid="{B02BEBD8-A499-4CA3-BDD1-94FE66E234E5}" name="Column4625"/>
    <tableColumn id="4633" xr3:uid="{05C6BDF2-3CBD-4A32-AE80-CA6219375ACC}" name="Column4626"/>
    <tableColumn id="4634" xr3:uid="{55BECFE6-E759-4D5C-B42B-0445BE5A8EEB}" name="Column4627"/>
    <tableColumn id="4635" xr3:uid="{A34C5921-089E-4B3E-AB56-188F64EC0460}" name="Column4628"/>
    <tableColumn id="4636" xr3:uid="{4B8AA0EF-20CC-4583-BD80-3AEFE8F1149E}" name="Column4629"/>
    <tableColumn id="4637" xr3:uid="{E21B8906-5E76-4737-8530-F1202DA0BFC2}" name="Column4630"/>
    <tableColumn id="4638" xr3:uid="{6ECC7BEB-9876-4634-9215-0417DAE8FC96}" name="Column4631"/>
    <tableColumn id="4639" xr3:uid="{3539F483-EC09-4ABB-B12D-BA02C85C80CD}" name="Column4632"/>
    <tableColumn id="4640" xr3:uid="{53F7D6AA-1EB6-4BB8-95BA-C75644D72D15}" name="Column4633"/>
    <tableColumn id="4641" xr3:uid="{BF70A804-2EFA-4CF4-BCDB-5A933FB4DE14}" name="Column4634"/>
    <tableColumn id="4642" xr3:uid="{1423BCC6-B205-486E-A186-22783BFCC282}" name="Column4635"/>
    <tableColumn id="4643" xr3:uid="{C565436C-969F-4531-AF8B-9A0F6C643757}" name="Column4636"/>
    <tableColumn id="4644" xr3:uid="{B00B6A59-BE3F-4BBC-A182-3CC47308DB4D}" name="Column4637"/>
    <tableColumn id="4645" xr3:uid="{0BB0E3CF-ED2B-4384-B1FC-3E08B28D49C3}" name="Column4638"/>
    <tableColumn id="4646" xr3:uid="{8EAD6942-03FC-4E82-8D51-A005A4311B92}" name="Column4639"/>
    <tableColumn id="4647" xr3:uid="{A806BC3F-843F-402C-AFFD-B2B3122B5D55}" name="Column4640"/>
    <tableColumn id="4648" xr3:uid="{4C26D18A-361D-4613-AE02-3FBE9BAF9BE8}" name="Column4641"/>
    <tableColumn id="4649" xr3:uid="{5DF02FED-948E-4849-80E3-A55D63999FDF}" name="Column4642"/>
    <tableColumn id="4650" xr3:uid="{B1C118F5-9622-4889-8B23-9994C8077AA2}" name="Column4643"/>
    <tableColumn id="4651" xr3:uid="{84988BA8-4CA7-4C24-84CC-9D69C17F93ED}" name="Column4644"/>
    <tableColumn id="4652" xr3:uid="{FBEE2CEA-F2D9-474C-812F-56B2D335810A}" name="Column4645"/>
    <tableColumn id="4653" xr3:uid="{FE07B1A6-779B-4550-90A0-2650D34769C5}" name="Column4646"/>
    <tableColumn id="4654" xr3:uid="{95CBC7AE-9F58-4889-BEED-4996F8084B38}" name="Column4647"/>
    <tableColumn id="4655" xr3:uid="{C5A130B4-C39A-4E65-9957-26AC71FC93BE}" name="Column4648"/>
    <tableColumn id="4656" xr3:uid="{38408D71-E2A7-4672-ADED-AC3EBA253404}" name="Column4649"/>
    <tableColumn id="4657" xr3:uid="{711C5E89-A9DC-4CB7-A238-69BE64667BFC}" name="Column4650"/>
    <tableColumn id="4658" xr3:uid="{B26359EE-496E-4F00-A9F7-150D3E85C997}" name="Column4651"/>
    <tableColumn id="4659" xr3:uid="{FEB8747E-4A06-4710-9ACA-418342CCBCA0}" name="Column4652"/>
    <tableColumn id="4660" xr3:uid="{E8B9FF45-B263-4931-AAB0-50470FC93C6E}" name="Column4653"/>
    <tableColumn id="4661" xr3:uid="{9E27DA45-9D50-4108-B487-98102909F122}" name="Column4654"/>
    <tableColumn id="4662" xr3:uid="{5CB26071-F7F5-4657-988A-D2BE0B7DE1A0}" name="Column4655"/>
    <tableColumn id="4663" xr3:uid="{D21E70C7-05F0-40EC-BF83-C38059A062A5}" name="Column4656"/>
    <tableColumn id="4664" xr3:uid="{D3363D1D-8877-4D61-827E-85D04F5D985B}" name="Column4657"/>
    <tableColumn id="4665" xr3:uid="{9A054FD7-0724-4C00-BE6C-0458DCEF6DB4}" name="Column4658"/>
    <tableColumn id="4666" xr3:uid="{15A69B7E-FEAB-48C1-A3F5-5EA62A770D74}" name="Column4659"/>
    <tableColumn id="4667" xr3:uid="{1205CA1F-DDC6-44B8-B41C-C6F65D88A001}" name="Column4660"/>
    <tableColumn id="4668" xr3:uid="{152EB602-1354-4057-8E84-D49DA797A6EC}" name="Column4661"/>
    <tableColumn id="4669" xr3:uid="{9C0D95E0-384E-4F8E-A850-09120A939428}" name="Column4662"/>
    <tableColumn id="4670" xr3:uid="{4D7C8C44-0461-4D31-B394-EE4A6665262A}" name="Column4663"/>
    <tableColumn id="4671" xr3:uid="{FE4FF9D9-EF6E-4B32-8932-E706E7416210}" name="Column4664"/>
    <tableColumn id="4672" xr3:uid="{1C23B369-1A70-4A48-9C5C-2DF80DD07882}" name="Column4665"/>
    <tableColumn id="4673" xr3:uid="{0F4EFB25-AA38-4D71-BC3B-763651F6B0E1}" name="Column4666"/>
    <tableColumn id="4674" xr3:uid="{C11BC42F-6A32-4431-A2CA-B61583A0FAA3}" name="Column4667"/>
    <tableColumn id="4675" xr3:uid="{BD99A0B2-48BE-4BBD-A042-D645FBC1E50D}" name="Column4668"/>
    <tableColumn id="4676" xr3:uid="{8147083A-90DC-4BD4-B768-90FD6214DB91}" name="Column4669"/>
    <tableColumn id="4677" xr3:uid="{C228FA80-92CE-4531-A57A-C07894151321}" name="Column4670"/>
    <tableColumn id="4678" xr3:uid="{A4CA0B43-B68A-4FDB-AE9F-88D642BE951D}" name="Column4671"/>
    <tableColumn id="4679" xr3:uid="{18914D28-2E65-43F3-BA47-EAF51225EFB3}" name="Column4672"/>
    <tableColumn id="4680" xr3:uid="{CBDA10F8-F21F-43CD-A3A8-932E2C5439BB}" name="Column4673"/>
    <tableColumn id="4681" xr3:uid="{9908CAD7-5344-4C2D-9F84-3E43F5210A0F}" name="Column4674"/>
    <tableColumn id="4682" xr3:uid="{75E9B719-A787-4BCF-A16A-C96F7EBF61C5}" name="Column4675"/>
    <tableColumn id="4683" xr3:uid="{A7CDD25E-2116-4FB9-B905-DBA77EBD535C}" name="Column4676"/>
    <tableColumn id="4684" xr3:uid="{76601245-980C-421F-A432-B9B6758215BD}" name="Column4677"/>
    <tableColumn id="4685" xr3:uid="{3B481D89-3B7E-4A04-8540-46066630CDEB}" name="Column4678"/>
    <tableColumn id="4686" xr3:uid="{07406F49-299B-4A19-ADFC-65F40A0FEA95}" name="Column4679"/>
    <tableColumn id="4687" xr3:uid="{D61736DA-70DB-475F-BB69-065330CA8D25}" name="Column4680"/>
    <tableColumn id="4688" xr3:uid="{531444CD-D5D1-443C-A512-418A6DCC9A10}" name="Column4681"/>
    <tableColumn id="4689" xr3:uid="{D2D48CEE-4505-4CB6-A063-5F0226B8CEA4}" name="Column4682"/>
    <tableColumn id="4690" xr3:uid="{404AC3C9-2B27-4487-A7C3-C1B541943051}" name="Column4683"/>
    <tableColumn id="4691" xr3:uid="{7D509259-2296-4F3D-A5F1-AE4636599FD7}" name="Column4684"/>
    <tableColumn id="4692" xr3:uid="{9F356090-3012-4425-B163-2DC783327B1D}" name="Column4685"/>
    <tableColumn id="4693" xr3:uid="{946C3A10-9936-4F5F-94D8-42D722658FA8}" name="Column4686"/>
    <tableColumn id="4694" xr3:uid="{A40D2A7E-0AC5-49C3-9936-4BC266E89062}" name="Column4687"/>
    <tableColumn id="4695" xr3:uid="{42DE86C5-D1ED-4753-8A41-13AB3344E1E5}" name="Column4688"/>
    <tableColumn id="4696" xr3:uid="{2C65C913-1C18-4A62-A7BB-5C113E3C8539}" name="Column4689"/>
    <tableColumn id="4697" xr3:uid="{A3E97F2B-AEA2-481C-9A0B-CBC0FEACC6B0}" name="Column4690"/>
    <tableColumn id="4698" xr3:uid="{B6958BCD-2C10-4F88-831F-32E49A6217E0}" name="Column4691"/>
    <tableColumn id="4699" xr3:uid="{05C4960F-A5DB-414B-AEC7-F13AD1EC78D9}" name="Column4692"/>
    <tableColumn id="4700" xr3:uid="{0C9721B8-E3A9-4145-836C-5CB26CE2AB1A}" name="Column4693"/>
    <tableColumn id="4701" xr3:uid="{A73B00C1-249C-4897-A6D1-7A4FBD7663FC}" name="Column4694"/>
    <tableColumn id="4702" xr3:uid="{29A46A26-AF2C-4176-9777-C5A366639EDB}" name="Column4695"/>
    <tableColumn id="4703" xr3:uid="{79B945CC-6DC2-42A5-84D3-686BBDFE967A}" name="Column4696"/>
    <tableColumn id="4704" xr3:uid="{2C945BA6-F673-474B-A1E6-FCD1A9323207}" name="Column4697"/>
    <tableColumn id="4705" xr3:uid="{B82B28DB-CD0C-4201-8EA2-16ACA6F46717}" name="Column4698"/>
    <tableColumn id="4706" xr3:uid="{DEAD8FDE-0176-4D08-905E-8D7673A64562}" name="Column4699"/>
    <tableColumn id="4707" xr3:uid="{842B03CC-26DC-4F6F-8FBC-49A21092F84A}" name="Column4700"/>
    <tableColumn id="4708" xr3:uid="{1E58D560-8C74-4499-9BD4-CD492FEBA757}" name="Column4701"/>
    <tableColumn id="4709" xr3:uid="{523A8BEB-C206-48DA-9E27-E16C70E41990}" name="Column4702"/>
    <tableColumn id="4710" xr3:uid="{AE55013B-DDC0-49C6-BEEB-E09E39654E5B}" name="Column4703"/>
    <tableColumn id="4711" xr3:uid="{984EE9D2-5784-4146-90CD-089A38A64368}" name="Column4704"/>
    <tableColumn id="4712" xr3:uid="{1B077666-D99A-4D78-B82B-79DED674212F}" name="Column4705"/>
    <tableColumn id="4713" xr3:uid="{1795257A-101A-4084-A61D-3450CC39BA4B}" name="Column4706"/>
    <tableColumn id="4714" xr3:uid="{564D0321-62EA-4D29-9139-854CA3A7346B}" name="Column4707"/>
    <tableColumn id="4715" xr3:uid="{BA1EFF66-BC17-4844-8D5B-83FBFCB1D2B1}" name="Column4708"/>
    <tableColumn id="4716" xr3:uid="{EE8DBC87-1A4D-4635-9E67-60D1D73DA3A1}" name="Column4709"/>
    <tableColumn id="4717" xr3:uid="{2A687F89-7F22-4E40-99BA-F99990FE98E8}" name="Column4710"/>
    <tableColumn id="4718" xr3:uid="{C78B0880-8039-43B2-B64F-981FE170FFA9}" name="Column4711"/>
    <tableColumn id="4719" xr3:uid="{3650AE32-3006-45BB-BF8E-517184C29687}" name="Column4712"/>
    <tableColumn id="4720" xr3:uid="{7F2DCD66-F8B8-4633-A736-83426B9CB2D0}" name="Column4713"/>
    <tableColumn id="4721" xr3:uid="{86F521A5-43E4-4397-841F-683293137CFA}" name="Column4714"/>
    <tableColumn id="4722" xr3:uid="{43208D9F-0591-4170-9AA2-76B2FFE480BD}" name="Column4715"/>
    <tableColumn id="4723" xr3:uid="{8FB5CC18-23B4-4840-8C61-CFD30C04FE06}" name="Column4716"/>
    <tableColumn id="4724" xr3:uid="{57BE2C30-CD86-4CE9-8B56-1BB1E46E2EA1}" name="Column4717"/>
    <tableColumn id="4725" xr3:uid="{72F2D037-C253-49E4-87A9-23F6F0B5C12A}" name="Column4718"/>
    <tableColumn id="4726" xr3:uid="{B92ACE36-97CA-4F2D-A733-A9350A47876B}" name="Column4719"/>
    <tableColumn id="4727" xr3:uid="{A5639E4F-8FDE-491D-90CB-8CD8E46F9782}" name="Column4720"/>
    <tableColumn id="4728" xr3:uid="{459163BC-0CA5-4EEA-B70C-4FE7FB01B114}" name="Column4721"/>
    <tableColumn id="4729" xr3:uid="{F1237AFD-124F-49A4-8BED-AA1967BA68D7}" name="Column4722"/>
    <tableColumn id="4730" xr3:uid="{92FC23DF-C4CE-4934-92D9-33B9DFF19A6E}" name="Column4723"/>
    <tableColumn id="4731" xr3:uid="{176ACF73-6FBD-42F7-A8FF-E883EB32DE50}" name="Column4724"/>
    <tableColumn id="4732" xr3:uid="{8E606224-7A21-4017-8364-CF99190860C6}" name="Column4725"/>
    <tableColumn id="4733" xr3:uid="{A7E5531E-2FC4-431C-8701-64146C2477F2}" name="Column4726"/>
    <tableColumn id="4734" xr3:uid="{555B5CCE-2C87-49E2-8D48-EEFABE460969}" name="Column4727"/>
    <tableColumn id="4735" xr3:uid="{50D7E50F-7E0D-4B2E-91DC-4E46070851F4}" name="Column4728"/>
    <tableColumn id="4736" xr3:uid="{253782C9-582D-45BC-A641-DAC278F0EB6C}" name="Column4729"/>
    <tableColumn id="4737" xr3:uid="{213205DC-4A63-4382-A493-77E59ED9C9F3}" name="Column4730"/>
    <tableColumn id="4738" xr3:uid="{DE3A2C01-D619-41BC-9ECC-8F6E1AFB896D}" name="Column4731"/>
    <tableColumn id="4739" xr3:uid="{F9E3AD84-DDA3-48C6-B3B4-1FFC417EBAA3}" name="Column4732"/>
    <tableColumn id="4740" xr3:uid="{6F0AFB7B-2C10-4191-AE3F-533635D2DDD6}" name="Column4733"/>
    <tableColumn id="4741" xr3:uid="{416FE1FE-91F3-4C44-9155-2C6217AD1B20}" name="Column4734"/>
    <tableColumn id="4742" xr3:uid="{9B2067CF-D669-4833-BD95-92FBFDF905B0}" name="Column4735"/>
    <tableColumn id="4743" xr3:uid="{6CF2083E-D3F8-4AA0-8CD2-3A8EB30EBE72}" name="Column4736"/>
    <tableColumn id="4744" xr3:uid="{60CCB6D3-A47C-4021-B194-50912F260B53}" name="Column4737"/>
    <tableColumn id="4745" xr3:uid="{6AA5B409-6A58-4149-9DC1-1E44379FC85B}" name="Column4738"/>
    <tableColumn id="4746" xr3:uid="{FEFBED1E-9786-4432-B427-F870F3866F77}" name="Column4739"/>
    <tableColumn id="4747" xr3:uid="{8F6A6362-BAD2-4C3F-82E2-66699C26248A}" name="Column4740"/>
    <tableColumn id="4748" xr3:uid="{4E358C14-0895-441D-9CCF-39394AE30EC1}" name="Column4741"/>
    <tableColumn id="4749" xr3:uid="{2409B841-0477-4D50-9EB5-159B9ABCAD51}" name="Column4742"/>
    <tableColumn id="4750" xr3:uid="{61092D8A-0987-4618-BC1F-3552204E6D30}" name="Column4743"/>
    <tableColumn id="4751" xr3:uid="{51F815B9-4525-4F07-821F-861427E61672}" name="Column4744"/>
    <tableColumn id="4752" xr3:uid="{B22C27A6-EE67-4B3A-B6BD-EAE7AE0CEE31}" name="Column4745"/>
    <tableColumn id="4753" xr3:uid="{71305A84-CEE0-4974-B031-2CB222F38A67}" name="Column4746"/>
    <tableColumn id="4754" xr3:uid="{89F265B8-D78A-49C0-A28F-AA173CEB1CBA}" name="Column4747"/>
    <tableColumn id="4755" xr3:uid="{F01A1F45-7D20-40E6-B3ED-F893571A1D87}" name="Column4748"/>
    <tableColumn id="4756" xr3:uid="{9B530786-8208-4B05-A871-163385744C06}" name="Column4749"/>
    <tableColumn id="4757" xr3:uid="{CCD12643-2CDA-4D49-89E1-061302CEB7E6}" name="Column4750"/>
    <tableColumn id="4758" xr3:uid="{531C42B4-6E9E-4F84-853E-B2E369E838F0}" name="Column4751"/>
    <tableColumn id="4759" xr3:uid="{EDEEF37F-E28E-455F-96E1-81C6ECAC19AE}" name="Column4752"/>
    <tableColumn id="4760" xr3:uid="{349BA53B-5634-4FFF-904F-E1C31683CF2E}" name="Column4753"/>
    <tableColumn id="4761" xr3:uid="{558C6246-D8C7-478E-90E7-F312C0E1B737}" name="Column4754"/>
    <tableColumn id="4762" xr3:uid="{2077568F-BBF0-4C09-86EC-36B7372AFF3B}" name="Column4755"/>
    <tableColumn id="4763" xr3:uid="{19DAB2DC-63F3-4D40-A7DF-654BAC19393C}" name="Column4756"/>
    <tableColumn id="4764" xr3:uid="{36D37F90-8872-475E-AE0E-55BD4AF7E032}" name="Column4757"/>
    <tableColumn id="4765" xr3:uid="{CF9D836F-8F73-4AFF-B805-793548B95499}" name="Column4758"/>
    <tableColumn id="4766" xr3:uid="{68349483-204E-406D-9F81-C15120595FF4}" name="Column4759"/>
    <tableColumn id="4767" xr3:uid="{0C6B222D-FE9E-4215-8FEA-3AD2588B8F88}" name="Column4760"/>
    <tableColumn id="4768" xr3:uid="{24F69B48-9C6A-416C-83E3-96D852CE8034}" name="Column4761"/>
    <tableColumn id="4769" xr3:uid="{4AADA202-4BD2-40F2-9226-E9F78261C549}" name="Column4762"/>
    <tableColumn id="4770" xr3:uid="{8A0B04D3-4F68-450D-B47E-8D526AC6B861}" name="Column4763"/>
    <tableColumn id="4771" xr3:uid="{505A50E3-3748-4583-B772-5903ECDC4A80}" name="Column4764"/>
    <tableColumn id="4772" xr3:uid="{39DD2949-3C5A-405A-A477-CFEF833837E3}" name="Column4765"/>
    <tableColumn id="4773" xr3:uid="{44C5F67A-0C05-4263-A618-B34945E2C898}" name="Column4766"/>
    <tableColumn id="4774" xr3:uid="{F93D3AE7-4856-46B6-8E0A-8BDA900192AC}" name="Column4767"/>
    <tableColumn id="4775" xr3:uid="{37FD5A62-8CEA-4575-9469-6695F4BC9F5A}" name="Column4768"/>
    <tableColumn id="4776" xr3:uid="{4615F6B7-8796-4078-B2E7-12D8FC13A2AD}" name="Column4769"/>
    <tableColumn id="4777" xr3:uid="{2E9790EE-4EDB-446D-80AF-6FC5A6251837}" name="Column4770"/>
    <tableColumn id="4778" xr3:uid="{B6398B11-9D40-4F3F-8B8C-B21C7EF28AF1}" name="Column4771"/>
    <tableColumn id="4779" xr3:uid="{EAAB711F-519B-4320-9182-E1CFDBE0C6FE}" name="Column4772"/>
    <tableColumn id="4780" xr3:uid="{64F7C6F6-1479-4EC2-BC1F-77ECF9A33AE4}" name="Column4773"/>
    <tableColumn id="4781" xr3:uid="{EF739CEA-B0A0-478E-81F3-E228143413D4}" name="Column4774"/>
    <tableColumn id="4782" xr3:uid="{2D105102-F963-4383-82A0-EEADE84937F4}" name="Column4775"/>
    <tableColumn id="4783" xr3:uid="{3522503C-A458-48BD-9AAD-87BCCE7367B7}" name="Column4776"/>
    <tableColumn id="4784" xr3:uid="{1954E22D-F1DE-450B-BC64-9583365ACDB1}" name="Column4777"/>
    <tableColumn id="4785" xr3:uid="{B7BDF00D-9EFB-4D81-B9AD-14D768205CA4}" name="Column4778"/>
    <tableColumn id="4786" xr3:uid="{5FBF5EA1-A7D4-4768-9836-C9F1DA2BFC10}" name="Column4779"/>
    <tableColumn id="4787" xr3:uid="{D33D848B-85ED-4655-9DE2-5E7CE733AAC1}" name="Column4780"/>
    <tableColumn id="4788" xr3:uid="{EA8887E7-9E9A-4633-BEFA-CCCEEDC98F48}" name="Column4781"/>
    <tableColumn id="4789" xr3:uid="{3AD29BE0-8D65-4466-9F19-5C3691A5F238}" name="Column4782"/>
    <tableColumn id="4790" xr3:uid="{5BD49BE8-1250-4800-A81C-5BB8A4EDE1F8}" name="Column4783"/>
    <tableColumn id="4791" xr3:uid="{B71BC0E8-BB78-4F15-81F3-33E708D42967}" name="Column4784"/>
    <tableColumn id="4792" xr3:uid="{1F8049A5-1478-45C8-A263-F9045EB5D15C}" name="Column4785"/>
    <tableColumn id="4793" xr3:uid="{0034D6E8-DFC7-45DA-9B82-1FB378B55032}" name="Column4786"/>
    <tableColumn id="4794" xr3:uid="{8DF830B4-69C0-405A-BA84-95B3DE3C61C8}" name="Column4787"/>
    <tableColumn id="4795" xr3:uid="{DD880FCE-ED9B-42BA-AC5C-DCBA5923ADE4}" name="Column4788"/>
    <tableColumn id="4796" xr3:uid="{3699EF0A-1B77-421B-8790-66B38E891112}" name="Column4789"/>
    <tableColumn id="4797" xr3:uid="{A217F7DA-94CD-42BE-8994-A50957652E0C}" name="Column4790"/>
    <tableColumn id="4798" xr3:uid="{DC14FA56-61A7-4509-8A9F-714DE1275D51}" name="Column4791"/>
    <tableColumn id="4799" xr3:uid="{4EB8D89C-C4B4-49A9-B803-54941676BFFC}" name="Column4792"/>
    <tableColumn id="4800" xr3:uid="{56FFCBF1-CE99-4D07-9C70-0610A35DA1D2}" name="Column4793"/>
    <tableColumn id="4801" xr3:uid="{1421C161-1D60-4829-A826-39FD044791D2}" name="Column4794"/>
    <tableColumn id="4802" xr3:uid="{8887B514-F499-432A-8B86-CDBED6AAC4A2}" name="Column4795"/>
    <tableColumn id="4803" xr3:uid="{23F98746-7374-4B95-B7E4-D14DE95D4926}" name="Column4796"/>
    <tableColumn id="4804" xr3:uid="{9F0ECB35-DA4F-48B6-9DF3-A6AC8749D821}" name="Column4797"/>
    <tableColumn id="4805" xr3:uid="{CF931E85-0775-4819-B483-ABFDD2B5444D}" name="Column4798"/>
    <tableColumn id="4806" xr3:uid="{CB54C949-DC34-44BE-A9CF-9C18339F9DF8}" name="Column4799"/>
    <tableColumn id="4807" xr3:uid="{6805BDCF-599A-439A-9D8D-EEAEB0E0C68C}" name="Column4800"/>
    <tableColumn id="4808" xr3:uid="{827C12FC-216D-4EAB-B170-51B14C92C129}" name="Column4801"/>
    <tableColumn id="4809" xr3:uid="{0779F938-6636-49C8-B0DC-AB0B1B0C769C}" name="Column4802"/>
    <tableColumn id="4810" xr3:uid="{C73AEE48-7ACC-4F91-A25F-279EEC5AEE3B}" name="Column4803"/>
    <tableColumn id="4811" xr3:uid="{66EF7177-DEC7-4F75-BD74-3A92D420DBAF}" name="Column4804"/>
    <tableColumn id="4812" xr3:uid="{0527E54E-92A0-4D66-88C6-DB59DDCDC67B}" name="Column4805"/>
    <tableColumn id="4813" xr3:uid="{552C378D-167D-4965-8854-323E6E3CB290}" name="Column4806"/>
    <tableColumn id="4814" xr3:uid="{A8C3C0EA-3770-44CF-815C-700FD69AE1AE}" name="Column4807"/>
    <tableColumn id="4815" xr3:uid="{0F230BD7-67FD-446D-861D-44CD0271C323}" name="Column4808"/>
    <tableColumn id="4816" xr3:uid="{D24219B4-98CB-4DAF-A626-3A9EEB7FDCF5}" name="Column4809"/>
    <tableColumn id="4817" xr3:uid="{540E546F-714F-4463-BB7B-41A1D0FAC182}" name="Column4810"/>
    <tableColumn id="4818" xr3:uid="{FE5562F1-8137-43C2-96C7-F9339F07808D}" name="Column4811"/>
    <tableColumn id="4819" xr3:uid="{5C32F3B9-3D08-4D4B-BC68-D1C3DD1A9230}" name="Column4812"/>
    <tableColumn id="4820" xr3:uid="{A6BD54BD-F65E-439E-BC66-905A77484B34}" name="Column4813"/>
    <tableColumn id="4821" xr3:uid="{A2648F0D-51CB-4E25-A428-210835C42778}" name="Column4814"/>
    <tableColumn id="4822" xr3:uid="{6AC7B413-C841-4BB2-A53D-62482535534A}" name="Column4815"/>
    <tableColumn id="4823" xr3:uid="{AC3FD940-9082-40DE-B001-928EB5608FCB}" name="Column4816"/>
    <tableColumn id="4824" xr3:uid="{A9BBA221-ECFA-40BA-8018-4F1F61387F16}" name="Column4817"/>
    <tableColumn id="4825" xr3:uid="{F88DE4A0-2729-4A39-8A20-413BEC2A1577}" name="Column4818"/>
    <tableColumn id="4826" xr3:uid="{69B70693-D7C6-4B00-A2CD-AC37031CAD6D}" name="Column4819"/>
    <tableColumn id="4827" xr3:uid="{11023E14-A4B0-4929-83AE-AEC8FA8CF955}" name="Column4820"/>
    <tableColumn id="4828" xr3:uid="{F781A9F3-B8AA-4964-A6AD-74D403BAF9E6}" name="Column4821"/>
    <tableColumn id="4829" xr3:uid="{37D783C4-CA04-473A-B5CB-E86E8ABA2F03}" name="Column4822"/>
    <tableColumn id="4830" xr3:uid="{29406924-834F-49E4-9EC7-1C5FE17EEF75}" name="Column4823"/>
    <tableColumn id="4831" xr3:uid="{76661A1B-925A-4E65-BEB0-584FDCB3DB53}" name="Column4824"/>
    <tableColumn id="4832" xr3:uid="{0784129A-CD85-4C8F-B59E-CEE775F0335D}" name="Column4825"/>
    <tableColumn id="4833" xr3:uid="{29B9C1ED-41EF-4079-9A97-0ED05BEDD323}" name="Column4826"/>
    <tableColumn id="4834" xr3:uid="{33245887-4DEB-4692-ACC1-7728E955EF9D}" name="Column4827"/>
    <tableColumn id="4835" xr3:uid="{AFFCF5D8-A9E3-4738-99F6-C81F08FEE614}" name="Column4828"/>
    <tableColumn id="4836" xr3:uid="{C6BAEF47-4D4B-4C6A-8082-663001755EAA}" name="Column4829"/>
    <tableColumn id="4837" xr3:uid="{516AD38C-D1AD-484E-B77A-058A844633C2}" name="Column4830"/>
    <tableColumn id="4838" xr3:uid="{F79B6F60-0036-4AFE-A4BA-780F8AF940E0}" name="Column4831"/>
    <tableColumn id="4839" xr3:uid="{6AF0A8A8-0166-42AD-B34E-C8C3637B4D81}" name="Column4832"/>
    <tableColumn id="4840" xr3:uid="{C091E2DF-F7FC-47C7-9655-4FEF0E201C90}" name="Column4833"/>
    <tableColumn id="4841" xr3:uid="{B1A12955-7B67-49E0-B535-A1CB71DE7359}" name="Column4834"/>
    <tableColumn id="4842" xr3:uid="{9934DBBC-F983-43C4-865F-19889D576694}" name="Column4835"/>
    <tableColumn id="4843" xr3:uid="{6E3CCA4E-69AC-46D6-86D6-C5C6D6E72619}" name="Column4836"/>
    <tableColumn id="4844" xr3:uid="{05270D31-9286-494D-BB89-58BB34DD23F8}" name="Column4837"/>
    <tableColumn id="4845" xr3:uid="{CE26AD0C-B228-4932-BAD9-6CD16AAFCB28}" name="Column4838"/>
    <tableColumn id="4846" xr3:uid="{425ABB66-77EA-4A83-BADA-FAF49C348D80}" name="Column4839"/>
    <tableColumn id="4847" xr3:uid="{4B0E609F-7656-4A32-A14B-0B20834C078D}" name="Column4840"/>
    <tableColumn id="4848" xr3:uid="{B97413C3-7E00-46B1-AA3F-8E338252ED06}" name="Column4841"/>
    <tableColumn id="4849" xr3:uid="{B9963523-B027-4296-86A1-E10DB097A287}" name="Column4842"/>
    <tableColumn id="4850" xr3:uid="{4C88C55F-A7CF-4249-8414-CBA64195B5FF}" name="Column4843"/>
    <tableColumn id="4851" xr3:uid="{191CA32E-6BF9-415D-AE14-41F9C6B78CA2}" name="Column4844"/>
    <tableColumn id="4852" xr3:uid="{1B30BFD3-EA7F-40B1-BC6C-674F161FD358}" name="Column4845"/>
    <tableColumn id="4853" xr3:uid="{867A04FB-A2A7-4E90-AFE5-6EF1957BFADF}" name="Column4846"/>
    <tableColumn id="4854" xr3:uid="{C391BD07-A5F8-4901-BF18-808B7BFCEC66}" name="Column4847"/>
    <tableColumn id="4855" xr3:uid="{944BBBCC-1B26-45E7-ABFA-E1EDDF906398}" name="Column4848"/>
    <tableColumn id="4856" xr3:uid="{50868253-0081-4F98-BE89-39DA6B063F72}" name="Column4849"/>
    <tableColumn id="4857" xr3:uid="{34004656-1279-4985-8E7C-B495D26EF57F}" name="Column4850"/>
    <tableColumn id="4858" xr3:uid="{CAF0D9D0-FECD-4CAA-97F0-3C1684171CAB}" name="Column4851"/>
    <tableColumn id="4859" xr3:uid="{3A2646F6-03B6-4A93-88DD-6C03522C1AF4}" name="Column4852"/>
    <tableColumn id="4860" xr3:uid="{BAC4C74C-8341-416B-ABFB-0E0C9ABE3315}" name="Column4853"/>
    <tableColumn id="4861" xr3:uid="{C59EA193-A76A-4089-AEE4-E7E36BD64EE7}" name="Column4854"/>
    <tableColumn id="4862" xr3:uid="{00004967-D8B3-4631-AAB3-4C9774E8B7B7}" name="Column4855"/>
    <tableColumn id="4863" xr3:uid="{EF7367C9-7FD1-4D5C-826A-C27BFB9427CD}" name="Column4856"/>
    <tableColumn id="4864" xr3:uid="{1DED9BC9-9C8B-4D18-A036-E61566F1E685}" name="Column4857"/>
    <tableColumn id="4865" xr3:uid="{526F4B00-09DC-478F-87E5-6E7B51D9D80A}" name="Column4858"/>
    <tableColumn id="4866" xr3:uid="{CADB961A-E465-413D-9FB1-5C317B5C78EE}" name="Column4859"/>
    <tableColumn id="4867" xr3:uid="{9F0CB0ED-C04F-4CAA-A1B3-16D20AC7352B}" name="Column4860"/>
    <tableColumn id="4868" xr3:uid="{16E4CE5F-43F8-45D9-A4AC-B830956DE87D}" name="Column4861"/>
    <tableColumn id="4869" xr3:uid="{66F48192-1279-40A6-8161-2C9D343A0B39}" name="Column4862"/>
    <tableColumn id="4870" xr3:uid="{73FFF593-A19F-44CD-AE77-795996704091}" name="Column4863"/>
    <tableColumn id="4871" xr3:uid="{CF0CB9AC-A318-4D87-84D6-7B6FF230F2D7}" name="Column4864"/>
    <tableColumn id="4872" xr3:uid="{5E6BE0ED-A363-4DFA-872B-0FAE0DAD8471}" name="Column4865"/>
    <tableColumn id="4873" xr3:uid="{6419913D-B0B2-4E3A-A301-0C349F601DCF}" name="Column4866"/>
    <tableColumn id="4874" xr3:uid="{99ABE560-C6BA-4E62-A662-0A70CB8814B5}" name="Column4867"/>
    <tableColumn id="4875" xr3:uid="{64F569CB-3C2C-4BAE-BB71-C891ADD00642}" name="Column4868"/>
    <tableColumn id="4876" xr3:uid="{11B6F72D-C7ED-4C8F-A5BB-91CF06CB36C6}" name="Column4869"/>
    <tableColumn id="4877" xr3:uid="{6FF7D617-16E4-49CF-B5FC-85BDF1826B94}" name="Column4870"/>
    <tableColumn id="4878" xr3:uid="{751E6514-5235-47FF-912A-BC5E165C636A}" name="Column4871"/>
    <tableColumn id="4879" xr3:uid="{52E143A9-7E59-4449-870D-AA5159FB7CAD}" name="Column4872"/>
    <tableColumn id="4880" xr3:uid="{8A975603-2E79-417C-B6F2-9B039CF4203E}" name="Column4873"/>
    <tableColumn id="4881" xr3:uid="{D4A0A1E3-2606-47FE-9AC6-FB57516F68A0}" name="Column4874"/>
    <tableColumn id="4882" xr3:uid="{84D53D60-5012-4082-8535-935D13B6CD5F}" name="Column4875"/>
    <tableColumn id="4883" xr3:uid="{9901BA7B-1D7E-4770-9215-2AA0A2D9AA85}" name="Column4876"/>
    <tableColumn id="4884" xr3:uid="{D73623F6-0880-44DE-A0EC-E1030B78E2EA}" name="Column4877"/>
    <tableColumn id="4885" xr3:uid="{5B5EC35E-BFA4-4941-8072-3B811446FD59}" name="Column4878"/>
    <tableColumn id="4886" xr3:uid="{7605AB9D-6240-4BE5-8BC2-0D3455A9395A}" name="Column4879"/>
    <tableColumn id="4887" xr3:uid="{06784F67-421A-497E-8DCF-4694130CA684}" name="Column4880"/>
    <tableColumn id="4888" xr3:uid="{C5461391-1831-4E9E-A341-03EBC997D7AA}" name="Column4881"/>
    <tableColumn id="4889" xr3:uid="{D2E89604-E2F9-4EC9-BC90-4517797CFEAF}" name="Column4882"/>
    <tableColumn id="4890" xr3:uid="{E7682C64-E42C-41D7-B649-CAFDAF5026CB}" name="Column4883"/>
    <tableColumn id="4891" xr3:uid="{7D2452CC-21B6-483D-AD2A-09AEC76203BD}" name="Column4884"/>
    <tableColumn id="4892" xr3:uid="{E68A88C3-4C11-4B7E-827D-D3110A58B7B5}" name="Column4885"/>
    <tableColumn id="4893" xr3:uid="{C4F43B65-C1B4-4CC8-951B-BBCCC8F2B4BD}" name="Column4886"/>
    <tableColumn id="4894" xr3:uid="{BD3ED851-CC28-4653-A67D-7E72B417D160}" name="Column4887"/>
    <tableColumn id="4895" xr3:uid="{8A401F84-AD69-4D13-9FB7-E52911C4B9D6}" name="Column4888"/>
    <tableColumn id="4896" xr3:uid="{3B08AD58-717D-4466-AD34-F490678F4964}" name="Column4889"/>
    <tableColumn id="4897" xr3:uid="{64AB6CB2-791C-461B-8FF1-E7018CD0973D}" name="Column4890"/>
    <tableColumn id="4898" xr3:uid="{EA6053FC-B939-4E86-A3DB-31889DB71884}" name="Column4891"/>
    <tableColumn id="4899" xr3:uid="{53855A31-7AEE-4C99-94B3-EB0B443662C0}" name="Column4892"/>
    <tableColumn id="4900" xr3:uid="{9D711EFD-62FB-428D-A1EB-B743352CEFFA}" name="Column4893"/>
    <tableColumn id="4901" xr3:uid="{9EDE30EE-88A6-45C0-8B68-9C5A4CB48321}" name="Column4894"/>
    <tableColumn id="4902" xr3:uid="{8A982D73-3297-497F-ABEE-C7AB7506936E}" name="Column4895"/>
    <tableColumn id="4903" xr3:uid="{DECF1FD7-09C4-4CE0-BCB1-A13112A13515}" name="Column4896"/>
    <tableColumn id="4904" xr3:uid="{51E62EBB-9610-4AA3-AF72-8C7057C422F1}" name="Column4897"/>
    <tableColumn id="4905" xr3:uid="{98EE4594-89D6-4807-BF50-FEFDFD110083}" name="Column4898"/>
    <tableColumn id="4906" xr3:uid="{217BA0FB-C65B-4CAD-B627-D090762E29C0}" name="Column4899"/>
    <tableColumn id="4907" xr3:uid="{D4EEBB48-373F-4544-957D-F502CB55E1E2}" name="Column4900"/>
    <tableColumn id="4908" xr3:uid="{EFF45AD2-3EF8-4DC4-A519-4B471277AB90}" name="Column4901"/>
    <tableColumn id="4909" xr3:uid="{3ACABC3B-15DA-43E9-A617-679E5A44182D}" name="Column4902"/>
    <tableColumn id="4910" xr3:uid="{0E364922-9C97-4F27-AA20-B923C4E6CE62}" name="Column4903"/>
    <tableColumn id="4911" xr3:uid="{D278759E-45C2-4653-B0F7-95D0D4041E53}" name="Column4904"/>
    <tableColumn id="4912" xr3:uid="{F325D223-7222-4806-9890-70BF7F226D21}" name="Column4905"/>
    <tableColumn id="4913" xr3:uid="{FF3C8513-C458-4FB1-A426-982D9527E5BF}" name="Column4906"/>
    <tableColumn id="4914" xr3:uid="{33F1C801-D4B6-4FAD-80EB-E055FA3A2D64}" name="Column4907"/>
    <tableColumn id="4915" xr3:uid="{260FE4D8-9CB1-4885-B0F5-6AF759AFA768}" name="Column4908"/>
    <tableColumn id="4916" xr3:uid="{C9A645F0-C522-4079-9945-85BEA8F30952}" name="Column4909"/>
    <tableColumn id="4917" xr3:uid="{A86E5AF0-5AEE-43AE-BDFD-736857D40B58}" name="Column4910"/>
    <tableColumn id="4918" xr3:uid="{BD3AF5B7-D572-4127-AC10-666291E2A76A}" name="Column4911"/>
    <tableColumn id="4919" xr3:uid="{C7F48C0F-84A9-4C1A-8888-33A946F7D01A}" name="Column4912"/>
    <tableColumn id="4920" xr3:uid="{BA057D21-CC3A-405B-B335-1722444FDE53}" name="Column4913"/>
    <tableColumn id="4921" xr3:uid="{44720F37-C024-4943-8974-165193E36464}" name="Column4914"/>
    <tableColumn id="4922" xr3:uid="{6F325D30-FAAA-495D-926E-99847F76B79A}" name="Column4915"/>
    <tableColumn id="4923" xr3:uid="{2E4EA938-F909-4B2C-A389-8B24BAD5663A}" name="Column4916"/>
    <tableColumn id="4924" xr3:uid="{4C96C838-7694-4772-88B7-A7228FF66C96}" name="Column4917"/>
    <tableColumn id="4925" xr3:uid="{F6F7829C-7ED2-4F0A-8D40-09BADBAB0F29}" name="Column4918"/>
    <tableColumn id="4926" xr3:uid="{FFD51B63-7D2D-48EC-A097-632689E7F3EF}" name="Column4919"/>
    <tableColumn id="4927" xr3:uid="{07DF5FA1-540B-43D6-9557-8D7B91D30E2E}" name="Column4920"/>
    <tableColumn id="4928" xr3:uid="{50A03C4A-4AF6-4ACD-8D04-AD97546031AA}" name="Column4921"/>
    <tableColumn id="4929" xr3:uid="{658C2AE5-40BC-41D4-9886-C5148CBE1B80}" name="Column4922"/>
    <tableColumn id="4930" xr3:uid="{70ED1A9B-0EC2-40EA-87E7-BB5C2E2215A7}" name="Column4923"/>
    <tableColumn id="4931" xr3:uid="{EC0CF293-39DA-4638-86ED-E3B5BE811782}" name="Column4924"/>
    <tableColumn id="4932" xr3:uid="{B8F54990-7E84-41C4-93EA-73EC971CA521}" name="Column4925"/>
    <tableColumn id="4933" xr3:uid="{5D50363C-C8E7-4FD1-8393-81B029AB8BD3}" name="Column4926"/>
    <tableColumn id="4934" xr3:uid="{F98E728E-69BE-4057-B093-5392DAE6D6F6}" name="Column4927"/>
    <tableColumn id="4935" xr3:uid="{4C3D4923-1090-4619-BC4D-ACD7FB3C3E16}" name="Column4928"/>
    <tableColumn id="4936" xr3:uid="{EE9AF989-2C28-4391-8A26-128D901C03FA}" name="Column4929"/>
    <tableColumn id="4937" xr3:uid="{5250A861-46C0-43F7-B74D-5A25CDF6328B}" name="Column4930"/>
    <tableColumn id="4938" xr3:uid="{6BD464CA-AAF9-4DA6-AC28-028B862A75B0}" name="Column4931"/>
    <tableColumn id="4939" xr3:uid="{CA0AA2E7-5875-4018-BE79-731B991C0228}" name="Column4932"/>
    <tableColumn id="4940" xr3:uid="{3D392E33-4CD9-49C0-AF4D-2C10F0ECFDC9}" name="Column4933"/>
    <tableColumn id="4941" xr3:uid="{A9741905-C0F6-4AD8-B1AC-372D5EA21DAF}" name="Column4934"/>
    <tableColumn id="4942" xr3:uid="{6CBB267B-82B6-486E-9548-2ADAD77ED754}" name="Column4935"/>
    <tableColumn id="4943" xr3:uid="{7668D499-9316-42C4-8629-FEBC9740A08D}" name="Column4936"/>
    <tableColumn id="4944" xr3:uid="{A10B8FF7-7BCF-4E0A-9D07-FEC6FA1A05A5}" name="Column4937"/>
    <tableColumn id="4945" xr3:uid="{706460C9-5194-4C0C-AE14-81EC05B8C210}" name="Column4938"/>
    <tableColumn id="4946" xr3:uid="{6FFDBA55-E3C9-4F6E-8ABF-49449ADD8FBC}" name="Column4939"/>
    <tableColumn id="4947" xr3:uid="{42AC8758-0423-46EE-A96B-439E93886919}" name="Column4940"/>
    <tableColumn id="4948" xr3:uid="{6BF726A6-601E-49EF-AFEB-1F7A02F41139}" name="Column4941"/>
    <tableColumn id="4949" xr3:uid="{E8892AE1-790E-4E12-B325-CD325B734210}" name="Column4942"/>
    <tableColumn id="4950" xr3:uid="{9DDDEBA6-914C-4F2C-96F4-188DFBE8FD33}" name="Column4943"/>
    <tableColumn id="4951" xr3:uid="{9A0EF274-AFCA-4103-9A7F-8BAC34BDBBC0}" name="Column4944"/>
    <tableColumn id="4952" xr3:uid="{495BE44E-EBC3-4948-8ED7-59D856E16503}" name="Column4945"/>
    <tableColumn id="4953" xr3:uid="{0603C25A-3296-4806-B743-9A7D582E27E2}" name="Column4946"/>
    <tableColumn id="4954" xr3:uid="{A73F93F9-3CDA-4919-ADD0-5C0AA7E68EB9}" name="Column4947"/>
    <tableColumn id="4955" xr3:uid="{ED3F00E0-51E8-4573-8707-BA2C9125146D}" name="Column4948"/>
    <tableColumn id="4956" xr3:uid="{1FB1F26C-4178-434D-87C2-62DC77A0F9C1}" name="Column4949"/>
    <tableColumn id="4957" xr3:uid="{5415577B-8688-45DE-A429-3654A5CC9B93}" name="Column4950"/>
    <tableColumn id="4958" xr3:uid="{083768B1-5842-4A6B-807B-FE67C574C7AC}" name="Column4951"/>
    <tableColumn id="4959" xr3:uid="{56020CEC-E22E-49D7-93FA-8166AFED9011}" name="Column4952"/>
    <tableColumn id="4960" xr3:uid="{28671CB9-FB4F-4B99-A2F7-A085D8E9D0B2}" name="Column4953"/>
    <tableColumn id="4961" xr3:uid="{0D9910D7-60FF-4CA7-81F4-2E2638D579AE}" name="Column4954"/>
    <tableColumn id="4962" xr3:uid="{E1ABC795-50BF-40D4-9E83-861B00F22C32}" name="Column4955"/>
    <tableColumn id="4963" xr3:uid="{DFC3ECDD-CAC6-4099-93E7-1BE70B6B41F3}" name="Column4956"/>
    <tableColumn id="4964" xr3:uid="{8BE23ADD-B50F-49AA-8FAB-F863F04CD7F3}" name="Column4957"/>
    <tableColumn id="4965" xr3:uid="{2182E7A4-F8B2-40F3-A915-5E1FF6A4AC62}" name="Column4958"/>
    <tableColumn id="4966" xr3:uid="{976DFE51-4C2D-4CF7-8B4C-C226397BCF1E}" name="Column4959"/>
    <tableColumn id="4967" xr3:uid="{7BA489A0-20E4-40A8-985D-308B48471AB7}" name="Column4960"/>
    <tableColumn id="4968" xr3:uid="{9A4F3F86-0BCD-4D24-B979-32B21BDC070E}" name="Column4961"/>
    <tableColumn id="4969" xr3:uid="{FECF1175-8717-487D-8021-35E2D96487BF}" name="Column4962"/>
    <tableColumn id="4970" xr3:uid="{706627C3-06D5-4837-9915-D6AE72DB779A}" name="Column4963"/>
    <tableColumn id="4971" xr3:uid="{CD3DDD4E-F168-488B-B670-A9BF867FD9CF}" name="Column4964"/>
    <tableColumn id="4972" xr3:uid="{309EF70B-5EA8-4F88-9166-4CAA0820C6E3}" name="Column4965"/>
    <tableColumn id="4973" xr3:uid="{7D4E12CB-5BC6-4A5B-99A9-6B2E43EBDA25}" name="Column4966"/>
    <tableColumn id="4974" xr3:uid="{8A78C8FD-37A2-4FC9-BF21-3FE01568CC67}" name="Column4967"/>
    <tableColumn id="4975" xr3:uid="{ECECFDE0-FDF0-421E-9113-AB3BB9A2EB7F}" name="Column4968"/>
    <tableColumn id="4976" xr3:uid="{AAD8E9D1-87FA-41FC-A887-0DC930A3E68F}" name="Column4969"/>
    <tableColumn id="4977" xr3:uid="{FAE2388B-C41F-483F-9D7F-72F48A40E0FC}" name="Column4970"/>
    <tableColumn id="4978" xr3:uid="{F289BFB3-CADD-46B6-B8C9-2359E5F7C104}" name="Column4971"/>
    <tableColumn id="4979" xr3:uid="{E989017E-74F2-4F03-9F3A-1083BE168DCC}" name="Column4972"/>
    <tableColumn id="4980" xr3:uid="{35B320E2-4770-449C-BC11-6316963966E3}" name="Column4973"/>
    <tableColumn id="4981" xr3:uid="{02955E2C-D565-42B1-B2F2-511EFF52043C}" name="Column4974"/>
    <tableColumn id="4982" xr3:uid="{036508CA-F287-488A-ACEA-5FFB90827C6B}" name="Column4975"/>
    <tableColumn id="4983" xr3:uid="{7C31F960-9418-4CC1-8AD4-92C82BDBDF54}" name="Column4976"/>
    <tableColumn id="4984" xr3:uid="{521CFE99-F857-482D-B60F-6DE3EAD569E2}" name="Column4977"/>
    <tableColumn id="4985" xr3:uid="{68F97F43-10CF-4882-AFC2-3B3F1F61ADB1}" name="Column4978"/>
    <tableColumn id="4986" xr3:uid="{F191E270-FA66-4FC0-94E8-B06775EF677E}" name="Column4979"/>
    <tableColumn id="4987" xr3:uid="{CB80DAF4-F3D2-447D-926F-6C50CD072205}" name="Column4980"/>
    <tableColumn id="4988" xr3:uid="{C39D9162-A531-4735-9A56-F47BEF546166}" name="Column4981"/>
    <tableColumn id="4989" xr3:uid="{CB89A21B-A41A-4F17-AB9C-E0D25DCBBE28}" name="Column4982"/>
    <tableColumn id="4990" xr3:uid="{7EE9B540-4711-46C7-AB26-DDC07B94C3E8}" name="Column4983"/>
    <tableColumn id="4991" xr3:uid="{936D5473-1987-4F25-A78A-694E81C2E008}" name="Column4984"/>
    <tableColumn id="4992" xr3:uid="{456A9089-9D39-42EA-9D17-FB491C5D85A8}" name="Column4985"/>
    <tableColumn id="4993" xr3:uid="{8389A431-65A4-41E2-8C3B-A3F212DC8918}" name="Column4986"/>
    <tableColumn id="4994" xr3:uid="{981BC56B-5EC1-432F-9A6C-BD13FFECB1E8}" name="Column4987"/>
    <tableColumn id="4995" xr3:uid="{F0A4F558-8D61-425B-A474-A5804EDFDD92}" name="Column4988"/>
    <tableColumn id="4996" xr3:uid="{2FA0A9F4-AE92-4613-BF59-BC34BC7E1AD7}" name="Column4989"/>
    <tableColumn id="4997" xr3:uid="{627CA7DD-1F19-4DDB-9B08-1E6DD7113C31}" name="Column4990"/>
    <tableColumn id="4998" xr3:uid="{0558128F-6FA5-40BC-838D-8D2833AD198C}" name="Column4991"/>
    <tableColumn id="4999" xr3:uid="{380B06AA-5E83-40DC-B635-3EA4C30890AF}" name="Column4992"/>
    <tableColumn id="5000" xr3:uid="{7DA34CB7-E2F0-4CF9-A9D1-C26CBC3E586D}" name="Column4993"/>
    <tableColumn id="5001" xr3:uid="{E183EBD3-324F-46DD-AC65-BB8C95E8A853}" name="Column4994"/>
    <tableColumn id="5002" xr3:uid="{857D2F52-50F7-47B2-87C7-BC8B5986E05A}" name="Column4995"/>
    <tableColumn id="5003" xr3:uid="{085725DD-A6BA-4601-AB32-DAF2303A253B}" name="Column4996"/>
    <tableColumn id="5004" xr3:uid="{62AB6407-CB0B-423F-858D-2ED9EDE2ADE0}" name="Column4997"/>
    <tableColumn id="5005" xr3:uid="{B790D720-38FC-43AE-977F-F6FDB834E3AA}" name="Column4998"/>
    <tableColumn id="5006" xr3:uid="{1883B164-B3F8-48DD-883E-607142A33D12}" name="Column4999"/>
    <tableColumn id="5007" xr3:uid="{B6365ABD-D489-4C84-8413-4F2467D420E1}" name="Column5000"/>
    <tableColumn id="5008" xr3:uid="{56D6CA7F-7B4F-44A3-BFD7-2E01A859852A}" name="Column5001"/>
    <tableColumn id="5009" xr3:uid="{6654C4BF-1CE6-47B3-8371-971FF4D51806}" name="Column5002"/>
    <tableColumn id="5010" xr3:uid="{140882AC-6183-444E-80EC-42D62FD0E766}" name="Column5003"/>
    <tableColumn id="5011" xr3:uid="{C2B39A20-B781-40B7-8C2C-3ADC64C7DEE6}" name="Column5004"/>
    <tableColumn id="5012" xr3:uid="{96CD2351-B43D-46AA-9C45-00458DC00449}" name="Column5005"/>
    <tableColumn id="5013" xr3:uid="{561B53B2-FD3E-4E4B-A390-A26BF05AF64A}" name="Column5006"/>
    <tableColumn id="5014" xr3:uid="{BE0A9566-CF53-4F17-9E02-DB8225AAB901}" name="Column5007"/>
    <tableColumn id="5015" xr3:uid="{9AF73F55-E20D-4305-8957-6126B2A35AA8}" name="Column5008"/>
    <tableColumn id="5016" xr3:uid="{D47A8CEC-ACF3-4146-8176-F3BBE226829F}" name="Column5009"/>
    <tableColumn id="5017" xr3:uid="{77ABAC3D-E221-44E8-865A-6A579ED077CF}" name="Column5010"/>
    <tableColumn id="5018" xr3:uid="{4F431BE2-389E-49DE-8BCD-4266C893E43E}" name="Column5011"/>
    <tableColumn id="5019" xr3:uid="{7E52E6E6-032A-43EE-A83A-1D5673DC6898}" name="Column5012"/>
    <tableColumn id="5020" xr3:uid="{FD280165-3968-4E48-9A4F-F02FCAD338D4}" name="Column5013"/>
    <tableColumn id="5021" xr3:uid="{1802EF9D-610D-45DA-B50B-7ECAC3BFD563}" name="Column5014"/>
    <tableColumn id="5022" xr3:uid="{434CB215-95E0-4EBF-918D-EB2EF0ACE372}" name="Column5015"/>
    <tableColumn id="5023" xr3:uid="{79EE6A86-A350-400D-B3A8-5DCA27849E33}" name="Column5016"/>
    <tableColumn id="5024" xr3:uid="{91C49CDC-2795-41F8-81C2-91977B59359A}" name="Column5017"/>
    <tableColumn id="5025" xr3:uid="{ACC5650E-B56F-4290-9631-45633E0B25F6}" name="Column5018"/>
    <tableColumn id="5026" xr3:uid="{F566DF79-0728-457B-9A70-7CF4E4EB8C57}" name="Column5019"/>
    <tableColumn id="5027" xr3:uid="{CE0C98E3-C7FE-4DED-92D5-E6E6A8B0C2C3}" name="Column5020"/>
    <tableColumn id="5028" xr3:uid="{B7693423-1AD2-405B-8517-DDB37772FC45}" name="Column5021"/>
    <tableColumn id="5029" xr3:uid="{F8BDD995-7842-4228-915A-F8C8E5EA6728}" name="Column5022"/>
    <tableColumn id="5030" xr3:uid="{FE08093D-DD4F-4D6D-A7D1-26BF9C70D40C}" name="Column5023"/>
    <tableColumn id="5031" xr3:uid="{BBEEFC9B-4EE9-412D-A740-4C1AA712E254}" name="Column5024"/>
    <tableColumn id="5032" xr3:uid="{25F7327A-7BA8-4601-9342-E2E6520685DE}" name="Column5025"/>
    <tableColumn id="5033" xr3:uid="{164E3D11-EBFC-48E5-8405-F0756ED45CF5}" name="Column5026"/>
    <tableColumn id="5034" xr3:uid="{3F4C8B81-AD6D-41DF-A961-D2EBC43B02AF}" name="Column5027"/>
    <tableColumn id="5035" xr3:uid="{AA54294C-3155-470F-A95E-EF9F86D0D4D3}" name="Column5028"/>
    <tableColumn id="5036" xr3:uid="{ADF9E5A5-6B3F-46CF-B190-1E36E6E364BE}" name="Column5029"/>
    <tableColumn id="5037" xr3:uid="{D027ECD4-B681-4FC5-ADD0-C59B3FF42162}" name="Column5030"/>
    <tableColumn id="5038" xr3:uid="{1EB4DD3C-E98A-46B3-AB62-82D633C38604}" name="Column5031"/>
    <tableColumn id="5039" xr3:uid="{DBFE7F7A-EB74-49FB-A134-464496599A76}" name="Column5032"/>
    <tableColumn id="5040" xr3:uid="{18D1AB3C-C8AB-4B09-919B-3349106BFC80}" name="Column5033"/>
    <tableColumn id="5041" xr3:uid="{51EB08FD-79E4-4C17-A23A-8176E5A19F79}" name="Column5034"/>
    <tableColumn id="5042" xr3:uid="{C7E67126-06AC-45DF-8E9A-F9EDBF6E03D5}" name="Column5035"/>
    <tableColumn id="5043" xr3:uid="{5EF749D0-1359-4A95-BAB6-3C3107099549}" name="Column5036"/>
    <tableColumn id="5044" xr3:uid="{2F37684C-6BF7-46ED-9073-29E0CAFFBD49}" name="Column5037"/>
    <tableColumn id="5045" xr3:uid="{6B095FDF-0190-41B3-89E8-714AB127DC2F}" name="Column5038"/>
    <tableColumn id="5046" xr3:uid="{8B83B289-AFE5-4F4A-AE0B-6460AE996D29}" name="Column5039"/>
    <tableColumn id="5047" xr3:uid="{47F34E26-B75D-427F-9CC1-46CA2AC51405}" name="Column5040"/>
    <tableColumn id="5048" xr3:uid="{0E354520-8FA7-49E7-829E-7056026E24C6}" name="Column5041"/>
    <tableColumn id="5049" xr3:uid="{7973221F-E20B-4000-B7D5-6A9BA529036E}" name="Column5042"/>
    <tableColumn id="5050" xr3:uid="{D537363A-1980-4450-B093-95F3EA3CD56F}" name="Column5043"/>
    <tableColumn id="5051" xr3:uid="{A434B027-80A5-4311-B74F-B67DB602E16C}" name="Column5044"/>
    <tableColumn id="5052" xr3:uid="{40A7E494-FFCD-4B2B-9AD9-D486B0907F3D}" name="Column5045"/>
    <tableColumn id="5053" xr3:uid="{755F5FC9-0BB5-438E-9E9C-3F46597BFA3C}" name="Column5046"/>
    <tableColumn id="5054" xr3:uid="{B84893FF-F587-4FEA-A0DD-C9FEF5F31DC6}" name="Column5047"/>
    <tableColumn id="5055" xr3:uid="{8A86D2A5-230C-45E2-923E-4672246818EF}" name="Column5048"/>
    <tableColumn id="5056" xr3:uid="{9C04A7C2-5C72-43A0-943C-F6A34444BF2E}" name="Column5049"/>
    <tableColumn id="5057" xr3:uid="{BB0F1772-1A9A-4328-9499-E2F79021AE7F}" name="Column5050"/>
    <tableColumn id="5058" xr3:uid="{E9930A4B-0802-430F-B6EB-30AD3B1D0F19}" name="Column5051"/>
    <tableColumn id="5059" xr3:uid="{47B8CD56-12B8-49B7-935D-9CDEDBEF7DB0}" name="Column5052"/>
    <tableColumn id="5060" xr3:uid="{A995610A-6E1C-40A8-9112-540BE20A8156}" name="Column5053"/>
    <tableColumn id="5061" xr3:uid="{F380E244-8C17-4259-AE9E-1E80B0BA52E3}" name="Column5054"/>
    <tableColumn id="5062" xr3:uid="{F7A5421C-550B-42A3-86A9-413BAF1E16F9}" name="Column5055"/>
    <tableColumn id="5063" xr3:uid="{70FD55E5-98C4-4E89-B510-149A12DA92D1}" name="Column5056"/>
    <tableColumn id="5064" xr3:uid="{8E1465D1-DE47-466C-BFC5-E9C95B2C26DC}" name="Column5057"/>
    <tableColumn id="5065" xr3:uid="{8C1BE38B-0FAC-4B6F-933F-620794DA2134}" name="Column5058"/>
    <tableColumn id="5066" xr3:uid="{F13967B8-6232-4D7D-9685-43965DE8F9D3}" name="Column5059"/>
    <tableColumn id="5067" xr3:uid="{15F81741-E9E1-4DA1-A5BC-8094949F6F06}" name="Column5060"/>
    <tableColumn id="5068" xr3:uid="{474CFABB-F1B8-4930-A8B3-0304AF8986B8}" name="Column5061"/>
    <tableColumn id="5069" xr3:uid="{703C0D5C-C674-42A3-ABF3-CCE6D852A401}" name="Column5062"/>
    <tableColumn id="5070" xr3:uid="{B608CB65-F566-4509-98CC-3525AB5E0FE7}" name="Column5063"/>
    <tableColumn id="5071" xr3:uid="{AFC86E75-C9D7-4430-BED5-8E8EC3F61560}" name="Column5064"/>
    <tableColumn id="5072" xr3:uid="{C32C9EBF-B4B6-4F6B-B86C-E86DD8E253F5}" name="Column5065"/>
    <tableColumn id="5073" xr3:uid="{39C46116-81BA-4511-AB94-E921A16D9136}" name="Column5066"/>
    <tableColumn id="5074" xr3:uid="{ECB36DC4-9F7B-47B4-967B-46EC415DDF9E}" name="Column5067"/>
    <tableColumn id="5075" xr3:uid="{7AA227AF-CABD-47E9-8C52-3BCBE6758590}" name="Column5068"/>
    <tableColumn id="5076" xr3:uid="{9140C7CF-B026-4425-BEC6-78A4761DE54C}" name="Column5069"/>
    <tableColumn id="5077" xr3:uid="{425D3602-0171-4729-BAC0-639CD511E700}" name="Column5070"/>
    <tableColumn id="5078" xr3:uid="{83D4148B-6C40-46A4-868C-8558408BE6D6}" name="Column5071"/>
    <tableColumn id="5079" xr3:uid="{B9C023A2-0178-4A11-803E-00F739F92EB6}" name="Column5072"/>
    <tableColumn id="5080" xr3:uid="{BA0C717E-117C-4D1A-A0E1-CF7A839C9D73}" name="Column5073"/>
    <tableColumn id="5081" xr3:uid="{07E38A96-C0FF-4944-8BD9-ADD42714F62D}" name="Column5074"/>
    <tableColumn id="5082" xr3:uid="{F8135D94-F9F5-4ADF-9550-6D7D6A6A214B}" name="Column5075"/>
    <tableColumn id="5083" xr3:uid="{664E7A2A-E65C-4EA5-A388-B0557098D058}" name="Column5076"/>
    <tableColumn id="5084" xr3:uid="{E6DDE2D8-C71C-4C17-943E-43CE09A87146}" name="Column5077"/>
    <tableColumn id="5085" xr3:uid="{0CA590D9-D2BB-44EC-87B0-916DFD9CE5A4}" name="Column5078"/>
    <tableColumn id="5086" xr3:uid="{0A4635EF-23ED-4CF5-8CBF-5EAD8831FB00}" name="Column5079"/>
    <tableColumn id="5087" xr3:uid="{844E8D96-1466-4E68-8CA4-CD016566F661}" name="Column5080"/>
    <tableColumn id="5088" xr3:uid="{C9ED2A3C-245F-440E-8529-91AB6482FB2E}" name="Column5081"/>
    <tableColumn id="5089" xr3:uid="{8F0F27C6-42EA-491D-811D-69C4886B39E2}" name="Column5082"/>
    <tableColumn id="5090" xr3:uid="{01386C51-0629-4DE4-802C-4377E261EAFF}" name="Column5083"/>
    <tableColumn id="5091" xr3:uid="{39542DAA-D3D7-4F94-9BD3-D7F3F8B825D9}" name="Column5084"/>
    <tableColumn id="5092" xr3:uid="{59FDC127-9E23-4DD5-9860-D4E47062D50B}" name="Column5085"/>
    <tableColumn id="5093" xr3:uid="{1FFE0C51-19E2-4284-8D12-609511A16086}" name="Column5086"/>
    <tableColumn id="5094" xr3:uid="{FD42C4ED-5A0B-44E6-91DC-B6ECBBF0ED7E}" name="Column5087"/>
    <tableColumn id="5095" xr3:uid="{35291660-10C2-4C46-93BF-8092696E804F}" name="Column5088"/>
    <tableColumn id="5096" xr3:uid="{28391028-017C-46C6-B3D8-8554D9B2768C}" name="Column5089"/>
    <tableColumn id="5097" xr3:uid="{F2C41E7A-52DB-4D7B-830D-91874DF79B77}" name="Column5090"/>
    <tableColumn id="5098" xr3:uid="{CC2C9B36-E991-4D4A-92F2-9CBF3F2194EA}" name="Column5091"/>
    <tableColumn id="5099" xr3:uid="{29A9D6A3-A729-4EEB-B027-F9C02B299966}" name="Column5092"/>
    <tableColumn id="5100" xr3:uid="{6CA63E0B-3EBE-42D1-B080-1D7C6AD14850}" name="Column5093"/>
    <tableColumn id="5101" xr3:uid="{70A96EE5-6034-46F6-BF2A-893FCCF549AB}" name="Column5094"/>
    <tableColumn id="5102" xr3:uid="{51BAE2E7-AFC3-4AF7-8859-99406515742B}" name="Column5095"/>
    <tableColumn id="5103" xr3:uid="{E80B5385-3BF3-4E19-84F3-ED9102416F6B}" name="Column5096"/>
    <tableColumn id="5104" xr3:uid="{52EB69AB-5EF6-4771-B992-29C21E750353}" name="Column5097"/>
    <tableColumn id="5105" xr3:uid="{8D98C950-4C8B-42D9-8DCB-AF96C9217384}" name="Column5098"/>
    <tableColumn id="5106" xr3:uid="{E8A0DA08-D4F0-49FA-8F8E-FCE9ED6F3C6A}" name="Column5099"/>
    <tableColumn id="5107" xr3:uid="{7E1450C3-F849-4DFE-BAC0-9CE624C44273}" name="Column5100"/>
    <tableColumn id="5108" xr3:uid="{36C84348-525B-4D18-9801-8E4D68E46D7C}" name="Column5101"/>
    <tableColumn id="5109" xr3:uid="{5D64CFCE-5A68-4227-9E08-2A1654779066}" name="Column5102"/>
    <tableColumn id="5110" xr3:uid="{D4928ACD-BABA-4530-97F9-8FCC222C9F74}" name="Column5103"/>
    <tableColumn id="5111" xr3:uid="{00E344C1-E744-406A-962A-8BB908C455B6}" name="Column5104"/>
    <tableColumn id="5112" xr3:uid="{65C9218D-EFB6-4F6D-8C62-3F1A0D1C46F5}" name="Column5105"/>
    <tableColumn id="5113" xr3:uid="{3D1BB5A2-6850-4BD4-A953-0DFF0551A2F7}" name="Column5106"/>
    <tableColumn id="5114" xr3:uid="{4EFDA325-AFCE-423C-AB1A-84B4DB00BD14}" name="Column5107"/>
    <tableColumn id="5115" xr3:uid="{3664051B-4EB1-4AFC-92E8-922E8BCB3CAD}" name="Column5108"/>
    <tableColumn id="5116" xr3:uid="{6474108D-CE6A-4483-843C-AFF40DD50C13}" name="Column5109"/>
    <tableColumn id="5117" xr3:uid="{E7B1CC9C-4CFF-47A6-BCAF-309EDEEEDC78}" name="Column5110"/>
    <tableColumn id="5118" xr3:uid="{5C897FD5-71D7-49EC-868C-AAD7B664207B}" name="Column5111"/>
    <tableColumn id="5119" xr3:uid="{DFB5E8BF-5BEE-4586-979D-1DBA6CCBCB32}" name="Column5112"/>
    <tableColumn id="5120" xr3:uid="{816E6275-AF0F-481F-ABE3-2440D5690E07}" name="Column5113"/>
    <tableColumn id="5121" xr3:uid="{050D1342-A3C6-4D6F-9E61-8133800139D8}" name="Column5114"/>
    <tableColumn id="5122" xr3:uid="{D5391AD8-B3AD-461A-AC0B-CF0016BD3ABB}" name="Column5115"/>
    <tableColumn id="5123" xr3:uid="{547119B9-507C-4B18-A7F1-F1BB9E043D17}" name="Column5116"/>
    <tableColumn id="5124" xr3:uid="{E3C2DACA-ABF0-46FB-877E-C7D78004F6D6}" name="Column5117"/>
    <tableColumn id="5125" xr3:uid="{BF4D5124-5147-414C-BADC-133BABF28A0F}" name="Column5118"/>
    <tableColumn id="5126" xr3:uid="{BB7AEEFC-60B3-41D5-BEE4-12BFADF16C7D}" name="Column5119"/>
    <tableColumn id="5127" xr3:uid="{D806B2D8-3E9B-4453-8146-E88F071FF836}" name="Column5120"/>
    <tableColumn id="5128" xr3:uid="{42E90E2F-841F-4CBF-85A5-2D02F4F8EC81}" name="Column5121"/>
    <tableColumn id="5129" xr3:uid="{ADDDDF00-969E-46C7-A274-259B03048435}" name="Column5122"/>
    <tableColumn id="5130" xr3:uid="{CF28B6B2-CD11-4AF0-9C46-CBBA60583D6F}" name="Column5123"/>
    <tableColumn id="5131" xr3:uid="{F6FF3258-3764-4D82-AA71-0A4684E3E0B0}" name="Column5124"/>
    <tableColumn id="5132" xr3:uid="{72FF29A4-A86C-4DBB-846C-09670837F6FF}" name="Column5125"/>
    <tableColumn id="5133" xr3:uid="{4B393DCF-16FF-471E-AC7C-95BD49D894A7}" name="Column5126"/>
    <tableColumn id="5134" xr3:uid="{B33B6181-6A22-4922-A0F6-4760B4754A96}" name="Column5127"/>
    <tableColumn id="5135" xr3:uid="{D00E7DDD-5330-481A-87F2-489A46482AEF}" name="Column5128"/>
    <tableColumn id="5136" xr3:uid="{B7A26478-DA26-46CB-AC5D-A2DB7EA78408}" name="Column5129"/>
    <tableColumn id="5137" xr3:uid="{C4FDA555-D8C4-4183-8438-210E0B9E9701}" name="Column5130"/>
    <tableColumn id="5138" xr3:uid="{D43E6F5A-8AA5-4B2D-AAE8-C3E6726F5F5C}" name="Column5131"/>
    <tableColumn id="5139" xr3:uid="{7CAB25BB-CA5B-4DB7-95FA-B0BD4FDA0E57}" name="Column5132"/>
    <tableColumn id="5140" xr3:uid="{0AAD9E44-0275-41D2-8D19-A29C3D6BE30A}" name="Column5133"/>
    <tableColumn id="5141" xr3:uid="{8A36AAC9-5315-42C1-80ED-60A1DFCF0D04}" name="Column5134"/>
    <tableColumn id="5142" xr3:uid="{A2E187A7-F522-4530-AB0C-2661E4B81D70}" name="Column5135"/>
    <tableColumn id="5143" xr3:uid="{C0D4F9A7-0F6F-4E80-9096-AEAE3531E514}" name="Column5136"/>
    <tableColumn id="5144" xr3:uid="{E1F61A2B-E248-4DA5-9D88-7F876E56E027}" name="Column5137"/>
    <tableColumn id="5145" xr3:uid="{68BE0A38-E0D2-4948-B843-357C4A61C493}" name="Column5138"/>
    <tableColumn id="5146" xr3:uid="{A0580A50-1091-403B-BBEF-1426BE859022}" name="Column5139"/>
    <tableColumn id="5147" xr3:uid="{91A9058A-0943-4CAB-8AC9-F8CF55CEF64A}" name="Column5140"/>
    <tableColumn id="5148" xr3:uid="{CB38A131-E799-4643-9DE3-2D3AB0920B77}" name="Column5141"/>
    <tableColumn id="5149" xr3:uid="{8E8E6924-2BA1-4AAE-8C4D-A8B74404C169}" name="Column5142"/>
    <tableColumn id="5150" xr3:uid="{8E181484-90C9-4DEE-BB82-9586FB78F4AF}" name="Column5143"/>
    <tableColumn id="5151" xr3:uid="{CC54CE44-2B29-4438-9413-09B9EE091FAC}" name="Column5144"/>
    <tableColumn id="5152" xr3:uid="{667EF146-A6D2-4609-98D2-A0B7A1E5EE82}" name="Column5145"/>
    <tableColumn id="5153" xr3:uid="{1C855969-137F-4E72-896A-7264A0E53B0A}" name="Column5146"/>
    <tableColumn id="5154" xr3:uid="{C6338347-C8EE-482B-90C7-299D0A368F96}" name="Column5147"/>
    <tableColumn id="5155" xr3:uid="{B59A7B2F-3D1A-4AFB-A84E-FCAB8FFFE4F2}" name="Column5148"/>
    <tableColumn id="5156" xr3:uid="{3520862B-AB67-4A45-B01C-0A510C178262}" name="Column5149"/>
    <tableColumn id="5157" xr3:uid="{65B1A3E4-B0AC-450E-8C3E-0E7D88180C90}" name="Column5150"/>
    <tableColumn id="5158" xr3:uid="{5139CC70-1BF6-4C29-B1A3-22AB9249EEF7}" name="Column5151"/>
    <tableColumn id="5159" xr3:uid="{731CEADE-7F8B-451B-9CBF-7D65B989D866}" name="Column5152"/>
    <tableColumn id="5160" xr3:uid="{F2D23F33-6B86-42C4-BDE0-713C6A6D31EE}" name="Column5153"/>
    <tableColumn id="5161" xr3:uid="{E9089594-781A-405E-833A-C87DD9A3FDE4}" name="Column5154"/>
    <tableColumn id="5162" xr3:uid="{8EBF5BC1-8691-48DA-8050-9866AD9034B0}" name="Column5155"/>
    <tableColumn id="5163" xr3:uid="{C76DF32F-E0AE-4781-96CB-3DC4D871145D}" name="Column5156"/>
    <tableColumn id="5164" xr3:uid="{B3BD980E-7F57-4881-9DE9-171B6B67E2A6}" name="Column5157"/>
    <tableColumn id="5165" xr3:uid="{37E80FAE-F7D7-43CC-8885-D8CB5337FDEB}" name="Column5158"/>
    <tableColumn id="5166" xr3:uid="{F11A9C0A-D8DE-49E9-9BBD-EC3BD3408F57}" name="Column5159"/>
    <tableColumn id="5167" xr3:uid="{D039C2B0-DFE9-4588-8D98-35207082F129}" name="Column5160"/>
    <tableColumn id="5168" xr3:uid="{E2CBFAE1-401A-4EE1-82E2-A4FAB07801D3}" name="Column5161"/>
    <tableColumn id="5169" xr3:uid="{A28D8D58-D03F-42D2-9388-2B96FB2A60D4}" name="Column5162"/>
    <tableColumn id="5170" xr3:uid="{4D12B915-F560-4A26-A560-0781B2306972}" name="Column5163"/>
    <tableColumn id="5171" xr3:uid="{518A2E80-E094-4238-A12E-B6D87CE39803}" name="Column5164"/>
    <tableColumn id="5172" xr3:uid="{1C544129-C103-41A1-A0D6-1798B0C73DD3}" name="Column5165"/>
    <tableColumn id="5173" xr3:uid="{F281EBAB-B92E-4C3A-AE5F-6A42A336FD48}" name="Column5166"/>
    <tableColumn id="5174" xr3:uid="{509146E8-F095-40B6-88D3-C0BD4165B22D}" name="Column5167"/>
    <tableColumn id="5175" xr3:uid="{AB2E599D-3797-420C-AA04-509A1514C425}" name="Column5168"/>
    <tableColumn id="5176" xr3:uid="{32771198-2B84-4F25-8BAC-35CE8E692290}" name="Column5169"/>
    <tableColumn id="5177" xr3:uid="{BBC52864-31FB-4662-831E-967C2A8EFC4C}" name="Column5170"/>
    <tableColumn id="5178" xr3:uid="{BE81A089-0218-48C8-9AEF-181905BC3D04}" name="Column5171"/>
    <tableColumn id="5179" xr3:uid="{51FA32CE-44AC-458D-B697-90A114180B96}" name="Column5172"/>
    <tableColumn id="5180" xr3:uid="{490C49D2-0C20-433E-91D5-4927198E4369}" name="Column5173"/>
    <tableColumn id="5181" xr3:uid="{437B8DA5-7E68-46EB-A977-377F3D7C84B7}" name="Column5174"/>
    <tableColumn id="5182" xr3:uid="{FF3EC912-901A-46B9-9B93-86A102B7651E}" name="Column5175"/>
    <tableColumn id="5183" xr3:uid="{3FE478D1-1FC0-4F02-B265-ABA83D11E34B}" name="Column5176"/>
    <tableColumn id="5184" xr3:uid="{4BAE40F2-3D61-4983-928C-9AB11A09B86D}" name="Column5177"/>
    <tableColumn id="5185" xr3:uid="{DCC9F325-8F27-49D0-B399-8B04FBD77207}" name="Column5178"/>
    <tableColumn id="5186" xr3:uid="{A7694A8E-6493-492E-ADEA-D2BBA35B5C51}" name="Column5179"/>
    <tableColumn id="5187" xr3:uid="{7FDC84B4-718C-46B2-9CBD-1ED4662297CB}" name="Column5180"/>
    <tableColumn id="5188" xr3:uid="{63C58531-2DD7-4C7B-8BF4-7B90C88A14D1}" name="Column5181"/>
    <tableColumn id="5189" xr3:uid="{527A75CF-A9B7-42CE-B6FC-C7176F4CE576}" name="Column5182"/>
    <tableColumn id="5190" xr3:uid="{EC2F70BC-86B4-419C-8785-E6C88CB07CB4}" name="Column5183"/>
    <tableColumn id="5191" xr3:uid="{436942AF-2880-4041-943B-909C6E518ED3}" name="Column5184"/>
    <tableColumn id="5192" xr3:uid="{C61E590C-0383-451D-9ED7-BB65F42EFBEB}" name="Column5185"/>
    <tableColumn id="5193" xr3:uid="{39B74883-5E11-479A-9120-3572F2AA434B}" name="Column5186"/>
    <tableColumn id="5194" xr3:uid="{296FC6E0-C616-457D-B11F-715EAB175E7F}" name="Column5187"/>
    <tableColumn id="5195" xr3:uid="{915C07B8-8977-4C2D-9175-D9C66F35D72D}" name="Column5188"/>
    <tableColumn id="5196" xr3:uid="{00198F5B-3648-4474-8437-267A95A49A2E}" name="Column5189"/>
    <tableColumn id="5197" xr3:uid="{EAEE5C72-B367-4010-A6B3-C4F2B9FC00EE}" name="Column5190"/>
    <tableColumn id="5198" xr3:uid="{91CA4164-6EA8-4EFE-907D-50C815C63951}" name="Column5191"/>
    <tableColumn id="5199" xr3:uid="{0661E5A7-BB6C-4C2E-B467-B1B0BE5693BF}" name="Column5192"/>
    <tableColumn id="5200" xr3:uid="{C7140608-A9CB-4102-9E97-7B584779B2E1}" name="Column5193"/>
    <tableColumn id="5201" xr3:uid="{C9FFFE25-43B7-4610-9696-88C65034F3DE}" name="Column5194"/>
    <tableColumn id="5202" xr3:uid="{8370F16A-01E9-4704-9141-F161F96E46D0}" name="Column5195"/>
    <tableColumn id="5203" xr3:uid="{098BC01A-C417-47E9-B6BA-093D937BE93D}" name="Column5196"/>
    <tableColumn id="5204" xr3:uid="{9A395DD4-BD72-44E6-BE64-DBED34920DC6}" name="Column5197"/>
    <tableColumn id="5205" xr3:uid="{4D0DC314-8AFC-4ED4-B777-3B4D67DAE347}" name="Column5198"/>
    <tableColumn id="5206" xr3:uid="{F7CBD382-0FA8-4976-B45A-F3FFFE47D138}" name="Column5199"/>
    <tableColumn id="5207" xr3:uid="{A1BEC8E2-9964-4A1C-8503-A912C9D01BCE}" name="Column5200"/>
    <tableColumn id="5208" xr3:uid="{7136B9F5-A3B4-48D0-BE9B-7D4F3232ECB6}" name="Column5201"/>
    <tableColumn id="5209" xr3:uid="{EBE24C12-0CAE-4C57-9893-958D901EC55D}" name="Column5202"/>
    <tableColumn id="5210" xr3:uid="{2718871B-0329-41A6-B181-3871E68CB691}" name="Column5203"/>
    <tableColumn id="5211" xr3:uid="{7B1A5E7A-F7A0-4882-B5CD-3F6B0997D6A0}" name="Column5204"/>
    <tableColumn id="5212" xr3:uid="{8096812C-0522-4968-9BA2-7997E38D98EE}" name="Column5205"/>
    <tableColumn id="5213" xr3:uid="{8D118A04-13EB-47AA-AE22-AA1558C867C1}" name="Column5206"/>
    <tableColumn id="5214" xr3:uid="{7B2B5F42-BDAA-46D3-9D5A-29708E858B73}" name="Column5207"/>
    <tableColumn id="5215" xr3:uid="{6B5A1DD1-E8B4-4BEE-B687-124B44785549}" name="Column5208"/>
    <tableColumn id="5216" xr3:uid="{7E49F158-B23E-4E7F-8F11-865AA4554A23}" name="Column5209"/>
    <tableColumn id="5217" xr3:uid="{9E7DA6CF-0FDA-414D-BEC0-30CD1B4303E7}" name="Column5210"/>
    <tableColumn id="5218" xr3:uid="{1A335575-6ADA-41FE-8F03-077FEF56FB79}" name="Column5211"/>
    <tableColumn id="5219" xr3:uid="{6CC505E4-D96A-4ADC-8405-D7EC8AF99FC4}" name="Column5212"/>
    <tableColumn id="5220" xr3:uid="{7B72563A-0A97-4AA6-BE24-D086A77AE709}" name="Column5213"/>
    <tableColumn id="5221" xr3:uid="{B7C4693F-3091-4463-B39E-5590E31DCA81}" name="Column5214"/>
    <tableColumn id="5222" xr3:uid="{401BBEBD-7F93-48A3-BB74-940FFF743961}" name="Column5215"/>
    <tableColumn id="5223" xr3:uid="{47409705-C777-4E78-8B16-4B1758E19CEF}" name="Column5216"/>
    <tableColumn id="5224" xr3:uid="{A0FFAF53-242A-4AAB-9259-8657D254B7B5}" name="Column5217"/>
    <tableColumn id="5225" xr3:uid="{B70187BA-E69C-43F2-AD58-D76DA669671E}" name="Column5218"/>
    <tableColumn id="5226" xr3:uid="{96146515-B535-4F42-804A-798EFABD9950}" name="Column5219"/>
    <tableColumn id="5227" xr3:uid="{4FE7BAAD-FA9B-4276-962D-09C5BFB0EFF4}" name="Column5220"/>
    <tableColumn id="5228" xr3:uid="{977EB80F-505C-484E-B084-9EC2741C6A54}" name="Column5221"/>
    <tableColumn id="5229" xr3:uid="{15E6F839-FF49-46D5-A3CA-06E448AA124C}" name="Column5222"/>
    <tableColumn id="5230" xr3:uid="{A61FB5F4-9C05-4A9F-9449-6572FA14B688}" name="Column5223"/>
    <tableColumn id="5231" xr3:uid="{94A3865C-F028-4DB0-94DB-042C9BF00042}" name="Column5224"/>
    <tableColumn id="5232" xr3:uid="{63013A8D-B940-439A-B965-48680D6B06AB}" name="Column5225"/>
    <tableColumn id="5233" xr3:uid="{65372311-B167-4E7B-88F2-16762E10F46C}" name="Column5226"/>
    <tableColumn id="5234" xr3:uid="{0B886D03-0605-43ED-B8C2-C50F631AE63D}" name="Column5227"/>
    <tableColumn id="5235" xr3:uid="{087E2931-4AB5-4114-A9A8-AED23ADE367F}" name="Column5228"/>
    <tableColumn id="5236" xr3:uid="{6DF1F70D-682B-4133-B468-490C41CCD8FD}" name="Column5229"/>
    <tableColumn id="5237" xr3:uid="{93D58DDB-9955-4A2D-8F6C-72D28E51349E}" name="Column5230"/>
    <tableColumn id="5238" xr3:uid="{6763CDC7-5AF3-4048-9816-B54400192A5F}" name="Column5231"/>
    <tableColumn id="5239" xr3:uid="{5D31031D-5CFC-4E25-A9EE-56BB4E844B53}" name="Column5232"/>
    <tableColumn id="5240" xr3:uid="{A951D55D-DC3B-4775-911D-FF31B2D62AC6}" name="Column5233"/>
    <tableColumn id="5241" xr3:uid="{0B147014-271B-473D-8201-1ACAE38C66E8}" name="Column5234"/>
    <tableColumn id="5242" xr3:uid="{31210FB6-4000-4D51-93DC-27FA8A02D703}" name="Column5235"/>
    <tableColumn id="5243" xr3:uid="{43C3F05B-B226-4DB7-BAFC-543BBCD24CB7}" name="Column5236"/>
    <tableColumn id="5244" xr3:uid="{F5A336F9-BEFA-477C-A4A9-6BA818BD4653}" name="Column5237"/>
    <tableColumn id="5245" xr3:uid="{C8AE34A2-1436-417B-8EA1-C4B51862A784}" name="Column5238"/>
    <tableColumn id="5246" xr3:uid="{BFE2EDA7-B4FC-4D57-B403-A6FCCBCDFD7C}" name="Column5239"/>
    <tableColumn id="5247" xr3:uid="{2AE3FA04-1188-4BAB-84F8-BC80CCAC867A}" name="Column5240"/>
    <tableColumn id="5248" xr3:uid="{69174F44-8E68-410B-B36A-F5EF3DB4D5B2}" name="Column5241"/>
    <tableColumn id="5249" xr3:uid="{62F5826C-4A50-4BB4-9B80-25239D188373}" name="Column5242"/>
    <tableColumn id="5250" xr3:uid="{A8135C46-ADE9-42C6-B54D-E788637340B5}" name="Column5243"/>
    <tableColumn id="5251" xr3:uid="{43B7F555-C9D2-48F0-81B7-4A4E9BE6026F}" name="Column5244"/>
    <tableColumn id="5252" xr3:uid="{9CB0B099-E38D-4910-949F-632CB5041FEE}" name="Column5245"/>
    <tableColumn id="5253" xr3:uid="{1D3CE599-4EDF-4478-8F33-841C7CC67D36}" name="Column5246"/>
    <tableColumn id="5254" xr3:uid="{D53DD757-62BC-4BE3-AAE6-83DAFD9826A2}" name="Column5247"/>
    <tableColumn id="5255" xr3:uid="{4711956D-7611-4003-A245-8DFCD00B8B65}" name="Column5248"/>
    <tableColumn id="5256" xr3:uid="{831FAD4E-CB8F-4D98-98C8-EE1ECC220474}" name="Column5249"/>
    <tableColumn id="5257" xr3:uid="{39D22227-8FE8-469C-BA1C-E9FF98783854}" name="Column5250"/>
    <tableColumn id="5258" xr3:uid="{F49EB38D-A158-4971-86B3-25ACDB55D388}" name="Column5251"/>
    <tableColumn id="5259" xr3:uid="{81FF7A3A-7029-45C4-B1D5-BB9C6A50CA9C}" name="Column5252"/>
    <tableColumn id="5260" xr3:uid="{A8C78D92-88A0-48DF-B015-0DEA49832CCB}" name="Column5253"/>
    <tableColumn id="5261" xr3:uid="{E068544A-E1CB-447E-8C4D-867DF3F9FAF8}" name="Column5254"/>
    <tableColumn id="5262" xr3:uid="{BE4F6976-6C8C-45E6-B462-D0E6EEE5BDC6}" name="Column5255"/>
    <tableColumn id="5263" xr3:uid="{B99CF6F0-4B79-4D57-A677-17CDA42D26E1}" name="Column5256"/>
    <tableColumn id="5264" xr3:uid="{A9CBB36B-5006-4B05-AF0D-FD292E0893E7}" name="Column5257"/>
    <tableColumn id="5265" xr3:uid="{2BDCDC0D-DA19-46BE-B1A0-9F10BB2730E3}" name="Column5258"/>
    <tableColumn id="5266" xr3:uid="{06607902-DB88-4550-85A2-53D14D1C718E}" name="Column5259"/>
    <tableColumn id="5267" xr3:uid="{74E60C86-E007-4B7A-A4A0-D099809081C2}" name="Column5260"/>
    <tableColumn id="5268" xr3:uid="{93391704-0D09-41E1-822B-DF74957DEEC9}" name="Column5261"/>
    <tableColumn id="5269" xr3:uid="{0DEE5CA0-148F-4AE1-A3FE-39771A639F34}" name="Column5262"/>
    <tableColumn id="5270" xr3:uid="{6F129DDA-74B9-459E-B175-3A6DA9BF544D}" name="Column5263"/>
    <tableColumn id="5271" xr3:uid="{B0074FD7-DEB8-437D-BE2F-CE5D3E57A3C1}" name="Column5264"/>
    <tableColumn id="5272" xr3:uid="{BE2B7CB2-88BA-4811-A531-AE4219BB04D0}" name="Column5265"/>
    <tableColumn id="5273" xr3:uid="{B5CFE924-087A-4A56-95F4-E9DA44453603}" name="Column5266"/>
    <tableColumn id="5274" xr3:uid="{2C7DE693-7677-4D53-B584-3432BA4E9D5A}" name="Column5267"/>
    <tableColumn id="5275" xr3:uid="{2BD16C43-66C6-4F26-A682-3F8445F59F9D}" name="Column5268"/>
    <tableColumn id="5276" xr3:uid="{752F38BA-897C-4596-9A83-4EB9282A364B}" name="Column5269"/>
    <tableColumn id="5277" xr3:uid="{A1FDB327-70CA-4CD9-9BA1-EA0DDF38D5C6}" name="Column5270"/>
    <tableColumn id="5278" xr3:uid="{D2C5930C-20DD-4766-8206-DF6C6B66EE92}" name="Column5271"/>
    <tableColumn id="5279" xr3:uid="{477D71A6-474C-4369-94C2-60E6667FC3C3}" name="Column5272"/>
    <tableColumn id="5280" xr3:uid="{B15EFB34-6316-4FB2-B214-C4ECDC7AF1B5}" name="Column5273"/>
    <tableColumn id="5281" xr3:uid="{B52BC4FF-1077-44E8-BBC2-0BA7F383878D}" name="Column5274"/>
    <tableColumn id="5282" xr3:uid="{25C1152D-509B-46C0-AE53-FB34760ECCFF}" name="Column5275"/>
    <tableColumn id="5283" xr3:uid="{9D802F59-0EC9-461F-BD14-0A9B46AB9D2E}" name="Column5276"/>
    <tableColumn id="5284" xr3:uid="{711F664F-72C6-430D-A340-D2944D0B78DF}" name="Column5277"/>
    <tableColumn id="5285" xr3:uid="{606DEBD0-DE12-488B-8719-AB41439A3B19}" name="Column5278"/>
    <tableColumn id="5286" xr3:uid="{8749C6C2-1010-4BF7-B07A-EE642A374125}" name="Column5279"/>
    <tableColumn id="5287" xr3:uid="{DA081598-0437-4292-9802-466A6B9CFB83}" name="Column5280"/>
    <tableColumn id="5288" xr3:uid="{16229CA1-55D1-4812-BFA1-D9EEE8CE9057}" name="Column5281"/>
    <tableColumn id="5289" xr3:uid="{03538218-D430-45EF-8064-6655E3C4EC38}" name="Column5282"/>
    <tableColumn id="5290" xr3:uid="{679F7265-7BBE-4243-A51B-66496A420D26}" name="Column5283"/>
    <tableColumn id="5291" xr3:uid="{4F40C09A-2277-4E77-A098-93DCE566AFC3}" name="Column5284"/>
    <tableColumn id="5292" xr3:uid="{13E85B77-8172-4308-80D8-740AE0FE782D}" name="Column5285"/>
    <tableColumn id="5293" xr3:uid="{6CC5AF29-ADB0-44F4-91A0-52BCB55316ED}" name="Column5286"/>
    <tableColumn id="5294" xr3:uid="{939B0376-964B-4526-8366-FAAD23CDF840}" name="Column5287"/>
    <tableColumn id="5295" xr3:uid="{89F7F1B8-4AEA-4DB2-AC83-EE8774327041}" name="Column5288"/>
    <tableColumn id="5296" xr3:uid="{6F743BB6-4E95-4C47-B411-6E236CD536F9}" name="Column5289"/>
    <tableColumn id="5297" xr3:uid="{1B18FD92-1597-4E87-9BA9-FF6B00228948}" name="Column5290"/>
    <tableColumn id="5298" xr3:uid="{6CFBD5D4-6905-4D1A-8568-097C61871863}" name="Column5291"/>
    <tableColumn id="5299" xr3:uid="{915B6FF6-5285-4D1D-81A9-AD24F182DE38}" name="Column5292"/>
    <tableColumn id="5300" xr3:uid="{6EB3DB18-2509-4AE4-A28F-51DBD2507DB6}" name="Column5293"/>
    <tableColumn id="5301" xr3:uid="{9650FA17-D48D-47FB-B6F0-DB5609E05376}" name="Column5294"/>
    <tableColumn id="5302" xr3:uid="{F4483411-2C76-4588-B4D7-B7B973F31010}" name="Column5295"/>
    <tableColumn id="5303" xr3:uid="{D2CFD61B-5D26-48A0-8852-BFB59C0BF357}" name="Column5296"/>
    <tableColumn id="5304" xr3:uid="{1DB04FB8-350B-44BA-B70B-D0E81E61D428}" name="Column5297"/>
    <tableColumn id="5305" xr3:uid="{175B19D3-3074-4307-9856-F6C30A817B4B}" name="Column5298"/>
    <tableColumn id="5306" xr3:uid="{D112C793-78E6-47DC-8931-AA76C1109C31}" name="Column5299"/>
    <tableColumn id="5307" xr3:uid="{25294CA0-0AA0-4D42-BA80-AEE852F68B69}" name="Column5300"/>
    <tableColumn id="5308" xr3:uid="{CF8DD39C-9EC4-4D92-BBBE-53C77AF37168}" name="Column5301"/>
    <tableColumn id="5309" xr3:uid="{9CA23D68-5701-437D-8B94-158A466BD0C7}" name="Column5302"/>
    <tableColumn id="5310" xr3:uid="{68298352-3CB3-4DB1-A511-D54EF088CB75}" name="Column5303"/>
    <tableColumn id="5311" xr3:uid="{3CACC6F7-BAF9-4CD6-B2A4-5DA4F1CAE8EF}" name="Column5304"/>
    <tableColumn id="5312" xr3:uid="{B51CD033-5194-433F-89BB-D51492C65B6C}" name="Column5305"/>
    <tableColumn id="5313" xr3:uid="{6BA42313-BDDC-405B-9219-C097504E1F4A}" name="Column5306"/>
    <tableColumn id="5314" xr3:uid="{1BAEAE20-A55F-4D34-BFFA-3B96F6805193}" name="Column5307"/>
    <tableColumn id="5315" xr3:uid="{A4026627-7873-40CC-B339-835883DCA7A4}" name="Column5308"/>
    <tableColumn id="5316" xr3:uid="{91007DBC-EB25-400E-8481-24C72EB68664}" name="Column5309"/>
    <tableColumn id="5317" xr3:uid="{0AABC276-92E1-4A36-80C4-719B2FD3BA96}" name="Column5310"/>
    <tableColumn id="5318" xr3:uid="{14B0067C-B2F3-42BA-8D2D-78BCB636E599}" name="Column5311"/>
    <tableColumn id="5319" xr3:uid="{9C2F1B51-E3D9-4D21-B1E2-561C22CD145B}" name="Column5312"/>
    <tableColumn id="5320" xr3:uid="{A89E7442-344B-4982-B93E-F7CA1024CBDE}" name="Column5313"/>
    <tableColumn id="5321" xr3:uid="{B8B032B5-B632-4D33-ACD3-13486B232625}" name="Column5314"/>
    <tableColumn id="5322" xr3:uid="{EFADFB38-28AE-4A2E-8D6C-CB56F2FED735}" name="Column5315"/>
    <tableColumn id="5323" xr3:uid="{FAC3A5F7-549C-4DB8-BC65-2E39FFFB495E}" name="Column5316"/>
    <tableColumn id="5324" xr3:uid="{32ED39AA-42CE-4538-BD4A-A57E0DD1E001}" name="Column5317"/>
    <tableColumn id="5325" xr3:uid="{76DC863B-7578-4912-B311-40C13FAFECDF}" name="Column5318"/>
    <tableColumn id="5326" xr3:uid="{F2F8781D-9BCD-4D52-BA56-7101BED251EE}" name="Column5319"/>
    <tableColumn id="5327" xr3:uid="{EB7FCD00-B80A-49B0-BAE9-AD952AD8C6BF}" name="Column5320"/>
    <tableColumn id="5328" xr3:uid="{B6DB86E3-5499-4B8F-8891-DABA4626EC0B}" name="Column5321"/>
    <tableColumn id="5329" xr3:uid="{8D579B69-E099-4B3C-96E5-8E5202B0EEE1}" name="Column5322"/>
    <tableColumn id="5330" xr3:uid="{D68F1C05-48E5-41E6-A8E9-7EC049ACBCF6}" name="Column5323"/>
    <tableColumn id="5331" xr3:uid="{94D1A5CB-F69C-45AA-992C-2BF9BC49BA7B}" name="Column5324"/>
    <tableColumn id="5332" xr3:uid="{C9BBF8B6-C6BB-4E27-939B-A58E3A7F743F}" name="Column5325"/>
    <tableColumn id="5333" xr3:uid="{B93FA625-9CDB-4D21-99F7-1F44F95CFA62}" name="Column5326"/>
    <tableColumn id="5334" xr3:uid="{303861D4-65A4-49AD-90AA-4F9D567AB084}" name="Column5327"/>
    <tableColumn id="5335" xr3:uid="{B1666EEB-3DCE-4E7C-98B3-1F4273D5F49A}" name="Column5328"/>
    <tableColumn id="5336" xr3:uid="{84785470-900C-474E-A45D-FDA97DB80C49}" name="Column5329"/>
    <tableColumn id="5337" xr3:uid="{2A8A72CD-3F0C-4764-B709-C70CBD94F09D}" name="Column5330"/>
    <tableColumn id="5338" xr3:uid="{23C98C7B-C59F-45DB-972A-8D91D199C519}" name="Column5331"/>
    <tableColumn id="5339" xr3:uid="{1E7088C7-9B76-48B3-AAFA-483E24E1A096}" name="Column5332"/>
    <tableColumn id="5340" xr3:uid="{29EE2E80-2A45-4D17-AF42-0F6C693047E4}" name="Column5333"/>
    <tableColumn id="5341" xr3:uid="{C832BD97-87A6-46A5-A2D4-5D3A15B8D257}" name="Column5334"/>
    <tableColumn id="5342" xr3:uid="{FB1ED47A-1381-46BF-AA7D-7E7766FE28EC}" name="Column5335"/>
    <tableColumn id="5343" xr3:uid="{C663D3E2-45D2-4ABC-9148-8EBCCC1D2E6D}" name="Column5336"/>
    <tableColumn id="5344" xr3:uid="{A1121570-D3DA-45C1-B316-770EB7F549F1}" name="Column5337"/>
    <tableColumn id="5345" xr3:uid="{DF2EB727-C2FF-414C-8775-369B2AC9DF48}" name="Column5338"/>
    <tableColumn id="5346" xr3:uid="{519DAD7F-8CCC-412E-A02C-0226D0E05351}" name="Column5339"/>
    <tableColumn id="5347" xr3:uid="{BED05764-85AF-4EFB-B12C-9B0D1C08E3E3}" name="Column5340"/>
    <tableColumn id="5348" xr3:uid="{6E246B0B-A8D0-4C92-89F0-625885C62D2B}" name="Column5341"/>
    <tableColumn id="5349" xr3:uid="{C0B75D18-4DFF-447F-9BC1-614A41D18CF6}" name="Column5342"/>
    <tableColumn id="5350" xr3:uid="{611722B4-FEBE-4586-88BC-8062C647546A}" name="Column5343"/>
    <tableColumn id="5351" xr3:uid="{653D6A88-34E2-4798-BAD5-B9A92F79C6FF}" name="Column5344"/>
    <tableColumn id="5352" xr3:uid="{730D01E0-6016-4A1A-95BF-B6929C0D806B}" name="Column5345"/>
    <tableColumn id="5353" xr3:uid="{32731079-A2CA-4F01-BC60-D0F7A0CEB3C4}" name="Column5346"/>
    <tableColumn id="5354" xr3:uid="{50647400-FFB6-4856-9C64-3017571F06A9}" name="Column5347"/>
    <tableColumn id="5355" xr3:uid="{4429125B-D78C-45B6-B6B9-7CDBF980B723}" name="Column5348"/>
    <tableColumn id="5356" xr3:uid="{74687D47-3439-43D4-957C-9A5D9BD77EE8}" name="Column5349"/>
    <tableColumn id="5357" xr3:uid="{6543C166-224C-421B-97EF-49B89EE05C08}" name="Column5350"/>
    <tableColumn id="5358" xr3:uid="{5786AC85-0D6D-423A-989F-FDE06C275F4A}" name="Column5351"/>
    <tableColumn id="5359" xr3:uid="{5359BCB2-47E7-4616-9050-F68A8E1226E1}" name="Column5352"/>
    <tableColumn id="5360" xr3:uid="{924256F3-A585-45E9-A006-0C914945DA1A}" name="Column5353"/>
    <tableColumn id="5361" xr3:uid="{F2FA8C19-64BD-4B79-9D7A-CBE27394E184}" name="Column5354"/>
    <tableColumn id="5362" xr3:uid="{3D4D517C-DCEC-4062-AA53-DC2238CE7268}" name="Column5355"/>
    <tableColumn id="5363" xr3:uid="{4D34A23C-DF46-4E13-9FD4-383E951FA216}" name="Column5356"/>
    <tableColumn id="5364" xr3:uid="{AD9448DA-5882-4DB7-94A0-E12C4862195D}" name="Column5357"/>
    <tableColumn id="5365" xr3:uid="{44B83020-F842-4A8D-95AA-9219888D2ED3}" name="Column5358"/>
    <tableColumn id="5366" xr3:uid="{1BE41C37-6598-4B52-A0D5-ACCE01D2A8C6}" name="Column5359"/>
    <tableColumn id="5367" xr3:uid="{AC0F091D-60A9-4CD4-943F-789F2ED1E2B4}" name="Column5360"/>
    <tableColumn id="5368" xr3:uid="{A1FAA84C-23FC-4B75-ACBE-75243AF00C06}" name="Column5361"/>
    <tableColumn id="5369" xr3:uid="{198151D1-6F8F-4954-87C7-A4BED09D346A}" name="Column5362"/>
    <tableColumn id="5370" xr3:uid="{DFA3E76C-8072-4477-9AB1-FABE2D72457F}" name="Column5363"/>
    <tableColumn id="5371" xr3:uid="{B3231C68-39F5-4C63-8ADD-D908FAF72C8F}" name="Column5364"/>
    <tableColumn id="5372" xr3:uid="{029E955F-C460-486B-8BDD-0FF949B84C27}" name="Column5365"/>
    <tableColumn id="5373" xr3:uid="{011C090B-0367-4AB7-9B05-7C2FE0D2FC81}" name="Column5366"/>
    <tableColumn id="5374" xr3:uid="{576302E9-24AB-412F-B00B-E2FF67DB519C}" name="Column5367"/>
    <tableColumn id="5375" xr3:uid="{D5717A0D-068F-4BB1-8811-3511BDE44670}" name="Column5368"/>
    <tableColumn id="5376" xr3:uid="{3CB78C39-4076-4946-8D2E-E8729FC9C650}" name="Column5369"/>
    <tableColumn id="5377" xr3:uid="{C299C201-4B2B-43D6-948E-68DFED1273D3}" name="Column5370"/>
    <tableColumn id="5378" xr3:uid="{2D67C50C-3D7C-4769-B669-D441570E6F84}" name="Column5371"/>
    <tableColumn id="5379" xr3:uid="{558B9870-400B-4FFB-88DA-B724458B1E8A}" name="Column5372"/>
    <tableColumn id="5380" xr3:uid="{2F899356-21B2-45DB-AD2D-04823B76551A}" name="Column5373"/>
    <tableColumn id="5381" xr3:uid="{98C7A9EE-1362-4028-97DD-F94349D5D157}" name="Column5374"/>
    <tableColumn id="5382" xr3:uid="{10FACF86-AA99-4E49-838C-DC2AC293B0C9}" name="Column5375"/>
    <tableColumn id="5383" xr3:uid="{FCA74C45-66EF-4C94-AD24-766EFED73208}" name="Column5376"/>
    <tableColumn id="5384" xr3:uid="{C2D4892A-3C16-4FC1-9D07-4537F97E5A8A}" name="Column5377"/>
    <tableColumn id="5385" xr3:uid="{2AE4B131-C3D2-4F0F-AD1B-CA4CF7708BAE}" name="Column5378"/>
    <tableColumn id="5386" xr3:uid="{135A2CAD-26C4-4ED0-A8A1-A2456DDB43FC}" name="Column5379"/>
    <tableColumn id="5387" xr3:uid="{53FC1D1D-1073-4A18-BDBB-12366DB7F217}" name="Column5380"/>
    <tableColumn id="5388" xr3:uid="{1F4EBE3F-7FDF-47C5-8744-821C1207839F}" name="Column5381"/>
    <tableColumn id="5389" xr3:uid="{3E339B82-8E63-4452-AC7F-90CE3482A5FD}" name="Column5382"/>
    <tableColumn id="5390" xr3:uid="{EC7963C4-1F50-440A-9691-53D4E79326F4}" name="Column5383"/>
    <tableColumn id="5391" xr3:uid="{631F80EF-99F2-4046-B6DA-283A367D491B}" name="Column5384"/>
    <tableColumn id="5392" xr3:uid="{3A48C201-EB8C-4939-87A6-78DD1CF1581E}" name="Column5385"/>
    <tableColumn id="5393" xr3:uid="{25250C19-A621-416F-A5C1-ECEC02994F65}" name="Column5386"/>
    <tableColumn id="5394" xr3:uid="{585A5642-C68A-47E3-8967-EBFBB4A5D522}" name="Column5387"/>
    <tableColumn id="5395" xr3:uid="{E992C207-3BE9-4428-ADB7-888E2859E42A}" name="Column5388"/>
    <tableColumn id="5396" xr3:uid="{2BEA41D7-1B9C-4AE4-87C7-A311EFA3091D}" name="Column5389"/>
    <tableColumn id="5397" xr3:uid="{DAE22000-BCA7-43D9-AC3A-18A01FB167EB}" name="Column5390"/>
    <tableColumn id="5398" xr3:uid="{3FBBA0CD-E917-4938-85FB-1CF95947C484}" name="Column5391"/>
    <tableColumn id="5399" xr3:uid="{30E019E1-587B-4EEB-8E8C-FB1464E5117C}" name="Column5392"/>
    <tableColumn id="5400" xr3:uid="{B45EE3C9-1EF0-4B55-8454-9EA0289D9EAA}" name="Column5393"/>
    <tableColumn id="5401" xr3:uid="{EBAE4DF8-B0B8-4754-AA20-1E9E53CA4572}" name="Column5394"/>
    <tableColumn id="5402" xr3:uid="{7061D447-BE34-462C-8837-FD74FAA41CFA}" name="Column5395"/>
    <tableColumn id="5403" xr3:uid="{21A9DB85-9EB2-4635-9CB7-9EE5E85C9C5A}" name="Column5396"/>
    <tableColumn id="5404" xr3:uid="{41A08A96-556A-4E8E-BDA4-27AD6BD83C41}" name="Column5397"/>
    <tableColumn id="5405" xr3:uid="{6EEAAE2C-8769-487E-8A1C-C0E9365E4250}" name="Column5398"/>
    <tableColumn id="5406" xr3:uid="{235C5255-2B3B-4086-B7CC-1FB7538AF8AE}" name="Column5399"/>
    <tableColumn id="5407" xr3:uid="{8AE5F51D-F37E-41D6-9C99-B87AF5D61E6F}" name="Column5400"/>
    <tableColumn id="5408" xr3:uid="{E78E095A-EC34-46F0-A2BA-33A513ED16CF}" name="Column5401"/>
    <tableColumn id="5409" xr3:uid="{17746B35-0435-4DE5-B450-1916DD56813D}" name="Column5402"/>
    <tableColumn id="5410" xr3:uid="{0F97DFEE-B03B-4416-811C-F78A0A74327E}" name="Column5403"/>
    <tableColumn id="5411" xr3:uid="{738B0D3A-6A9E-49A9-9E09-58071DE515D7}" name="Column5404"/>
    <tableColumn id="5412" xr3:uid="{3DD7092B-227B-47C8-8E47-8E40D25FEE13}" name="Column5405"/>
    <tableColumn id="5413" xr3:uid="{381F3EE4-34D6-4D3C-ABB9-4E07741AA566}" name="Column5406"/>
    <tableColumn id="5414" xr3:uid="{FCD6A600-8609-474C-8303-AB76751C179B}" name="Column5407"/>
    <tableColumn id="5415" xr3:uid="{32E263FA-56E8-49B0-A12F-E5B788A32E5A}" name="Column5408"/>
    <tableColumn id="5416" xr3:uid="{80045744-1BD8-47EA-8A2F-59996C47E2B1}" name="Column5409"/>
    <tableColumn id="5417" xr3:uid="{4FDA7DD4-8D5C-46C5-85E4-008D5B11DC4C}" name="Column5410"/>
    <tableColumn id="5418" xr3:uid="{EDA0B779-5CE0-4D0D-957B-BC702EE69928}" name="Column5411"/>
    <tableColumn id="5419" xr3:uid="{63CD834F-493F-4D67-A16E-C51711712666}" name="Column5412"/>
    <tableColumn id="5420" xr3:uid="{4F6A0B39-F9AC-4765-B3DD-5B070C922B5F}" name="Column5413"/>
    <tableColumn id="5421" xr3:uid="{2F46482E-0319-4E17-89B3-B17F5EB34FAA}" name="Column5414"/>
    <tableColumn id="5422" xr3:uid="{D4EB0384-A2E6-4C04-92C6-91C4C893A0AF}" name="Column5415"/>
    <tableColumn id="5423" xr3:uid="{E89BC05F-233E-42C9-81F5-82C33C50044E}" name="Column5416"/>
    <tableColumn id="5424" xr3:uid="{1089912F-9E50-42AC-AB61-FEDE600F5D34}" name="Column5417"/>
    <tableColumn id="5425" xr3:uid="{67E0FD52-A005-45FA-8E2D-8125D129C522}" name="Column5418"/>
    <tableColumn id="5426" xr3:uid="{C1E14E6B-E15E-46F5-9089-5617F51FCA12}" name="Column5419"/>
    <tableColumn id="5427" xr3:uid="{F25F6525-57A8-458D-BAEE-8137214B9230}" name="Column5420"/>
    <tableColumn id="5428" xr3:uid="{9D3B789E-D3E2-401B-BDCC-64E95DE22518}" name="Column5421"/>
    <tableColumn id="5429" xr3:uid="{F00735BC-20C4-402B-A151-EAF30C94B201}" name="Column5422"/>
    <tableColumn id="5430" xr3:uid="{A180F42B-9E31-43C0-BCD8-26B842CA4600}" name="Column5423"/>
    <tableColumn id="5431" xr3:uid="{9B878403-6CBB-4051-8D32-27551B47ED03}" name="Column5424"/>
    <tableColumn id="5432" xr3:uid="{D5DAA4D6-72F3-4A90-AC02-48C30A92C8E2}" name="Column5425"/>
    <tableColumn id="5433" xr3:uid="{8F675D0D-6338-49DE-9C4D-FB8FB5918995}" name="Column5426"/>
    <tableColumn id="5434" xr3:uid="{D8B43710-D8AF-4AF9-9F6F-9A35541B4702}" name="Column5427"/>
    <tableColumn id="5435" xr3:uid="{CEDA2E86-C74B-47B1-8768-E77471104C8B}" name="Column5428"/>
    <tableColumn id="5436" xr3:uid="{2F25A66A-D773-427B-9F78-38EF70BDFC88}" name="Column5429"/>
    <tableColumn id="5437" xr3:uid="{5C49834F-E952-4B11-B4FA-F5B2831979DC}" name="Column5430"/>
    <tableColumn id="5438" xr3:uid="{B123B058-294D-4A63-8541-DD757E5E804A}" name="Column5431"/>
    <tableColumn id="5439" xr3:uid="{E1077A4E-E612-420E-BF7C-EE519A33FAA2}" name="Column5432"/>
    <tableColumn id="5440" xr3:uid="{BB4AEEC4-F4C7-497D-9C5E-C35D2E5583B0}" name="Column5433"/>
    <tableColumn id="5441" xr3:uid="{31003273-3562-44D6-B6D8-93AC67809B43}" name="Column5434"/>
    <tableColumn id="5442" xr3:uid="{C45BD985-B728-486F-B349-A53E6074280C}" name="Column5435"/>
    <tableColumn id="5443" xr3:uid="{A46A3E56-81EE-4C7D-9798-C1C7AB63FCF9}" name="Column5436"/>
    <tableColumn id="5444" xr3:uid="{D6638918-B82A-45F8-B022-5A14B608B598}" name="Column5437"/>
    <tableColumn id="5445" xr3:uid="{4CC38679-ECAC-45BD-B4DB-1248BEB5E530}" name="Column5438"/>
    <tableColumn id="5446" xr3:uid="{A15B95D9-CDDA-4E9F-A39D-2E16F7AC51D4}" name="Column5439"/>
    <tableColumn id="5447" xr3:uid="{8736C207-9735-4F99-81CB-011634D62650}" name="Column5440"/>
    <tableColumn id="5448" xr3:uid="{AE5349BD-B40F-40C7-8E23-60845EF55BC5}" name="Column5441"/>
    <tableColumn id="5449" xr3:uid="{5F5321A5-E920-4EED-A489-B3950A03C995}" name="Column5442"/>
    <tableColumn id="5450" xr3:uid="{B06CABCE-F5B7-4EC9-977A-4D80C21B7F87}" name="Column5443"/>
    <tableColumn id="5451" xr3:uid="{D4498BD3-AC23-4580-91CE-3E55352EE318}" name="Column5444"/>
    <tableColumn id="5452" xr3:uid="{6FA9BFDE-A5A1-4793-98AC-8C1CAF551E2C}" name="Column5445"/>
    <tableColumn id="5453" xr3:uid="{A20E198D-9E55-4954-ACEC-4526AEFFC076}" name="Column5446"/>
    <tableColumn id="5454" xr3:uid="{9C02E47C-CBDF-447E-A976-2E286DED296D}" name="Column5447"/>
    <tableColumn id="5455" xr3:uid="{20D45613-9AC1-46FA-816E-AC007F1F7524}" name="Column5448"/>
    <tableColumn id="5456" xr3:uid="{05906679-6530-4472-8F4C-2116D871F4AF}" name="Column5449"/>
    <tableColumn id="5457" xr3:uid="{BA8FEE73-C80A-48FE-AD51-DF8FA9CB64D5}" name="Column5450"/>
    <tableColumn id="5458" xr3:uid="{64F84074-AA0D-48C2-859B-8BEC3A213764}" name="Column5451"/>
    <tableColumn id="5459" xr3:uid="{424E0CEB-39BA-4F11-9820-A85A26B16AF7}" name="Column5452"/>
    <tableColumn id="5460" xr3:uid="{180F6A42-897A-4336-A608-B4F4B89967F8}" name="Column5453"/>
    <tableColumn id="5461" xr3:uid="{BC628349-5C7B-4735-9EF7-2EE582EB3BCD}" name="Column5454"/>
    <tableColumn id="5462" xr3:uid="{7C894F39-4220-4A94-8002-F2B40041CEC7}" name="Column5455"/>
    <tableColumn id="5463" xr3:uid="{7C567C8F-5283-4162-B0D9-D96D002D45CE}" name="Column5456"/>
    <tableColumn id="5464" xr3:uid="{2490D675-7FFF-4B32-BF13-C070599B1B99}" name="Column5457"/>
    <tableColumn id="5465" xr3:uid="{18575B24-85B5-45E3-B9C4-080A315BDE3E}" name="Column5458"/>
    <tableColumn id="5466" xr3:uid="{D051C365-9C6B-434E-811E-8CBE12B3429A}" name="Column5459"/>
    <tableColumn id="5467" xr3:uid="{9E338863-ADF5-4DCB-9FBF-1352F287BF15}" name="Column5460"/>
    <tableColumn id="5468" xr3:uid="{C952239A-D019-4AF3-B4FE-FDFEC34D31A8}" name="Column5461"/>
    <tableColumn id="5469" xr3:uid="{343095AB-553A-4357-9E23-DC9E4EA234CC}" name="Column5462"/>
    <tableColumn id="5470" xr3:uid="{8B874CAF-9974-4A25-98CB-5C953F5E0675}" name="Column5463"/>
    <tableColumn id="5471" xr3:uid="{5F4A2E49-85C1-4639-B926-52DB7D4689BD}" name="Column5464"/>
    <tableColumn id="5472" xr3:uid="{F6F4096A-0182-4DBA-8A8A-EE97BB076ACB}" name="Column5465"/>
    <tableColumn id="5473" xr3:uid="{B6024B7C-5562-47E5-A2DB-844BD3C3CD56}" name="Column5466"/>
    <tableColumn id="5474" xr3:uid="{3CCAEDE1-921B-41F4-8E12-8E53324FF073}" name="Column5467"/>
    <tableColumn id="5475" xr3:uid="{40E19B02-D960-40DC-8E42-581111C1617D}" name="Column5468"/>
    <tableColumn id="5476" xr3:uid="{CC5D7940-B8A9-46B0-8B9D-167B082773BF}" name="Column5469"/>
    <tableColumn id="5477" xr3:uid="{D5B6CD6C-C37E-416F-B943-36588C7BC596}" name="Column5470"/>
    <tableColumn id="5478" xr3:uid="{DE47E4C3-0838-4CA9-9011-5FC14DBC4377}" name="Column5471"/>
    <tableColumn id="5479" xr3:uid="{A1DB5CA6-2117-4B13-8F6B-7C21B89AED55}" name="Column5472"/>
    <tableColumn id="5480" xr3:uid="{9292D6F0-4C24-49D5-9D45-9AFC9DF389B2}" name="Column5473"/>
    <tableColumn id="5481" xr3:uid="{B7F042EA-CF39-4B95-B6CF-0D18B60552C2}" name="Column5474"/>
    <tableColumn id="5482" xr3:uid="{B7B554B6-B662-4480-A625-8630EE7AE488}" name="Column5475"/>
    <tableColumn id="5483" xr3:uid="{719FA885-02FF-4D0E-ACFF-D8FF45EC00B5}" name="Column5476"/>
    <tableColumn id="5484" xr3:uid="{1DA41AA1-0F7A-4CC0-9FDC-A4E3FB7F3AF2}" name="Column5477"/>
    <tableColumn id="5485" xr3:uid="{392934C8-BD1A-459B-BF47-12495FFF3321}" name="Column5478"/>
    <tableColumn id="5486" xr3:uid="{E398C398-7A0F-4207-A2C0-848B66AEA69B}" name="Column5479"/>
    <tableColumn id="5487" xr3:uid="{7A78F4DF-9880-414C-8FA4-2988C0FB8FAB}" name="Column5480"/>
    <tableColumn id="5488" xr3:uid="{4F7828C5-73B9-4A65-8C4B-2DFECC874EBA}" name="Column5481"/>
    <tableColumn id="5489" xr3:uid="{CA47BB25-EC9C-4F6C-9C51-601415A424A7}" name="Column5482"/>
    <tableColumn id="5490" xr3:uid="{5BA2B13C-C9FF-4915-A6A5-7907E9793268}" name="Column5483"/>
    <tableColumn id="5491" xr3:uid="{83926EC3-E734-46AA-BD96-3A663C65994B}" name="Column5484"/>
    <tableColumn id="5492" xr3:uid="{B2B20149-0D55-475E-BFC8-9B0C3AABA0E4}" name="Column5485"/>
    <tableColumn id="5493" xr3:uid="{30A322C6-DCCA-482E-B115-090BE5B971CD}" name="Column5486"/>
    <tableColumn id="5494" xr3:uid="{30E1A9DA-088D-42C2-A714-AF8C9F959D09}" name="Column5487"/>
    <tableColumn id="5495" xr3:uid="{6D1F59F6-A70B-4639-9B89-99D5D1CFB1EA}" name="Column5488"/>
    <tableColumn id="5496" xr3:uid="{E46514A1-F8B7-4D82-A587-D78A7D70137B}" name="Column5489"/>
    <tableColumn id="5497" xr3:uid="{2196D85A-B7B3-423F-92C3-0F95487EC149}" name="Column5490"/>
    <tableColumn id="5498" xr3:uid="{61D5135E-4A11-44DF-A6C0-29F359683A2B}" name="Column5491"/>
    <tableColumn id="5499" xr3:uid="{CEADF758-EC0A-4E9A-91CA-879038F9AA95}" name="Column5492"/>
    <tableColumn id="5500" xr3:uid="{6B92D539-30F6-4DDD-9F05-1DC4CE44BEE4}" name="Column5493"/>
    <tableColumn id="5501" xr3:uid="{DA9B4BDD-5D66-45DC-BE73-3CB85B6F27E5}" name="Column5494"/>
    <tableColumn id="5502" xr3:uid="{DC5C9D49-C3CC-4A29-BB93-63492BE658A8}" name="Column5495"/>
    <tableColumn id="5503" xr3:uid="{E2310EBC-0A8E-40A9-87D3-AF9E634E5500}" name="Column5496"/>
    <tableColumn id="5504" xr3:uid="{57FB0E36-C022-4006-8C15-185F0B7AA9A1}" name="Column5497"/>
    <tableColumn id="5505" xr3:uid="{20243C7C-A207-4CD5-90D5-6D54351FD307}" name="Column5498"/>
    <tableColumn id="5506" xr3:uid="{59A07E9B-42EA-46DB-A6B6-3AD43C6F4646}" name="Column5499"/>
    <tableColumn id="5507" xr3:uid="{67EC46E7-9D8F-4BA6-AED8-47F6095E0955}" name="Column5500"/>
    <tableColumn id="5508" xr3:uid="{DF99869A-D2C6-4F9F-B584-FF3EADB4ABBF}" name="Column5501"/>
    <tableColumn id="5509" xr3:uid="{72CA9BC5-30EE-4827-9C52-E9F0D00DA5F5}" name="Column5502"/>
    <tableColumn id="5510" xr3:uid="{9BE9A1A1-1B17-40DF-84BF-9F17D25DEBE0}" name="Column5503"/>
    <tableColumn id="5511" xr3:uid="{45914A2A-F544-46E5-8447-6968B50D9557}" name="Column5504"/>
    <tableColumn id="5512" xr3:uid="{6BAB5F5F-FCEB-456D-AD8C-68E43308A517}" name="Column5505"/>
    <tableColumn id="5513" xr3:uid="{11FB38F7-B473-4452-9CA9-B04B6129BFFE}" name="Column5506"/>
    <tableColumn id="5514" xr3:uid="{BEDF35EA-1828-4C0B-9EB3-B67694E7EF26}" name="Column5507"/>
    <tableColumn id="5515" xr3:uid="{056F7316-9C2C-437F-A70F-4E0CC3D404E6}" name="Column5508"/>
    <tableColumn id="5516" xr3:uid="{FA3B28BB-C58D-447E-8388-1B9064045C22}" name="Column5509"/>
    <tableColumn id="5517" xr3:uid="{E07C0634-FDD4-4B20-95BA-ED5F7F299946}" name="Column5510"/>
    <tableColumn id="5518" xr3:uid="{485BECA6-2CF8-47C9-B409-91038582AF6A}" name="Column5511"/>
    <tableColumn id="5519" xr3:uid="{C40250CB-2A86-429A-B8EC-05A0A50F8CBF}" name="Column5512"/>
    <tableColumn id="5520" xr3:uid="{7F94B330-F003-461F-BAC6-06C0EE0CD83D}" name="Column5513"/>
    <tableColumn id="5521" xr3:uid="{D8D089B5-F02F-4763-8D19-2097234755F0}" name="Column5514"/>
    <tableColumn id="5522" xr3:uid="{8DFDC8DD-A22A-41F5-9569-78EAD5E31F34}" name="Column5515"/>
    <tableColumn id="5523" xr3:uid="{8A7ECAC0-6AA8-4A33-9D34-CD0DDDB9448B}" name="Column5516"/>
    <tableColumn id="5524" xr3:uid="{FDC32D3B-10DC-4FDE-BD3D-814A4D921A57}" name="Column5517"/>
    <tableColumn id="5525" xr3:uid="{E8F2687D-6BB5-487E-A2FF-A76E58CCBC63}" name="Column5518"/>
    <tableColumn id="5526" xr3:uid="{9C1D38A3-8D43-49E3-A455-32CE6FD219BA}" name="Column5519"/>
    <tableColumn id="5527" xr3:uid="{F9759EB5-2B51-4051-A01B-5D897F399DE4}" name="Column5520"/>
    <tableColumn id="5528" xr3:uid="{B8CB51B7-9427-4ECF-9A0A-B29FB9F61385}" name="Column5521"/>
    <tableColumn id="5529" xr3:uid="{EE6CE9A5-96B2-459E-91DD-F60D9F019D24}" name="Column5522"/>
    <tableColumn id="5530" xr3:uid="{9733A907-13ED-414C-AC8D-B66D8C7E7E86}" name="Column5523"/>
    <tableColumn id="5531" xr3:uid="{CA88EDC6-290C-499A-9705-9318D1B0D984}" name="Column5524"/>
    <tableColumn id="5532" xr3:uid="{FB8ADD6D-1B79-47A1-87A2-969135693482}" name="Column5525"/>
    <tableColumn id="5533" xr3:uid="{00221F45-7E32-4986-BB91-C71C15A32A2D}" name="Column5526"/>
    <tableColumn id="5534" xr3:uid="{CE5D1CB8-6223-4BB1-9851-723BCAF2F26F}" name="Column5527"/>
    <tableColumn id="5535" xr3:uid="{CE8D9EBA-1418-4E10-BFF2-E425ED361E6C}" name="Column5528"/>
    <tableColumn id="5536" xr3:uid="{78198C8F-D47A-48E7-AB62-F37A53C2E4EC}" name="Column5529"/>
    <tableColumn id="5537" xr3:uid="{16B8DE99-9CED-4F8B-B39F-5F115A2D69A2}" name="Column5530"/>
    <tableColumn id="5538" xr3:uid="{D2893137-4D88-4FBA-A331-CB99869F3F13}" name="Column5531"/>
    <tableColumn id="5539" xr3:uid="{BF97C1CE-EB12-487A-BFA1-25F0493DC6D0}" name="Column5532"/>
    <tableColumn id="5540" xr3:uid="{EDAFA267-3947-468B-B7FE-B9DB5F69A61D}" name="Column5533"/>
    <tableColumn id="5541" xr3:uid="{29EAD5F8-F5FF-4A70-B6C9-220A35524946}" name="Column5534"/>
    <tableColumn id="5542" xr3:uid="{CF159717-BF03-4BAB-889C-713D4D3BCEA5}" name="Column5535"/>
    <tableColumn id="5543" xr3:uid="{4BEA6745-D7CC-4CF1-A8F0-CCA8BC9809CA}" name="Column5536"/>
    <tableColumn id="5544" xr3:uid="{7CF025FC-94C5-460C-90A0-CA8FA67E681F}" name="Column5537"/>
    <tableColumn id="5545" xr3:uid="{25B05E02-48C9-42AB-AB17-F55213D1A533}" name="Column5538"/>
    <tableColumn id="5546" xr3:uid="{E16FC966-5915-4C3E-8C75-BB31959A64F6}" name="Column5539"/>
    <tableColumn id="5547" xr3:uid="{6BD41550-5559-4622-BCC7-E22F87DFA222}" name="Column5540"/>
    <tableColumn id="5548" xr3:uid="{7E3B58CC-F27C-4EE9-B400-0D975FF66A47}" name="Column5541"/>
    <tableColumn id="5549" xr3:uid="{8F58AC64-59F0-4E8B-B53B-7723FDAA8514}" name="Column5542"/>
    <tableColumn id="5550" xr3:uid="{CEB689C4-0263-47FA-8C85-C91BAF7A0D96}" name="Column5543"/>
    <tableColumn id="5551" xr3:uid="{1001F336-66CA-4F3B-824C-6CA0133AD450}" name="Column5544"/>
    <tableColumn id="5552" xr3:uid="{19D4C857-DA6E-4E47-A29D-0805868BEDD2}" name="Column5545"/>
    <tableColumn id="5553" xr3:uid="{4DB8CB05-7BEA-4D95-A8BA-05FA9AF2B3A1}" name="Column5546"/>
    <tableColumn id="5554" xr3:uid="{BC5CD80A-B613-4F6E-9B73-2EACD0B808D9}" name="Column5547"/>
    <tableColumn id="5555" xr3:uid="{A9B7E3BA-01E8-4965-BF42-FE08976B42A8}" name="Column5548"/>
    <tableColumn id="5556" xr3:uid="{582AA392-683C-464A-A069-054F5CDC610F}" name="Column5549"/>
    <tableColumn id="5557" xr3:uid="{9925CCDA-5C0E-41B6-BB92-A36456B3483D}" name="Column5550"/>
    <tableColumn id="5558" xr3:uid="{3D84AD1C-26B4-49BA-8B48-29FC1729AF31}" name="Column5551"/>
    <tableColumn id="5559" xr3:uid="{85539321-11F6-45B5-9DEC-434D0199793B}" name="Column5552"/>
    <tableColumn id="5560" xr3:uid="{B347306D-C279-48CE-8840-A57EEE566357}" name="Column5553"/>
    <tableColumn id="5561" xr3:uid="{F985A015-0BBD-42AB-91D1-EFC1C356238D}" name="Column5554"/>
    <tableColumn id="5562" xr3:uid="{D3F9FA50-7AE0-4FA4-98AD-7F5DAC66CADF}" name="Column5555"/>
    <tableColumn id="5563" xr3:uid="{C7DE9068-4DF3-4275-AA4A-755522F18D18}" name="Column5556"/>
    <tableColumn id="5564" xr3:uid="{7C87ABA8-772B-47EF-A703-69C3D9BFB129}" name="Column5557"/>
    <tableColumn id="5565" xr3:uid="{ED2B94C4-B372-4656-A2A7-3EF1A61A4B58}" name="Column5558"/>
    <tableColumn id="5566" xr3:uid="{198E1970-B105-4148-8885-ED2CBB4DF966}" name="Column5559"/>
    <tableColumn id="5567" xr3:uid="{5D1F4EE0-1633-43FA-A6CC-B6E7CAD8922E}" name="Column5560"/>
    <tableColumn id="5568" xr3:uid="{7EF25F3F-ED47-4D01-8450-829A9CB54D45}" name="Column5561"/>
    <tableColumn id="5569" xr3:uid="{B84A0096-761C-48B6-ACC0-DBE814ED535F}" name="Column5562"/>
    <tableColumn id="5570" xr3:uid="{C8A4A677-1B23-4E05-AA84-4F8DD53B73F1}" name="Column5563"/>
    <tableColumn id="5571" xr3:uid="{E91B45D5-798F-4C05-A717-37D401FFE35E}" name="Column5564"/>
    <tableColumn id="5572" xr3:uid="{815FC90F-732F-4C35-98AD-8C39E76D2239}" name="Column5565"/>
    <tableColumn id="5573" xr3:uid="{3C41EA2A-ED70-4FE9-914D-956FC90C11ED}" name="Column5566"/>
    <tableColumn id="5574" xr3:uid="{22F0BC91-2309-4B7E-8779-7FD1ABD53158}" name="Column5567"/>
    <tableColumn id="5575" xr3:uid="{1E287A23-1076-4C43-BBB1-498C15B18A10}" name="Column5568"/>
    <tableColumn id="5576" xr3:uid="{1A77C80D-E70E-4627-BB72-9089622AB69F}" name="Column5569"/>
    <tableColumn id="5577" xr3:uid="{49577E0C-8A28-4BD6-AD93-AB8EF32D2F79}" name="Column5570"/>
    <tableColumn id="5578" xr3:uid="{DB0E3B77-7EAA-41BC-AAFF-1CE41E3CAA68}" name="Column5571"/>
    <tableColumn id="5579" xr3:uid="{34B8FEEB-7DF3-4DD5-96D7-4B35A9A26015}" name="Column5572"/>
    <tableColumn id="5580" xr3:uid="{50E52C43-2649-4DF4-8E09-1B0E3FCCC30E}" name="Column5573"/>
    <tableColumn id="5581" xr3:uid="{2B344E76-44F3-446F-975A-90B73D43DDC7}" name="Column5574"/>
    <tableColumn id="5582" xr3:uid="{BBA8FA88-B685-4648-9BB3-C125C4E60052}" name="Column5575"/>
    <tableColumn id="5583" xr3:uid="{F164990B-94CE-42EB-B28B-313F48B65A96}" name="Column5576"/>
    <tableColumn id="5584" xr3:uid="{0D23CAB1-99AB-4674-BC10-91240F66B77E}" name="Column5577"/>
    <tableColumn id="5585" xr3:uid="{9BE6AEDE-5E14-4787-A0C2-53C5DC467ED6}" name="Column5578"/>
    <tableColumn id="5586" xr3:uid="{54C92DCD-8F86-42C6-94F7-30BEEC886A9A}" name="Column5579"/>
    <tableColumn id="5587" xr3:uid="{D83D9824-B5FA-4D3C-B2E6-C9ED11D39D52}" name="Column5580"/>
    <tableColumn id="5588" xr3:uid="{8D7004C7-A4CA-4E1A-9BBB-9F857214B3B6}" name="Column5581"/>
    <tableColumn id="5589" xr3:uid="{694FA38B-FFBA-4AD7-A144-6B53340773B7}" name="Column5582"/>
    <tableColumn id="5590" xr3:uid="{547F47E4-F2BE-4F4D-A4D1-0B88032BE4C4}" name="Column5583"/>
    <tableColumn id="5591" xr3:uid="{48D29567-261B-464B-BDE9-AA44ACE8136A}" name="Column5584"/>
    <tableColumn id="5592" xr3:uid="{4583D929-6A6D-4A52-93AB-7105F40CB765}" name="Column5585"/>
    <tableColumn id="5593" xr3:uid="{F91DD2E6-3CFB-4DFF-B3CC-E0BB5CAA9874}" name="Column5586"/>
    <tableColumn id="5594" xr3:uid="{200C96ED-51AD-4FC8-84E2-A4B9F6DBE80A}" name="Column5587"/>
    <tableColumn id="5595" xr3:uid="{E1D4A228-6FF4-446A-ACF5-CBEAB80CD574}" name="Column5588"/>
    <tableColumn id="5596" xr3:uid="{57BBEF26-6BA4-4C2A-8CE5-A530323B199B}" name="Column5589"/>
    <tableColumn id="5597" xr3:uid="{C7009376-007B-4842-9F4E-520B975B3212}" name="Column5590"/>
    <tableColumn id="5598" xr3:uid="{34A66959-CD2A-4C95-87A2-51B1A57CB666}" name="Column5591"/>
    <tableColumn id="5599" xr3:uid="{08D41CE4-E78F-486E-8CAA-8EE78F100CD9}" name="Column5592"/>
    <tableColumn id="5600" xr3:uid="{20B5E544-1BDF-42EC-98D9-B5C416FBE249}" name="Column5593"/>
    <tableColumn id="5601" xr3:uid="{13207B59-6A26-4076-B078-15DA807B1FEC}" name="Column5594"/>
    <tableColumn id="5602" xr3:uid="{1758BD57-D95F-49B8-8A14-D4075FB5E7BE}" name="Column5595"/>
    <tableColumn id="5603" xr3:uid="{4A47B492-0415-4644-9C03-303D5C3C3A22}" name="Column5596"/>
    <tableColumn id="5604" xr3:uid="{487383DF-2EAD-4B49-A403-91E1FC3FBF86}" name="Column5597"/>
    <tableColumn id="5605" xr3:uid="{E48CC6EF-5477-45D6-AFED-1180AE770EEE}" name="Column5598"/>
    <tableColumn id="5606" xr3:uid="{C6113A4D-B51F-4362-9E36-B7BBCF3C3717}" name="Column5599"/>
    <tableColumn id="5607" xr3:uid="{5C0096E4-C1CB-40B6-996C-47EEF2E3EB91}" name="Column5600"/>
    <tableColumn id="5608" xr3:uid="{B7D375F3-97C8-4D7B-93B5-1FCADD721435}" name="Column5601"/>
    <tableColumn id="5609" xr3:uid="{D6E36D2F-E945-491B-917F-29FC15C30BD3}" name="Column5602"/>
    <tableColumn id="5610" xr3:uid="{05252E7E-12EE-4A34-A5ED-92D4769E6F16}" name="Column5603"/>
    <tableColumn id="5611" xr3:uid="{550765FE-43ED-4B5C-96AC-5D1BE77C08F8}" name="Column5604"/>
    <tableColumn id="5612" xr3:uid="{B15BAF1C-00BC-452B-9E8B-64AAECB48854}" name="Column5605"/>
    <tableColumn id="5613" xr3:uid="{FA49387C-C6A0-4365-84C1-AF92D723142E}" name="Column5606"/>
    <tableColumn id="5614" xr3:uid="{B74C4403-52FD-42C4-B8F9-F56E1D3B0C97}" name="Column5607"/>
    <tableColumn id="5615" xr3:uid="{AE83BC34-22DA-43C7-9AA0-7B1914157F3F}" name="Column5608"/>
    <tableColumn id="5616" xr3:uid="{3BB8CC92-B821-4A0C-8696-240D407721C4}" name="Column5609"/>
    <tableColumn id="5617" xr3:uid="{C5F072B0-32F1-4B31-8299-D52AFBC6349B}" name="Column5610"/>
    <tableColumn id="5618" xr3:uid="{ACD3A95C-5B79-4C3B-B0A4-F6DCE7590093}" name="Column5611"/>
    <tableColumn id="5619" xr3:uid="{A9BA38C4-F72D-446A-AD32-A97C25B8D2D8}" name="Column5612"/>
    <tableColumn id="5620" xr3:uid="{7F2FBB11-16B6-40D1-AFEE-FD9DA2F0F47C}" name="Column5613"/>
    <tableColumn id="5621" xr3:uid="{1AFD8BC0-999D-40AA-BD3B-A2F3025EF516}" name="Column5614"/>
    <tableColumn id="5622" xr3:uid="{B2DD1AC0-E53C-4249-981A-089833D24F98}" name="Column5615"/>
    <tableColumn id="5623" xr3:uid="{C85752ED-6E3C-4854-B5A2-A36659A41ECC}" name="Column5616"/>
    <tableColumn id="5624" xr3:uid="{6117F366-B89F-4892-BAAB-A63DB9E51770}" name="Column5617"/>
    <tableColumn id="5625" xr3:uid="{633BA41C-7A8B-41B5-A235-5C734B1BA40E}" name="Column5618"/>
    <tableColumn id="5626" xr3:uid="{6ABDBC4D-6DC1-4653-B59D-0261F67E186D}" name="Column5619"/>
    <tableColumn id="5627" xr3:uid="{92A9EBC7-C2E9-4079-A35A-06F821E49B1C}" name="Column5620"/>
    <tableColumn id="5628" xr3:uid="{384AFB5A-EEDE-49AB-BCB6-07E556330D1B}" name="Column5621"/>
    <tableColumn id="5629" xr3:uid="{129D21A5-C3FE-4358-9C16-10A366530170}" name="Column5622"/>
    <tableColumn id="5630" xr3:uid="{173F97BE-5EC3-4AED-A44F-55C7FEAA72DC}" name="Column5623"/>
    <tableColumn id="5631" xr3:uid="{031344E4-A181-4EFC-8C25-A1FF649C3745}" name="Column5624"/>
    <tableColumn id="5632" xr3:uid="{3F38B7B7-98BF-4D12-8876-A350082C6785}" name="Column5625"/>
    <tableColumn id="5633" xr3:uid="{8BC2159F-AF31-4574-8E81-594487B56683}" name="Column5626"/>
    <tableColumn id="5634" xr3:uid="{135C8634-24C5-44EE-BD32-63AE943DE657}" name="Column5627"/>
    <tableColumn id="5635" xr3:uid="{D8571C19-A9AC-4FCC-BD39-005C0F9655B3}" name="Column5628"/>
    <tableColumn id="5636" xr3:uid="{04C5F3EA-9B37-4B5D-BE05-20D0F318B0F9}" name="Column5629"/>
    <tableColumn id="5637" xr3:uid="{5E74F8CA-9AE2-4710-A946-28E504226E63}" name="Column5630"/>
    <tableColumn id="5638" xr3:uid="{9CAE4B2E-AFE6-4878-95C5-EBB91E584B05}" name="Column5631"/>
    <tableColumn id="5639" xr3:uid="{F81095B2-66F7-49A0-AB91-17DFF7F15F9F}" name="Column5632"/>
    <tableColumn id="5640" xr3:uid="{87D4A89E-3E9C-4371-9217-4ABE32B3329C}" name="Column5633"/>
    <tableColumn id="5641" xr3:uid="{9FB59B4B-F6C8-4456-8236-871200337499}" name="Column5634"/>
    <tableColumn id="5642" xr3:uid="{4EF250E6-A526-4C22-A0EE-29EDF9FE77C1}" name="Column5635"/>
    <tableColumn id="5643" xr3:uid="{EF04024A-BA25-44B6-9C36-90137EE42868}" name="Column5636"/>
    <tableColumn id="5644" xr3:uid="{88F7766D-5835-4176-A359-80A272E799CA}" name="Column5637"/>
    <tableColumn id="5645" xr3:uid="{E654D5AF-0289-4B51-962B-E3808C581F74}" name="Column5638"/>
    <tableColumn id="5646" xr3:uid="{3E3438A4-571C-499E-B6CF-8CB57C1ED0E7}" name="Column5639"/>
    <tableColumn id="5647" xr3:uid="{406D50B8-0BAD-40F7-BE87-BD4FE61BDB33}" name="Column5640"/>
    <tableColumn id="5648" xr3:uid="{41912FCE-A284-42AB-8799-E4ED100F65FA}" name="Column5641"/>
    <tableColumn id="5649" xr3:uid="{5C3AD138-B4DC-4D61-95D9-1F93D6F2B34E}" name="Column5642"/>
    <tableColumn id="5650" xr3:uid="{24608E56-263C-40EA-8995-81838F2D59EB}" name="Column5643"/>
    <tableColumn id="5651" xr3:uid="{C364134B-F46F-42BD-B45D-345DDA9B9F7D}" name="Column5644"/>
    <tableColumn id="5652" xr3:uid="{83D59C67-3C79-4D4D-8657-99AE57306A05}" name="Column5645"/>
    <tableColumn id="5653" xr3:uid="{67BB62FB-8925-4900-B77C-9D1575C80A3F}" name="Column5646"/>
    <tableColumn id="5654" xr3:uid="{E6464AEB-585A-4DF2-849A-297BC5C8895A}" name="Column5647"/>
    <tableColumn id="5655" xr3:uid="{065EDFBC-D98B-48DF-9E2F-30DC0C425AB5}" name="Column5648"/>
    <tableColumn id="5656" xr3:uid="{F4BBCC8D-F009-4100-9138-737377230BD6}" name="Column5649"/>
    <tableColumn id="5657" xr3:uid="{117410E6-D7ED-4FDA-8DA9-D237C560487A}" name="Column5650"/>
    <tableColumn id="5658" xr3:uid="{22113417-32F9-4D05-95C7-6831750BE89D}" name="Column5651"/>
    <tableColumn id="5659" xr3:uid="{2F35715D-F954-4844-B265-A968D4A76757}" name="Column5652"/>
    <tableColumn id="5660" xr3:uid="{4CDAE689-BF80-4416-A156-347E2000EF31}" name="Column5653"/>
    <tableColumn id="5661" xr3:uid="{4F3403C4-3E46-4E59-9956-4ADD0C3F4C8E}" name="Column5654"/>
    <tableColumn id="5662" xr3:uid="{24689C3A-0FA7-4BED-9309-3F45783EF190}" name="Column5655"/>
    <tableColumn id="5663" xr3:uid="{99AE431F-AB3D-4A5E-BA39-CA5D3B66B54B}" name="Column5656"/>
    <tableColumn id="5664" xr3:uid="{5645B140-BC3E-4BE9-B2F7-F97F1C56B028}" name="Column5657"/>
    <tableColumn id="5665" xr3:uid="{6113AE71-4C65-4B56-84F2-2A19163FD8FE}" name="Column5658"/>
    <tableColumn id="5666" xr3:uid="{84ACD335-205A-4B23-9481-837CD426D7DD}" name="Column5659"/>
    <tableColumn id="5667" xr3:uid="{56AE4627-3927-45F9-8E80-E37FDFA97865}" name="Column5660"/>
    <tableColumn id="5668" xr3:uid="{9EB181B6-77DC-4461-812B-C190931E9DA4}" name="Column5661"/>
    <tableColumn id="5669" xr3:uid="{AC57BDC4-87E3-4952-8325-F1852A5FB3A6}" name="Column5662"/>
    <tableColumn id="5670" xr3:uid="{792D9AB7-B4A8-442A-AF60-65F77D14753E}" name="Column5663"/>
    <tableColumn id="5671" xr3:uid="{F3D3EAC0-BF15-4D01-83AF-D0418FA13D39}" name="Column5664"/>
    <tableColumn id="5672" xr3:uid="{F61CDBB3-58FD-4DAD-BFA3-846A374587D6}" name="Column5665"/>
    <tableColumn id="5673" xr3:uid="{1F8EA66D-4883-4CAC-8625-2BC507BF54F7}" name="Column5666"/>
    <tableColumn id="5674" xr3:uid="{A30EC9CB-CBB2-42C6-A72F-121C277D4E9F}" name="Column5667"/>
    <tableColumn id="5675" xr3:uid="{0EFE9DD8-6978-4AFF-B803-771EB809D586}" name="Column5668"/>
    <tableColumn id="5676" xr3:uid="{36D96AD1-A16E-4C0D-A351-E5D7D3188496}" name="Column5669"/>
    <tableColumn id="5677" xr3:uid="{E56258F3-E3B3-4569-BFC6-3683312EE487}" name="Column5670"/>
    <tableColumn id="5678" xr3:uid="{B89256D7-FBBE-4D8A-9264-0145AEDD35EA}" name="Column5671"/>
    <tableColumn id="5679" xr3:uid="{6744CB2C-EC86-40A5-BA26-CAB5F2B6675E}" name="Column5672"/>
    <tableColumn id="5680" xr3:uid="{AA7AEB3F-832B-4878-AF7F-9340E9AFA22C}" name="Column5673"/>
    <tableColumn id="5681" xr3:uid="{B740A6F5-FC2A-4BB4-9A48-D3506A7707FE}" name="Column5674"/>
    <tableColumn id="5682" xr3:uid="{F06C7106-6289-49BD-A169-AD26E99F4535}" name="Column5675"/>
    <tableColumn id="5683" xr3:uid="{2F1FE42F-375A-4DC7-A65B-0A2CFFBF02AC}" name="Column5676"/>
    <tableColumn id="5684" xr3:uid="{83739F41-B184-4A88-AA9A-31DF7B17DEF0}" name="Column5677"/>
    <tableColumn id="5685" xr3:uid="{82E6E9D0-A466-4486-B578-8DB465746631}" name="Column5678"/>
    <tableColumn id="5686" xr3:uid="{19D5C2F1-AA86-4F36-9B4F-6845D7F69E5A}" name="Column5679"/>
    <tableColumn id="5687" xr3:uid="{083C74C5-2ACC-43E5-91BD-6A05AF858841}" name="Column5680"/>
    <tableColumn id="5688" xr3:uid="{3E44DAF0-0E6D-4750-B3B1-4EEF1038D76C}" name="Column5681"/>
    <tableColumn id="5689" xr3:uid="{1EC02951-F356-497E-A0A4-772B5CC6CC13}" name="Column5682"/>
    <tableColumn id="5690" xr3:uid="{8B330518-A571-48FE-9B41-36E121ECEEDC}" name="Column5683"/>
    <tableColumn id="5691" xr3:uid="{89A87198-FE1C-4C32-AF7B-9D1635EDD088}" name="Column5684"/>
    <tableColumn id="5692" xr3:uid="{D99D8757-D1F9-4941-8C9F-BBC6025B6D64}" name="Column5685"/>
    <tableColumn id="5693" xr3:uid="{956B7D04-5562-4702-9B34-B12AD1BAE80B}" name="Column5686"/>
    <tableColumn id="5694" xr3:uid="{3E091541-8AB4-4F4A-9803-FE21A525EDB4}" name="Column5687"/>
    <tableColumn id="5695" xr3:uid="{A6AD2167-0C60-43A9-B2E5-A18A44CE45BC}" name="Column5688"/>
    <tableColumn id="5696" xr3:uid="{FE856AE9-7886-486C-A108-4D15DDC34A14}" name="Column5689"/>
    <tableColumn id="5697" xr3:uid="{62FB5BB4-E00F-48CB-834D-F27D9BA520C5}" name="Column5690"/>
    <tableColumn id="5698" xr3:uid="{E6F5690C-F990-47EA-B75B-28D6C8A28810}" name="Column5691"/>
    <tableColumn id="5699" xr3:uid="{9016DACC-D721-4239-9084-7CF82C1C7033}" name="Column5692"/>
    <tableColumn id="5700" xr3:uid="{3CBFEA52-1111-4209-BE69-F4511F0C83B9}" name="Column5693"/>
    <tableColumn id="5701" xr3:uid="{605BBA7A-0BDA-4780-9215-BBB7499D4824}" name="Column5694"/>
    <tableColumn id="5702" xr3:uid="{C0C5443E-B9C9-4D0E-AB3C-7FE27A8F36F3}" name="Column5695"/>
    <tableColumn id="5703" xr3:uid="{5EC13558-0A24-474A-A211-DAA5006FBC04}" name="Column5696"/>
    <tableColumn id="5704" xr3:uid="{3C19ED9B-0ACF-4166-AF05-6A959BA294A6}" name="Column5697"/>
    <tableColumn id="5705" xr3:uid="{7F0D9302-BFC8-48DD-99CD-3C700BF8F115}" name="Column5698"/>
    <tableColumn id="5706" xr3:uid="{ED8D616D-BED4-4BBF-BC90-C13043D6BF57}" name="Column5699"/>
    <tableColumn id="5707" xr3:uid="{378C1ACB-BE05-49D3-80A4-67F7E61348F7}" name="Column5700"/>
    <tableColumn id="5708" xr3:uid="{B91AB4B3-6598-4CE1-A1F0-E8C6094535B8}" name="Column5701"/>
    <tableColumn id="5709" xr3:uid="{63FAF827-CB57-4D27-A450-92F056356761}" name="Column5702"/>
    <tableColumn id="5710" xr3:uid="{CC448FF2-24E5-43EC-9CFF-D622AECDA3FA}" name="Column5703"/>
    <tableColumn id="5711" xr3:uid="{D377F7F3-75D6-4ADB-86F8-5FB18EAA6B2F}" name="Column5704"/>
    <tableColumn id="5712" xr3:uid="{B3C0A7CA-D6A2-40D3-A890-DC1F18549651}" name="Column5705"/>
    <tableColumn id="5713" xr3:uid="{B4BAB6AD-8008-4EE5-84B0-4CA92DF832DE}" name="Column5706"/>
    <tableColumn id="5714" xr3:uid="{D9CBD988-694D-45AF-8747-91B35FFF6708}" name="Column5707"/>
    <tableColumn id="5715" xr3:uid="{022A5769-6374-4197-9F54-9B4A89998778}" name="Column5708"/>
    <tableColumn id="5716" xr3:uid="{6437B8C4-F716-4B34-8261-F3938C7701AE}" name="Column5709"/>
    <tableColumn id="5717" xr3:uid="{0598CABD-0757-4010-8DCC-A243AA3CFC72}" name="Column5710"/>
    <tableColumn id="5718" xr3:uid="{1AA3AD57-22E0-4AE2-BF18-F6E8C658FD05}" name="Column5711"/>
    <tableColumn id="5719" xr3:uid="{189E35BE-0B99-4638-85F0-382980C8AC7D}" name="Column5712"/>
    <tableColumn id="5720" xr3:uid="{CD1A6EA1-B68C-402F-8DCA-D7C2BE227069}" name="Column5713"/>
    <tableColumn id="5721" xr3:uid="{89A685F4-6357-4988-8FD1-53B5249DECD0}" name="Column5714"/>
    <tableColumn id="5722" xr3:uid="{DDB801FF-E1DD-494D-B057-984922683913}" name="Column5715"/>
    <tableColumn id="5723" xr3:uid="{93C95446-4E9F-4F86-AC53-4B6E8E0CEEFE}" name="Column5716"/>
    <tableColumn id="5724" xr3:uid="{CA5D6644-E6E3-4D64-905A-2EE18DD1B363}" name="Column5717"/>
    <tableColumn id="5725" xr3:uid="{B2B508F1-EC36-4A7C-B159-CD099D448CE0}" name="Column5718"/>
    <tableColumn id="5726" xr3:uid="{8C4DCE98-A714-4178-BFDC-D432043281A2}" name="Column5719"/>
    <tableColumn id="5727" xr3:uid="{72E9D497-26F7-44AC-80F9-4C22C9631FA1}" name="Column5720"/>
    <tableColumn id="5728" xr3:uid="{014E64C6-A4D9-4C53-93A2-D247FC988B4C}" name="Column5721"/>
    <tableColumn id="5729" xr3:uid="{368D54B0-E3BD-4F09-9F80-9B427A10FB4E}" name="Column5722"/>
    <tableColumn id="5730" xr3:uid="{20E68E41-884B-4F33-BA0D-5159C158D905}" name="Column5723"/>
    <tableColumn id="5731" xr3:uid="{15530A83-5422-473B-B139-B6D8D684D9A4}" name="Column5724"/>
    <tableColumn id="5732" xr3:uid="{6F50692B-1819-4C35-8174-53C2D078C5ED}" name="Column5725"/>
    <tableColumn id="5733" xr3:uid="{2DA45D40-EC96-4881-8F55-E3EB3663494D}" name="Column5726"/>
    <tableColumn id="5734" xr3:uid="{6E6DD31A-8DD6-446F-AFA4-C54607A052ED}" name="Column5727"/>
    <tableColumn id="5735" xr3:uid="{1686DF8B-BA3C-4092-9301-1BB0F344515E}" name="Column5728"/>
    <tableColumn id="5736" xr3:uid="{A53BE555-85EE-4B95-BB1B-4CF75807B22F}" name="Column5729"/>
    <tableColumn id="5737" xr3:uid="{9E7C94F2-238D-41EE-85AD-23D92A2ED8C2}" name="Column5730"/>
    <tableColumn id="5738" xr3:uid="{682C5B45-DBF6-43FC-B185-CCF30FE059E2}" name="Column5731"/>
    <tableColumn id="5739" xr3:uid="{891F7662-0AF2-4091-9B27-3E4F7B2EF1F3}" name="Column5732"/>
    <tableColumn id="5740" xr3:uid="{1324DA8E-E93A-4514-8BD2-2582A1A1FFA8}" name="Column5733"/>
    <tableColumn id="5741" xr3:uid="{E14B84DD-401E-4CCC-8DC8-0679F50DB7F7}" name="Column5734"/>
    <tableColumn id="5742" xr3:uid="{6937A25C-D5F1-49D7-BD14-E559D5590741}" name="Column5735"/>
    <tableColumn id="5743" xr3:uid="{FFC74B1D-B01E-4B37-AEBF-6F87849797B9}" name="Column5736"/>
    <tableColumn id="5744" xr3:uid="{02E478EC-F0EA-4F6C-A8E6-44C7890FA113}" name="Column5737"/>
    <tableColumn id="5745" xr3:uid="{1DDDB6DE-112B-4106-A9BB-4382B3332130}" name="Column5738"/>
    <tableColumn id="5746" xr3:uid="{B2F62CE7-F074-4C86-A46F-1EDB70BDA3E0}" name="Column5739"/>
    <tableColumn id="5747" xr3:uid="{3A626F7E-7731-4D1E-B39C-735200065C13}" name="Column5740"/>
    <tableColumn id="5748" xr3:uid="{9692A768-8BF5-4B8A-B87E-BC04A0D71AFE}" name="Column5741"/>
    <tableColumn id="5749" xr3:uid="{0AAF5D05-62AA-4963-AD68-71E91E0C0B07}" name="Column5742"/>
    <tableColumn id="5750" xr3:uid="{78C6EE8F-290E-4FE7-953D-8C458E16BF94}" name="Column5743"/>
    <tableColumn id="5751" xr3:uid="{6875822C-8985-4240-B431-FEC1E4FB5F89}" name="Column5744"/>
    <tableColumn id="5752" xr3:uid="{5B0B0987-CA3B-4603-8A8C-6EDA52AFCE9A}" name="Column5745"/>
    <tableColumn id="5753" xr3:uid="{B840A964-B9EC-4F32-9965-50D6D4B165E1}" name="Column5746"/>
    <tableColumn id="5754" xr3:uid="{D72457B3-960F-4252-9D48-8B7D5FFB4FF7}" name="Column5747"/>
    <tableColumn id="5755" xr3:uid="{85C1A666-3836-43FC-BAC4-14D591C603A0}" name="Column5748"/>
    <tableColumn id="5756" xr3:uid="{15397E22-4054-476C-BC4A-DA0FDFD2AB79}" name="Column5749"/>
    <tableColumn id="5757" xr3:uid="{93AADD47-6F60-4CFF-BF4E-5611867C2DD2}" name="Column5750"/>
    <tableColumn id="5758" xr3:uid="{3C668628-7ABA-4C35-AB02-57215D493569}" name="Column5751"/>
    <tableColumn id="5759" xr3:uid="{C67A856E-EE0F-4CCA-8609-D26D98DB00E6}" name="Column5752"/>
    <tableColumn id="5760" xr3:uid="{AD168247-FF1C-4B0C-8064-2244E6CAC7CC}" name="Column5753"/>
    <tableColumn id="5761" xr3:uid="{53E1359E-1D2D-41BF-BAE6-E1036556733D}" name="Column5754"/>
    <tableColumn id="5762" xr3:uid="{6992C123-24D3-4BCF-89E7-749FC588E677}" name="Column5755"/>
    <tableColumn id="5763" xr3:uid="{4E321A8D-42FB-419E-A52B-70470D0E79CD}" name="Column5756"/>
    <tableColumn id="5764" xr3:uid="{7C54C2ED-B58B-4523-BA86-F888E00D7664}" name="Column5757"/>
    <tableColumn id="5765" xr3:uid="{2CDF499D-8D37-4D5C-BAF5-2889E5A7F3B4}" name="Column5758"/>
    <tableColumn id="5766" xr3:uid="{E1BD9238-0291-4D89-B26E-DFFCB7095B36}" name="Column5759"/>
    <tableColumn id="5767" xr3:uid="{C2B159D0-DB3B-4E5E-BCA4-D88117DE0D19}" name="Column5760"/>
    <tableColumn id="5768" xr3:uid="{8F01C2AF-8EE0-4112-BBD3-51F91A3923A2}" name="Column5761"/>
    <tableColumn id="5769" xr3:uid="{D78A9C3F-36E4-4EC5-8EE1-2A5D35F88BF4}" name="Column5762"/>
    <tableColumn id="5770" xr3:uid="{CE4249ED-6216-4D8F-8A9E-A226739614D6}" name="Column5763"/>
    <tableColumn id="5771" xr3:uid="{AD337BB5-4ACF-4260-B922-C22290D72F58}" name="Column5764"/>
    <tableColumn id="5772" xr3:uid="{0AD4BE58-1FCD-4E80-80AA-4C3DCCE536BF}" name="Column5765"/>
    <tableColumn id="5773" xr3:uid="{64C7D097-75E8-474B-8B66-8047F277BB63}" name="Column5766"/>
    <tableColumn id="5774" xr3:uid="{C32BA17C-5531-4A3C-A89F-4802EEFA26D4}" name="Column5767"/>
    <tableColumn id="5775" xr3:uid="{FA596C6A-B24A-43C3-8E11-C1165A2C45EF}" name="Column5768"/>
    <tableColumn id="5776" xr3:uid="{E58CBB34-D719-415F-9FD0-51B653C8A34D}" name="Column5769"/>
    <tableColumn id="5777" xr3:uid="{C87053FE-D412-4F9E-AE9F-A3212383B7E8}" name="Column5770"/>
    <tableColumn id="5778" xr3:uid="{12788370-58F2-46D2-B1C6-58989BAB0D8F}" name="Column5771"/>
    <tableColumn id="5779" xr3:uid="{BC15901C-F6AA-4B19-9BF5-CDCF501537E2}" name="Column5772"/>
    <tableColumn id="5780" xr3:uid="{36AB13C7-D77A-4770-A9B0-732A20195091}" name="Column5773"/>
    <tableColumn id="5781" xr3:uid="{EA0DEE8C-1DC7-4E80-A0E0-898F143CEFC2}" name="Column5774"/>
    <tableColumn id="5782" xr3:uid="{A5915630-EF80-47CA-A1AD-4AE43698358E}" name="Column5775"/>
    <tableColumn id="5783" xr3:uid="{3187F3C8-A00B-438F-970D-DAA24E0C97D2}" name="Column5776"/>
    <tableColumn id="5784" xr3:uid="{5CA6D9E3-FF84-4234-A785-90AE3BA2E44B}" name="Column5777"/>
    <tableColumn id="5785" xr3:uid="{AE16EFAA-07FE-4B46-B8B7-C7607A377BB7}" name="Column5778"/>
    <tableColumn id="5786" xr3:uid="{617EF974-458C-47DF-9910-ED3038B50B2B}" name="Column5779"/>
    <tableColumn id="5787" xr3:uid="{AFAB52E6-3E98-4F9B-93DA-261BDA6C08F9}" name="Column5780"/>
    <tableColumn id="5788" xr3:uid="{3B2A3CC9-BC25-4C2C-9C18-83B538DC2CCA}" name="Column5781"/>
    <tableColumn id="5789" xr3:uid="{89EA4D14-69C8-4432-B4BB-DC41FCD416EB}" name="Column5782"/>
    <tableColumn id="5790" xr3:uid="{35C77F78-42ED-4596-973B-D7904EC9FB3C}" name="Column5783"/>
    <tableColumn id="5791" xr3:uid="{0F9AC9DD-CCB2-4046-9B0A-ECEBC2052373}" name="Column5784"/>
    <tableColumn id="5792" xr3:uid="{3B3BEF14-35F4-4591-BB09-25C5FCC20F47}" name="Column5785"/>
    <tableColumn id="5793" xr3:uid="{F17021D8-76D7-47C6-A716-EC1D53D4089D}" name="Column5786"/>
    <tableColumn id="5794" xr3:uid="{D44DCC63-F5B1-45D3-BF1C-9C1CDEDD7E3E}" name="Column5787"/>
    <tableColumn id="5795" xr3:uid="{BB709FC1-F05D-49D6-9855-257A2DFD6A83}" name="Column5788"/>
    <tableColumn id="5796" xr3:uid="{CFDD7D31-0DDB-4134-BDF7-4DA263C721B8}" name="Column5789"/>
    <tableColumn id="5797" xr3:uid="{4778E40F-1447-4C90-82E6-C46E1D3419A3}" name="Column5790"/>
    <tableColumn id="5798" xr3:uid="{54120F61-20E6-46C2-9CFD-3C256B7CD6F3}" name="Column5791"/>
    <tableColumn id="5799" xr3:uid="{8162F12B-5777-414F-A960-A911FA758273}" name="Column5792"/>
    <tableColumn id="5800" xr3:uid="{C311E4CC-74C7-41D6-9F30-21141D8DEBF7}" name="Column5793"/>
    <tableColumn id="5801" xr3:uid="{ECB0A6CB-4112-4F68-985C-7569E4802C74}" name="Column5794"/>
    <tableColumn id="5802" xr3:uid="{82DE54C2-578C-4162-8CC6-120BE72DFCAB}" name="Column5795"/>
    <tableColumn id="5803" xr3:uid="{4F045B21-8F83-4F8C-952C-8F0ADFD380D0}" name="Column5796"/>
    <tableColumn id="5804" xr3:uid="{C1D28FEA-A4CF-4490-A27D-BDBFA4641275}" name="Column5797"/>
    <tableColumn id="5805" xr3:uid="{84983604-2581-4BAB-A396-6164193189BF}" name="Column5798"/>
    <tableColumn id="5806" xr3:uid="{BA35672A-040F-4356-86BE-2F748B628593}" name="Column5799"/>
    <tableColumn id="5807" xr3:uid="{133BD1E6-B10B-4580-891F-A8CB98303759}" name="Column5800"/>
    <tableColumn id="5808" xr3:uid="{9A8A06B4-4996-43D4-8FDA-73513240C671}" name="Column5801"/>
    <tableColumn id="5809" xr3:uid="{0AAA4CEA-2FC7-422C-949B-2676419D7BC5}" name="Column5802"/>
    <tableColumn id="5810" xr3:uid="{A7FB1254-2C38-4058-8C10-E1DD82278E54}" name="Column5803"/>
    <tableColumn id="5811" xr3:uid="{265E48FD-1E44-4B18-B58B-8ED253A68A13}" name="Column5804"/>
    <tableColumn id="5812" xr3:uid="{4E936E4E-6897-4438-88DF-887A32CFE939}" name="Column5805"/>
    <tableColumn id="5813" xr3:uid="{ECF2DDD2-16B6-4E91-B4F6-D53736CCD05D}" name="Column5806"/>
    <tableColumn id="5814" xr3:uid="{FCE5863F-9305-4C21-A24F-430562C04982}" name="Column5807"/>
    <tableColumn id="5815" xr3:uid="{76441BDC-7466-4994-BB51-9EEF755C6E03}" name="Column5808"/>
    <tableColumn id="5816" xr3:uid="{FE62F3DC-6870-4760-9A9F-2173358EE26D}" name="Column5809"/>
    <tableColumn id="5817" xr3:uid="{EDB4CB2A-946D-4BB8-90E0-1EF1E471AD08}" name="Column5810"/>
    <tableColumn id="5818" xr3:uid="{D8BCCA94-4D77-4EC6-8CE6-B5A53B088991}" name="Column5811"/>
    <tableColumn id="5819" xr3:uid="{41820515-0167-4C07-9CE6-CFC808011DF5}" name="Column5812"/>
    <tableColumn id="5820" xr3:uid="{A9BFFF45-E1A3-45DB-A99C-69256BDBF472}" name="Column5813"/>
    <tableColumn id="5821" xr3:uid="{EEBAD80E-D29F-40B9-9EF6-27B8A6F2C312}" name="Column5814"/>
    <tableColumn id="5822" xr3:uid="{CD7E9853-F792-4B54-B862-958720280454}" name="Column5815"/>
    <tableColumn id="5823" xr3:uid="{ADD46586-5EB0-47A0-8382-D9FBB8B97717}" name="Column5816"/>
    <tableColumn id="5824" xr3:uid="{EAF2D857-D239-4589-976C-F5305B4127EE}" name="Column5817"/>
    <tableColumn id="5825" xr3:uid="{CCE23521-9289-4D05-9FAA-DB39D0F8A0DB}" name="Column5818"/>
    <tableColumn id="5826" xr3:uid="{1125CA22-EB07-452D-80D6-CEF4B347D065}" name="Column5819"/>
    <tableColumn id="5827" xr3:uid="{26285306-B240-4CC0-AED1-C702F39FCD61}" name="Column5820"/>
    <tableColumn id="5828" xr3:uid="{BC4ADFB2-47BC-4CAE-9FB8-8EBCFB8AA63D}" name="Column5821"/>
    <tableColumn id="5829" xr3:uid="{EDFCD6DB-2886-4A20-B8C8-0A49FC1B7DB8}" name="Column5822"/>
    <tableColumn id="5830" xr3:uid="{5035E1E8-6BC9-475A-81C8-44B8458CD022}" name="Column5823"/>
    <tableColumn id="5831" xr3:uid="{2C73C63A-735B-4C6C-ADAE-1D6A804E9523}" name="Column5824"/>
    <tableColumn id="5832" xr3:uid="{8C02CCD6-B914-4AA2-8B6C-E0E93E866D3D}" name="Column5825"/>
    <tableColumn id="5833" xr3:uid="{96403620-8A7F-406C-BFB7-917B115C66EF}" name="Column5826"/>
    <tableColumn id="5834" xr3:uid="{5D6775B1-2052-4532-BC72-B86C21EA3366}" name="Column5827"/>
    <tableColumn id="5835" xr3:uid="{22B617B1-14FC-4568-9D17-562BDA7F0EEA}" name="Column5828"/>
    <tableColumn id="5836" xr3:uid="{9C189E43-232F-4801-BEDC-6AE5968FAC23}" name="Column5829"/>
    <tableColumn id="5837" xr3:uid="{559DC844-1129-4704-B167-392AAEB3425F}" name="Column5830"/>
    <tableColumn id="5838" xr3:uid="{AFA75C9C-9327-4962-AE6F-66C5BBC22D6C}" name="Column5831"/>
    <tableColumn id="5839" xr3:uid="{8C03F522-C5C4-45C8-A8EE-DEBAD2F75BA0}" name="Column5832"/>
    <tableColumn id="5840" xr3:uid="{5320807B-8A59-4EC8-ADA1-B3CDCEBBC545}" name="Column5833"/>
    <tableColumn id="5841" xr3:uid="{07E3B6F3-1C20-49FF-B2BC-838EAEA344F3}" name="Column5834"/>
    <tableColumn id="5842" xr3:uid="{8647598D-29C6-47C0-9C3F-C3BD473E4B22}" name="Column5835"/>
    <tableColumn id="5843" xr3:uid="{CF14C1F4-05BF-4122-ACB2-C6D19899982B}" name="Column5836"/>
    <tableColumn id="5844" xr3:uid="{8ADEDE26-0740-4EC9-8AD9-67A3AD1B131A}" name="Column5837"/>
    <tableColumn id="5845" xr3:uid="{3D6582D0-E816-46E9-B1E6-AA6EADA68BDB}" name="Column5838"/>
    <tableColumn id="5846" xr3:uid="{0B25B21E-958B-4CE2-B375-8D7D4768ECA9}" name="Column5839"/>
    <tableColumn id="5847" xr3:uid="{A62FC00A-0D13-4509-8350-D42ECC991805}" name="Column5840"/>
    <tableColumn id="5848" xr3:uid="{12EDB353-0045-47AA-B47B-DA39ACC8D4CC}" name="Column5841"/>
    <tableColumn id="5849" xr3:uid="{489918F3-2144-4A12-8010-B155CC4C9994}" name="Column5842"/>
    <tableColumn id="5850" xr3:uid="{BC6C71E9-4027-44FE-9574-A4B86698BD78}" name="Column5843"/>
    <tableColumn id="5851" xr3:uid="{B9A6BE1F-DCD6-4832-AFE3-53E82CFD2FA7}" name="Column5844"/>
    <tableColumn id="5852" xr3:uid="{7A53DC6B-0C3C-4745-98AF-CA3BA58EFB6A}" name="Column5845"/>
    <tableColumn id="5853" xr3:uid="{D0A4392C-B82E-4B1A-A888-BA530B1E81B4}" name="Column5846"/>
    <tableColumn id="5854" xr3:uid="{B88D9512-E26E-42F0-AEEB-CF4F3EFAD104}" name="Column5847"/>
    <tableColumn id="5855" xr3:uid="{43830201-0060-4632-AB79-05B4C2ABA110}" name="Column5848"/>
    <tableColumn id="5856" xr3:uid="{F425FF03-94A1-4AB7-BE29-05A13EC67F9A}" name="Column5849"/>
    <tableColumn id="5857" xr3:uid="{E8709342-8C5E-41F2-AD0A-CDCD7D9AE8A8}" name="Column5850"/>
    <tableColumn id="5858" xr3:uid="{D84BA211-7DD4-4151-89F9-38183E781401}" name="Column5851"/>
    <tableColumn id="5859" xr3:uid="{457DF75F-D576-4D7E-BAAD-EC80F2082A3F}" name="Column5852"/>
    <tableColumn id="5860" xr3:uid="{5957F562-3F14-4B01-B5F0-B961F3893656}" name="Column5853"/>
    <tableColumn id="5861" xr3:uid="{C5AD4AAF-CB2C-43B3-8953-C08447798755}" name="Column5854"/>
    <tableColumn id="5862" xr3:uid="{43A6DF16-BF80-4591-AFED-8DA26CF0DB92}" name="Column5855"/>
    <tableColumn id="5863" xr3:uid="{211A2323-C6F3-4B32-8A25-5BD03329D83E}" name="Column5856"/>
    <tableColumn id="5864" xr3:uid="{FEFED44F-2AEA-4773-813B-A1F70287DDD8}" name="Column5857"/>
    <tableColumn id="5865" xr3:uid="{AB3B9225-A375-4741-9A65-4C033069C5DB}" name="Column5858"/>
    <tableColumn id="5866" xr3:uid="{44290EE6-E22C-4515-9ECD-F2C6A98FF2B3}" name="Column5859"/>
    <tableColumn id="5867" xr3:uid="{3E9F16C5-D4B3-4CF5-82E7-8351760BD8BE}" name="Column5860"/>
    <tableColumn id="5868" xr3:uid="{FB096969-C598-483F-8E5E-1B0AA0AD2AD8}" name="Column5861"/>
    <tableColumn id="5869" xr3:uid="{5CC1B6D3-E40E-4581-8949-1E59DECBC6FC}" name="Column5862"/>
    <tableColumn id="5870" xr3:uid="{47FE5A82-C11C-4A2B-833F-A9632133B1D5}" name="Column5863"/>
    <tableColumn id="5871" xr3:uid="{8E428677-1695-4327-9AB3-A834C5BCB472}" name="Column5864"/>
    <tableColumn id="5872" xr3:uid="{45B435AE-4B6A-4CDA-8A9C-BA7425CB2977}" name="Column5865"/>
    <tableColumn id="5873" xr3:uid="{3FAD8FFC-C42D-464D-BD5A-D9E5F0EFC5AA}" name="Column5866"/>
    <tableColumn id="5874" xr3:uid="{00909647-4E73-401D-8489-FBEB7B237CC8}" name="Column5867"/>
    <tableColumn id="5875" xr3:uid="{F8B19013-B78B-4532-AE09-99E3865C996E}" name="Column5868"/>
    <tableColumn id="5876" xr3:uid="{A7B9B5D1-6E66-4A3A-BD02-70A9BD66ABB9}" name="Column5869"/>
    <tableColumn id="5877" xr3:uid="{42E762DF-F39E-4E97-A03D-270AB87C04B1}" name="Column5870"/>
    <tableColumn id="5878" xr3:uid="{FE003364-871D-4BC0-9156-F61ADBA6D2F7}" name="Column5871"/>
    <tableColumn id="5879" xr3:uid="{11557DCD-8B46-464B-A85D-FE0DC53363F1}" name="Column5872"/>
    <tableColumn id="5880" xr3:uid="{B17219C3-BEB3-4207-B509-10EF48595B3E}" name="Column5873"/>
    <tableColumn id="5881" xr3:uid="{0B28CEB6-4269-41C0-81C2-FA4CFD83E1A5}" name="Column5874"/>
    <tableColumn id="5882" xr3:uid="{F7ADDF57-271F-4AF9-93E0-A533221E46D8}" name="Column5875"/>
    <tableColumn id="5883" xr3:uid="{E5A64097-9B2B-4F8F-B094-D9D91784E282}" name="Column5876"/>
    <tableColumn id="5884" xr3:uid="{1E47AD8E-6F94-4FD9-8450-AD6414571483}" name="Column5877"/>
    <tableColumn id="5885" xr3:uid="{C42E7341-EBF7-4B3E-BA86-CDAD4EF87C26}" name="Column5878"/>
    <tableColumn id="5886" xr3:uid="{17524A3A-D448-42AA-BD80-D45F60C21573}" name="Column5879"/>
    <tableColumn id="5887" xr3:uid="{2C840F2D-5894-4B43-9587-406B1EDA57A1}" name="Column5880"/>
    <tableColumn id="5888" xr3:uid="{85DA6EAC-81D1-43A8-979A-AC5C7FC16773}" name="Column5881"/>
    <tableColumn id="5889" xr3:uid="{65FAF2B6-6C29-4BDE-8D09-870769D046C5}" name="Column5882"/>
    <tableColumn id="5890" xr3:uid="{6F89EC5D-C8A6-4E05-B1F5-F73861B0A923}" name="Column5883"/>
    <tableColumn id="5891" xr3:uid="{CB0E01AD-2A04-48B2-BD22-E8967912A333}" name="Column5884"/>
    <tableColumn id="5892" xr3:uid="{92939555-EBCB-4FE4-8DB1-9FB5409ABDC0}" name="Column5885"/>
    <tableColumn id="5893" xr3:uid="{366FF0CF-BC40-48FD-9182-1C7B4399AF41}" name="Column5886"/>
    <tableColumn id="5894" xr3:uid="{501DFDB9-C663-46B4-BFE6-E7CD5D10A6E2}" name="Column5887"/>
    <tableColumn id="5895" xr3:uid="{415D978B-2A9C-4850-9F97-96AB11AD62EB}" name="Column5888"/>
    <tableColumn id="5896" xr3:uid="{638880E9-E5D2-41CD-9193-2F5B54B4D2FF}" name="Column5889"/>
    <tableColumn id="5897" xr3:uid="{D29EBEC7-5F03-4AE5-ABD0-2368DA3B2254}" name="Column5890"/>
    <tableColumn id="5898" xr3:uid="{039DE7D5-5320-4AE1-9EB0-4CF1DB121259}" name="Column5891"/>
    <tableColumn id="5899" xr3:uid="{C41BAD00-BD21-45F5-AF2B-40EA1EBB0DFD}" name="Column5892"/>
    <tableColumn id="5900" xr3:uid="{37CE0B58-5939-4372-80C0-D6038AFDC208}" name="Column5893"/>
    <tableColumn id="5901" xr3:uid="{D66F8AE1-B886-4B3F-B50D-AED3FA1C815E}" name="Column5894"/>
    <tableColumn id="5902" xr3:uid="{09420EF1-D652-471D-BA08-E37D2AD6E23F}" name="Column5895"/>
    <tableColumn id="5903" xr3:uid="{8FC7EE7B-BBA2-48C6-8C1B-5DCCA333C8D4}" name="Column5896"/>
    <tableColumn id="5904" xr3:uid="{1C8D66AE-C8BC-4612-963A-D5F90888B9A7}" name="Column5897"/>
    <tableColumn id="5905" xr3:uid="{27F1C298-A4FC-4C26-9832-B36E6BA06532}" name="Column5898"/>
    <tableColumn id="5906" xr3:uid="{E253EC40-C3C1-4932-8F86-6216EF8B58C3}" name="Column5899"/>
    <tableColumn id="5907" xr3:uid="{317081E3-FB85-4B51-84B1-BE69BB36BBA0}" name="Column5900"/>
    <tableColumn id="5908" xr3:uid="{9F26110B-00E9-4FCB-A11B-5D820148016C}" name="Column5901"/>
    <tableColumn id="5909" xr3:uid="{C6F691B3-0ABB-4BAA-996E-70FD4BFA6E80}" name="Column5902"/>
    <tableColumn id="5910" xr3:uid="{DE7EC0E2-D53A-4E1C-8FD0-CE5213CBFF3E}" name="Column5903"/>
    <tableColumn id="5911" xr3:uid="{7416D98C-93F3-4001-A675-BCE34E9200BC}" name="Column5904"/>
    <tableColumn id="5912" xr3:uid="{C55EF34C-3167-40BF-BDE8-5EF05116B853}" name="Column5905"/>
    <tableColumn id="5913" xr3:uid="{72F24411-26C7-4C6A-A01E-63F62C9D028F}" name="Column5906"/>
    <tableColumn id="5914" xr3:uid="{4C0A371F-08F6-42C8-8BE2-60965E058F56}" name="Column5907"/>
    <tableColumn id="5915" xr3:uid="{7B8BAE65-67DD-4524-8B9A-74E05506E063}" name="Column5908"/>
    <tableColumn id="5916" xr3:uid="{75D700E0-0257-4C83-A6EB-1FEC0D2275F3}" name="Column5909"/>
    <tableColumn id="5917" xr3:uid="{846FE4BE-9ED1-410A-911F-E2B8316CEE4B}" name="Column5910"/>
    <tableColumn id="5918" xr3:uid="{52E1B15C-2AE1-4A41-9BB1-D7B9532AC20D}" name="Column5911"/>
    <tableColumn id="5919" xr3:uid="{93EA24F6-187E-462A-A9E8-0319992A36BC}" name="Column5912"/>
    <tableColumn id="5920" xr3:uid="{C7FA54F4-AC62-4F06-BCDB-BD74668C04C8}" name="Column5913"/>
    <tableColumn id="5921" xr3:uid="{D7B4C48C-3061-44D1-9B27-E19D79328C37}" name="Column5914"/>
    <tableColumn id="5922" xr3:uid="{71981631-F9EA-4183-8643-7765396E8C85}" name="Column5915"/>
    <tableColumn id="5923" xr3:uid="{9E6D33D2-42A5-4C63-9D07-F924D80EE937}" name="Column5916"/>
    <tableColumn id="5924" xr3:uid="{EF32A57C-E100-4407-A7F7-DA3C128E9F8E}" name="Column5917"/>
    <tableColumn id="5925" xr3:uid="{07651339-7DAF-42A8-8AF1-418A18880B26}" name="Column5918"/>
    <tableColumn id="5926" xr3:uid="{E7EDFA2F-9EC4-43DE-878C-3FD5FBA9CE3D}" name="Column5919"/>
    <tableColumn id="5927" xr3:uid="{BA2C5524-A3CA-4C75-976C-BA59B8C7682B}" name="Column5920"/>
    <tableColumn id="5928" xr3:uid="{EC11BF51-106D-4B4D-A194-C2652CFE422B}" name="Column5921"/>
    <tableColumn id="5929" xr3:uid="{051DF6FB-1A23-4B1C-82B1-46B80377C3BA}" name="Column5922"/>
    <tableColumn id="5930" xr3:uid="{3C2AB8DC-3970-4A8A-8F9F-51999E9CAD6F}" name="Column5923"/>
    <tableColumn id="5931" xr3:uid="{8708DDBD-F519-4225-BFB2-38874B808BA9}" name="Column5924"/>
    <tableColumn id="5932" xr3:uid="{C4E84747-A044-4183-8046-F9070FFA331E}" name="Column5925"/>
    <tableColumn id="5933" xr3:uid="{4F0EED0C-D510-49A0-BCFC-263BBF8C9B9E}" name="Column5926"/>
    <tableColumn id="5934" xr3:uid="{BEC42535-FDB0-4456-9197-8CB7A6EECF8F}" name="Column5927"/>
    <tableColumn id="5935" xr3:uid="{C8547CAB-087A-483E-9F27-56E8E3015FDC}" name="Column5928"/>
    <tableColumn id="5936" xr3:uid="{36ECCCED-660B-4734-AD0E-DF81DC65563B}" name="Column5929"/>
    <tableColumn id="5937" xr3:uid="{C80AA471-AB19-4E0F-8815-7565F390976D}" name="Column5930"/>
    <tableColumn id="5938" xr3:uid="{5B2AF2B3-0679-4C9F-97D9-4F6AE73F3A4D}" name="Column5931"/>
    <tableColumn id="5939" xr3:uid="{4868D2AA-A136-49CE-95C2-3E867C93ABF2}" name="Column5932"/>
    <tableColumn id="5940" xr3:uid="{7930E9F5-372F-4E32-83DF-8B77A4C03793}" name="Column5933"/>
    <tableColumn id="5941" xr3:uid="{8135D441-71F5-49EE-8747-DB51DF654756}" name="Column5934"/>
    <tableColumn id="5942" xr3:uid="{0E63E699-6B0A-4895-AFF3-69039A168A6B}" name="Column5935"/>
    <tableColumn id="5943" xr3:uid="{835B2F1A-5947-489C-AB90-C0541168E143}" name="Column5936"/>
    <tableColumn id="5944" xr3:uid="{47D59675-D848-4E42-B02B-49F63C4EDD79}" name="Column5937"/>
    <tableColumn id="5945" xr3:uid="{0B01F5D4-9EE7-474E-BCAF-6E729D317220}" name="Column5938"/>
    <tableColumn id="5946" xr3:uid="{71801FC3-BD78-4B0D-9F56-96CF9B1565C0}" name="Column5939"/>
    <tableColumn id="5947" xr3:uid="{71E9D1F6-DCC4-41BF-880C-03627AEEDD5D}" name="Column5940"/>
    <tableColumn id="5948" xr3:uid="{AF341658-4461-42D2-BC5C-25289957B100}" name="Column5941"/>
    <tableColumn id="5949" xr3:uid="{F3E96D41-4391-47C1-9485-FF8B7A9CD5C7}" name="Column5942"/>
    <tableColumn id="5950" xr3:uid="{A154A0CB-7CE4-43AD-8A9D-8D5C9B2FB981}" name="Column5943"/>
    <tableColumn id="5951" xr3:uid="{D3E4E72C-0F96-409F-B47D-78F93EE4A102}" name="Column5944"/>
    <tableColumn id="5952" xr3:uid="{9F3C40AB-C22A-4655-85EF-A2189B2BB27D}" name="Column5945"/>
    <tableColumn id="5953" xr3:uid="{4F26C350-B09F-4FF7-BE2F-1B7C6E37456E}" name="Column5946"/>
    <tableColumn id="5954" xr3:uid="{1A8B5CE6-B3C3-4D76-9505-7B251D2FDD96}" name="Column5947"/>
    <tableColumn id="5955" xr3:uid="{7909B875-7900-4BE5-ACAD-D519AF650939}" name="Column5948"/>
    <tableColumn id="5956" xr3:uid="{4F488ED9-70A3-4B4C-8474-0AAC9CE414FE}" name="Column5949"/>
    <tableColumn id="5957" xr3:uid="{63C1733E-04BE-4560-83A5-1DC390637F55}" name="Column5950"/>
    <tableColumn id="5958" xr3:uid="{0BC62067-81CC-40A9-A8FC-C92366D50B0A}" name="Column5951"/>
    <tableColumn id="5959" xr3:uid="{68DC46BC-CD12-4273-A80C-AB64EE2EB676}" name="Column5952"/>
    <tableColumn id="5960" xr3:uid="{B50B4CE1-040D-422A-85DE-8C5BEB0F38CC}" name="Column5953"/>
    <tableColumn id="5961" xr3:uid="{76694303-E80B-495C-8954-55F164E25D2E}" name="Column5954"/>
    <tableColumn id="5962" xr3:uid="{FC4994F0-A9D0-4B94-BEF4-33DE57464BAE}" name="Column5955"/>
    <tableColumn id="5963" xr3:uid="{F546BBC1-D593-40FB-8935-7BEC8477E448}" name="Column5956"/>
    <tableColumn id="5964" xr3:uid="{9563A63F-EA95-4A33-88B8-5255E7BA147D}" name="Column5957"/>
    <tableColumn id="5965" xr3:uid="{A2B692F2-4C67-4A7C-A3BE-80D23D5E770F}" name="Column5958"/>
    <tableColumn id="5966" xr3:uid="{9A5ABB2D-7600-4B4D-BAFC-F2B29EB1BEAB}" name="Column5959"/>
    <tableColumn id="5967" xr3:uid="{7E847CD8-186A-48A7-9EC5-AB8CAE37F62A}" name="Column5960"/>
    <tableColumn id="5968" xr3:uid="{3EEB612C-D907-40A1-9808-E4D3BCF0215F}" name="Column5961"/>
    <tableColumn id="5969" xr3:uid="{91939C9C-BFAB-4BDD-B928-B9D6019F1327}" name="Column5962"/>
    <tableColumn id="5970" xr3:uid="{C15204AD-9453-47B0-8B01-2701B03E6C99}" name="Column5963"/>
    <tableColumn id="5971" xr3:uid="{5B1A996E-7B4D-4A2A-B9E1-D93CDC16BBCA}" name="Column5964"/>
    <tableColumn id="5972" xr3:uid="{25F85684-3911-4AAC-85D5-B62DF09F3C8C}" name="Column5965"/>
    <tableColumn id="5973" xr3:uid="{A6BD1E1F-3720-45C7-BB8D-718D2865BFC3}" name="Column5966"/>
    <tableColumn id="5974" xr3:uid="{DFD3E865-5742-417C-9BF9-43308818B345}" name="Column5967"/>
    <tableColumn id="5975" xr3:uid="{4F3F8FB0-4362-41BF-8B25-F89B132E661D}" name="Column5968"/>
    <tableColumn id="5976" xr3:uid="{46939796-A303-4AF4-B824-0AF9B7E09D93}" name="Column5969"/>
    <tableColumn id="5977" xr3:uid="{B350A021-9AC7-410A-B351-312FC1D1DED0}" name="Column5970"/>
    <tableColumn id="5978" xr3:uid="{91E36499-3F5D-431E-BAAA-AEC7986DD77A}" name="Column5971"/>
    <tableColumn id="5979" xr3:uid="{7C93C29E-0D2A-40F8-B261-F96B608D4143}" name="Column5972"/>
    <tableColumn id="5980" xr3:uid="{90657F3B-1A17-4B45-81FC-B8EB50C293FF}" name="Column5973"/>
    <tableColumn id="5981" xr3:uid="{C8903F54-651D-4F10-8E77-0564CB40F8A3}" name="Column5974"/>
    <tableColumn id="5982" xr3:uid="{6F763704-671B-4BF5-8229-5D26E36E4B08}" name="Column5975"/>
    <tableColumn id="5983" xr3:uid="{F321E61B-288D-415E-9E5A-7B792B508D2E}" name="Column5976"/>
    <tableColumn id="5984" xr3:uid="{51EDE29C-371B-4754-96E7-33E33962FE61}" name="Column5977"/>
    <tableColumn id="5985" xr3:uid="{005E15AB-E299-413D-991A-2845F03F73A9}" name="Column5978"/>
    <tableColumn id="5986" xr3:uid="{91A7E3BB-160E-472F-AD53-877786A72ED8}" name="Column5979"/>
    <tableColumn id="5987" xr3:uid="{566D386B-136B-4242-9139-F6594092723E}" name="Column5980"/>
    <tableColumn id="5988" xr3:uid="{69DCB7B7-0F73-411B-865A-C3C8D881D131}" name="Column5981"/>
    <tableColumn id="5989" xr3:uid="{590569E4-6D40-4A97-A5DB-0655D65B8675}" name="Column5982"/>
    <tableColumn id="5990" xr3:uid="{5AD703F5-AE0A-4F10-9E42-3C4F6B40EDF8}" name="Column5983"/>
    <tableColumn id="5991" xr3:uid="{CE8286D7-ED8B-4C1E-AD66-891A311A478E}" name="Column5984"/>
    <tableColumn id="5992" xr3:uid="{8E0A6437-D51D-4941-97EC-30EBE82F4E68}" name="Column5985"/>
    <tableColumn id="5993" xr3:uid="{8DD90E35-28A6-4BC0-8CF4-D86A9E8283DC}" name="Column5986"/>
    <tableColumn id="5994" xr3:uid="{8E7FEC21-EB10-4762-BF8C-F5DAF43307F7}" name="Column5987"/>
    <tableColumn id="5995" xr3:uid="{CCCA5E88-ECD6-4203-866B-E4ACE33853BA}" name="Column5988"/>
    <tableColumn id="5996" xr3:uid="{7520FBBB-E3A7-4031-B05E-93E3862FFCEF}" name="Column5989"/>
    <tableColumn id="5997" xr3:uid="{B8CFF493-8173-4B00-AF20-7B8DFCCFFCF6}" name="Column5990"/>
    <tableColumn id="5998" xr3:uid="{9938A08C-32A2-4EF6-A5B4-A7145119E5E8}" name="Column5991"/>
    <tableColumn id="5999" xr3:uid="{8EDD1492-0B37-44A2-B792-C388B3FD3C67}" name="Column5992"/>
    <tableColumn id="6000" xr3:uid="{A47D6EA6-79FB-41C8-B288-492413099F68}" name="Column5993"/>
    <tableColumn id="6001" xr3:uid="{4EA0AFCF-AE03-47AC-828E-627BAEC49D2C}" name="Column5994"/>
    <tableColumn id="6002" xr3:uid="{7A61A209-1188-4F5C-B978-9EAC4A26167E}" name="Column5995"/>
    <tableColumn id="6003" xr3:uid="{DC8E5E20-FF7D-4825-839C-EDF11609D7FC}" name="Column5996"/>
    <tableColumn id="6004" xr3:uid="{48EA1F89-B867-4610-8321-C673F5860AC0}" name="Column5997"/>
    <tableColumn id="6005" xr3:uid="{DBCED696-733C-411E-B292-B124550279F7}" name="Column5998"/>
    <tableColumn id="6006" xr3:uid="{E3A86AAB-77AC-4621-A1F7-3A1DC8F8E554}" name="Column5999"/>
    <tableColumn id="6007" xr3:uid="{B4855607-455F-4BCE-BCBE-2D5995E67D82}" name="Column6000"/>
    <tableColumn id="6008" xr3:uid="{4FA004BA-F2B6-4CB4-BED1-C966A53640FE}" name="Column6001"/>
    <tableColumn id="6009" xr3:uid="{4EE0F340-EA23-45CB-AC1A-98E41C57C48D}" name="Column6002"/>
    <tableColumn id="6010" xr3:uid="{CDC06280-9248-42B1-9CB9-C216052392B7}" name="Column6003"/>
    <tableColumn id="6011" xr3:uid="{BEDE2082-CA32-4912-AEBF-E7D4D4006974}" name="Column6004"/>
    <tableColumn id="6012" xr3:uid="{81DAB7BA-5B90-436C-A602-B28BCAD9501C}" name="Column6005"/>
    <tableColumn id="6013" xr3:uid="{49C3432B-E7D2-46FE-BCD1-248E98041BC3}" name="Column6006"/>
    <tableColumn id="6014" xr3:uid="{5FF40930-177A-482B-8B82-E44628650837}" name="Column6007"/>
    <tableColumn id="6015" xr3:uid="{A6C392C4-FBB9-4225-8483-5F5697A88C5D}" name="Column6008"/>
    <tableColumn id="6016" xr3:uid="{B9C65D54-AB84-41F0-9D50-EE9BF8CC9749}" name="Column6009"/>
    <tableColumn id="6017" xr3:uid="{84575A4F-0622-4954-B9EE-1B63652A7FCD}" name="Column6010"/>
    <tableColumn id="6018" xr3:uid="{D8D30F54-A876-4528-AD3C-8259977A0BA1}" name="Column6011"/>
    <tableColumn id="6019" xr3:uid="{A57C6EB5-F1BA-497B-8D73-0F112EC9F22B}" name="Column6012"/>
    <tableColumn id="6020" xr3:uid="{DC3DB976-0C1A-42B4-8095-CCEA53389949}" name="Column6013"/>
    <tableColumn id="6021" xr3:uid="{B859225F-0C58-4971-8169-E4D9F58FD053}" name="Column6014"/>
    <tableColumn id="6022" xr3:uid="{12A63182-9BC5-42A6-A4B0-7423C04CD7F2}" name="Column6015"/>
    <tableColumn id="6023" xr3:uid="{FEB387DC-2E02-4E15-A1F8-0EDEB589EE54}" name="Column6016"/>
    <tableColumn id="6024" xr3:uid="{4E04FE4E-E9BA-4BBB-99A9-9B1F17EA9FC1}" name="Column6017"/>
    <tableColumn id="6025" xr3:uid="{C823EAD7-80A2-4E29-A9F9-489AF4651E5D}" name="Column6018"/>
    <tableColumn id="6026" xr3:uid="{A4DE6EA4-37A7-4215-8043-9D66CE392F33}" name="Column6019"/>
    <tableColumn id="6027" xr3:uid="{2621FA50-35F6-425A-A661-D496B0D47EB3}" name="Column6020"/>
    <tableColumn id="6028" xr3:uid="{FACD2B38-78EB-4ED7-8DBF-B7A4EB5DD93E}" name="Column6021"/>
    <tableColumn id="6029" xr3:uid="{B8AE5AF0-428B-4F72-87DA-A289BCE8868B}" name="Column6022"/>
    <tableColumn id="6030" xr3:uid="{8E8445FE-9669-4B18-8779-A2F5846BA2D4}" name="Column6023"/>
    <tableColumn id="6031" xr3:uid="{4C73C59B-1865-43AE-ACE9-C4EEBBB9D7D3}" name="Column6024"/>
    <tableColumn id="6032" xr3:uid="{6B2638BD-FA66-4289-A597-6FF90CEE6F7E}" name="Column6025"/>
    <tableColumn id="6033" xr3:uid="{071C8403-241F-4B23-A456-EFDAA8B89D4D}" name="Column6026"/>
    <tableColumn id="6034" xr3:uid="{205CDAB5-2A5A-4204-83A7-851B1C5F53F9}" name="Column6027"/>
    <tableColumn id="6035" xr3:uid="{B35218C4-1C12-467A-9B9D-09BCADFC8913}" name="Column6028"/>
    <tableColumn id="6036" xr3:uid="{5088844A-611F-438F-B442-F3302BDC32B8}" name="Column6029"/>
    <tableColumn id="6037" xr3:uid="{ECA3F7B6-5B18-4158-B332-2D9FBE7554FD}" name="Column6030"/>
    <tableColumn id="6038" xr3:uid="{C79968A4-BFDB-4174-AAE0-B6A5933EC1B9}" name="Column6031"/>
    <tableColumn id="6039" xr3:uid="{43ECC69F-D913-4E33-AB4B-719D6CD55D22}" name="Column6032"/>
    <tableColumn id="6040" xr3:uid="{F3A5FD00-5027-4929-92C9-74C1B942B62D}" name="Column6033"/>
    <tableColumn id="6041" xr3:uid="{ED6DE600-26C8-4994-84CC-08EA0F9579EE}" name="Column6034"/>
    <tableColumn id="6042" xr3:uid="{978807F5-F1AE-4351-BEC1-E4510284A0A2}" name="Column6035"/>
    <tableColumn id="6043" xr3:uid="{6EBB3FE2-4394-41DC-959B-B23A7DD50530}" name="Column6036"/>
    <tableColumn id="6044" xr3:uid="{BBB7CF15-4C6F-4FF2-81FB-E2861AC2516B}" name="Column6037"/>
    <tableColumn id="6045" xr3:uid="{C2475F48-E14C-4B13-8EBA-31B1B7C315BD}" name="Column6038"/>
    <tableColumn id="6046" xr3:uid="{41CEEB9C-637D-4D2B-A0CC-0CEC956B659F}" name="Column6039"/>
    <tableColumn id="6047" xr3:uid="{82CC9417-ABE5-4AAF-A855-4835B2F40D34}" name="Column6040"/>
    <tableColumn id="6048" xr3:uid="{0EBA0740-DD48-4807-AE93-80769933FFDB}" name="Column6041"/>
    <tableColumn id="6049" xr3:uid="{49DA89FE-D7B6-4BC3-9855-A4AD2A4EFEEC}" name="Column6042"/>
    <tableColumn id="6050" xr3:uid="{C7436FE6-D000-492D-A4A7-B3ABE7A361F4}" name="Column6043"/>
    <tableColumn id="6051" xr3:uid="{37600B60-47B6-4A6E-94E1-BAAF612BF8F5}" name="Column6044"/>
    <tableColumn id="6052" xr3:uid="{6019F72B-1CEF-4D5D-9C20-F7B2761E68EE}" name="Column6045"/>
    <tableColumn id="6053" xr3:uid="{C0A1D174-CF10-49A6-9578-DDD2132A60B2}" name="Column6046"/>
    <tableColumn id="6054" xr3:uid="{18514F1D-B1F8-4C7B-BFFD-BB0EE15DA5E6}" name="Column6047"/>
    <tableColumn id="6055" xr3:uid="{39290C77-56C6-47BE-9CD9-ABED20D01FA8}" name="Column6048"/>
    <tableColumn id="6056" xr3:uid="{768DF274-2CB5-4572-A2E7-4315257ABDCE}" name="Column6049"/>
    <tableColumn id="6057" xr3:uid="{82231649-6BEA-4AF7-91D9-6B4B2C114F22}" name="Column6050"/>
    <tableColumn id="6058" xr3:uid="{87978B1E-7DC6-45EF-ACBA-A5994C942091}" name="Column6051"/>
    <tableColumn id="6059" xr3:uid="{7B646206-C5B0-468C-81B2-79411B52C94F}" name="Column6052"/>
    <tableColumn id="6060" xr3:uid="{472BBD32-FCAA-46FF-ADB0-6D2550D12686}" name="Column6053"/>
    <tableColumn id="6061" xr3:uid="{300F5092-444B-4C0F-9585-11C5E4D45092}" name="Column6054"/>
    <tableColumn id="6062" xr3:uid="{3C0B6E1C-A1FA-4F93-A977-6404F0FE33D7}" name="Column6055"/>
    <tableColumn id="6063" xr3:uid="{5B537822-BD36-4E91-BBA0-232279C48A74}" name="Column6056"/>
    <tableColumn id="6064" xr3:uid="{F2C10439-26AE-45CA-8C4B-EA0B070130FE}" name="Column6057"/>
    <tableColumn id="6065" xr3:uid="{7903B8DF-16C2-4981-958E-635398EA14CE}" name="Column6058"/>
    <tableColumn id="6066" xr3:uid="{88292A1E-C287-470C-AA86-03FD16C22E35}" name="Column6059"/>
    <tableColumn id="6067" xr3:uid="{1983AF95-363D-48BE-8041-8888D604AD14}" name="Column6060"/>
    <tableColumn id="6068" xr3:uid="{DB546CB8-A390-432A-918E-1EC9FA0505E3}" name="Column6061"/>
    <tableColumn id="6069" xr3:uid="{E54499BB-96EA-4ED4-950B-9D49802DFAE2}" name="Column6062"/>
    <tableColumn id="6070" xr3:uid="{19895C71-1282-49B2-A638-56A592186CAD}" name="Column6063"/>
    <tableColumn id="6071" xr3:uid="{7C79BFA1-49B2-492E-A2D5-6A4EF278D9D7}" name="Column6064"/>
    <tableColumn id="6072" xr3:uid="{59D0C5A8-C1BD-404B-B3D1-F7E3AAA8A627}" name="Column6065"/>
    <tableColumn id="6073" xr3:uid="{E0C203AF-5585-4A15-9BD0-E9C76AC87B88}" name="Column6066"/>
    <tableColumn id="6074" xr3:uid="{9F84B178-9B23-4EF9-BD8F-F03FCD8EF1E4}" name="Column6067"/>
    <tableColumn id="6075" xr3:uid="{E3388A8A-8C80-4B11-95EB-D56DEF2E3812}" name="Column6068"/>
    <tableColumn id="6076" xr3:uid="{93AF629D-B4FA-4B25-BF4C-8CFE4F069810}" name="Column6069"/>
    <tableColumn id="6077" xr3:uid="{98CD640D-3204-4F91-BB92-77B0E98C7207}" name="Column6070"/>
    <tableColumn id="6078" xr3:uid="{E068D05A-874B-485A-9048-16ADD1CFD678}" name="Column6071"/>
    <tableColumn id="6079" xr3:uid="{AC8D307F-648B-4832-AAFD-3B5C3580266F}" name="Column6072"/>
    <tableColumn id="6080" xr3:uid="{06227169-B00C-4070-8300-4E2BBB1B1AFF}" name="Column6073"/>
    <tableColumn id="6081" xr3:uid="{B6B2BA2C-3440-4E10-95BD-15FCB2A35EE6}" name="Column6074"/>
    <tableColumn id="6082" xr3:uid="{3E3148A8-E38A-4E8C-9695-A1712685C912}" name="Column6075"/>
    <tableColumn id="6083" xr3:uid="{C96D166C-0A80-42BC-B261-49719A804320}" name="Column6076"/>
    <tableColumn id="6084" xr3:uid="{E04AF08A-BFD7-4408-891A-F0AB506D5858}" name="Column6077"/>
    <tableColumn id="6085" xr3:uid="{5CD3527C-7D57-445E-84E9-AEA6B0657337}" name="Column6078"/>
    <tableColumn id="6086" xr3:uid="{0BDE3BDE-57FD-4200-9954-4E4EC91183FB}" name="Column6079"/>
    <tableColumn id="6087" xr3:uid="{02B30183-AA6E-49DF-966E-79FBCB845AAF}" name="Column6080"/>
    <tableColumn id="6088" xr3:uid="{D1833429-D1BB-4085-BA6A-C3588B11FB51}" name="Column6081"/>
    <tableColumn id="6089" xr3:uid="{4D563D12-0862-43B9-B46C-E08879917AA2}" name="Column6082"/>
    <tableColumn id="6090" xr3:uid="{2CB7957E-BDFF-4C8E-B7E5-39C19B3DF107}" name="Column6083"/>
    <tableColumn id="6091" xr3:uid="{DFE826E1-BED2-43E1-BF7B-85A6CCCEE89A}" name="Column6084"/>
    <tableColumn id="6092" xr3:uid="{6B081C42-3420-4BD6-AA32-96A4D019BCE8}" name="Column6085"/>
    <tableColumn id="6093" xr3:uid="{E45039F1-D5ED-4A98-88BC-4A1FBEE6E8D6}" name="Column6086"/>
    <tableColumn id="6094" xr3:uid="{990D1203-8412-4F35-A5F3-CC5C2BEA57FF}" name="Column6087"/>
    <tableColumn id="6095" xr3:uid="{7E3477A9-CD78-4929-99A7-10E8DBFFEB00}" name="Column6088"/>
    <tableColumn id="6096" xr3:uid="{960088CB-92CD-449A-9A60-CB3974AF3452}" name="Column6089"/>
    <tableColumn id="6097" xr3:uid="{8FCBE9C8-75A5-4018-9B79-F604DF6ADDCE}" name="Column6090"/>
    <tableColumn id="6098" xr3:uid="{D986C1E3-A39D-400F-8EDC-DFF090E61009}" name="Column6091"/>
    <tableColumn id="6099" xr3:uid="{A27D0B25-4B01-4607-BA6A-BF81C7B477FB}" name="Column6092"/>
    <tableColumn id="6100" xr3:uid="{4339F728-363C-4EA4-83F6-BF71E4455526}" name="Column6093"/>
    <tableColumn id="6101" xr3:uid="{E373B7F3-588E-40F7-8172-F97983016B69}" name="Column6094"/>
    <tableColumn id="6102" xr3:uid="{8C0232B5-A3D6-4637-84AC-DAC666110C74}" name="Column6095"/>
    <tableColumn id="6103" xr3:uid="{7DD40378-F3E8-42AE-B155-3069FCB99111}" name="Column6096"/>
    <tableColumn id="6104" xr3:uid="{FDEFBB41-2F98-456C-BBEA-02FC51943C41}" name="Column6097"/>
    <tableColumn id="6105" xr3:uid="{F133E790-B125-4479-88DE-2B8A889DE08A}" name="Column6098"/>
    <tableColumn id="6106" xr3:uid="{BD436A9C-710D-4BE3-BCA9-49099343982B}" name="Column6099"/>
    <tableColumn id="6107" xr3:uid="{38C91D2A-2576-4054-B5A6-825617B0749C}" name="Column6100"/>
    <tableColumn id="6108" xr3:uid="{CDBBCD32-F60A-48A2-A69B-D272BF5A5EE8}" name="Column6101"/>
    <tableColumn id="6109" xr3:uid="{A3AFB4A9-091C-4F41-A220-8F79736DE41F}" name="Column6102"/>
    <tableColumn id="6110" xr3:uid="{E5020F5D-37FC-4071-8D37-0D3867D32F78}" name="Column6103"/>
    <tableColumn id="6111" xr3:uid="{D668E1B6-1EF9-4EEC-917E-5FB11829D645}" name="Column6104"/>
    <tableColumn id="6112" xr3:uid="{C1DF35A7-C20F-4C0A-9DDC-5759C19BF3D7}" name="Column6105"/>
    <tableColumn id="6113" xr3:uid="{2D2ADA78-3186-4B6E-9F10-3E35C3D67490}" name="Column6106"/>
    <tableColumn id="6114" xr3:uid="{B5CBD4E9-5B63-470F-A07E-1ABDB51922AC}" name="Column6107"/>
    <tableColumn id="6115" xr3:uid="{24148676-B14F-4D53-9850-901A03FF8F56}" name="Column6108"/>
    <tableColumn id="6116" xr3:uid="{0ABDE0EE-3E4D-42E2-9F73-CAC629EF3484}" name="Column6109"/>
    <tableColumn id="6117" xr3:uid="{51DEEE97-3C59-453A-9BCC-6C3E9B8BC889}" name="Column6110"/>
    <tableColumn id="6118" xr3:uid="{BB30C49C-5FE8-4AF0-8449-11E0C1451B29}" name="Column6111"/>
    <tableColumn id="6119" xr3:uid="{7CC8EBBC-8638-4347-ADCF-0D40FD7FE2E5}" name="Column6112"/>
    <tableColumn id="6120" xr3:uid="{D1638267-7428-440A-988D-8DDCBE66C30A}" name="Column6113"/>
    <tableColumn id="6121" xr3:uid="{0CE200E5-F817-4CB2-89AD-F4C91B471A42}" name="Column6114"/>
    <tableColumn id="6122" xr3:uid="{3F85CDC1-3E13-4C62-8DAC-0A4F031502D7}" name="Column6115"/>
    <tableColumn id="6123" xr3:uid="{4B46ABBF-CAED-493A-A02B-809FFA94336D}" name="Column6116"/>
    <tableColumn id="6124" xr3:uid="{5BEAD544-5F6A-4CA0-ADB5-C03EC6FCF2B7}" name="Column6117"/>
    <tableColumn id="6125" xr3:uid="{A533C78A-041C-425B-90BF-DD8E4A166969}" name="Column6118"/>
    <tableColumn id="6126" xr3:uid="{16ADE7E1-B49F-449F-B304-CF7AB972720E}" name="Column6119"/>
    <tableColumn id="6127" xr3:uid="{AF51A0E9-3B23-49AF-9F17-E4410405D41F}" name="Column6120"/>
    <tableColumn id="6128" xr3:uid="{EF6855C1-44B0-4735-BD3E-620C823D281F}" name="Column6121"/>
    <tableColumn id="6129" xr3:uid="{CB637499-BEDB-4A19-8524-E22845DA267A}" name="Column6122"/>
    <tableColumn id="6130" xr3:uid="{1C97432A-3648-41E1-9632-A246EE024C85}" name="Column6123"/>
    <tableColumn id="6131" xr3:uid="{39C95E13-FA80-47D4-81E9-35519E933269}" name="Column6124"/>
    <tableColumn id="6132" xr3:uid="{B8214DD0-AF2D-4397-A4C5-EF7E660950CA}" name="Column6125"/>
    <tableColumn id="6133" xr3:uid="{2109E671-BE05-41D5-9130-3963DE5A98CA}" name="Column6126"/>
    <tableColumn id="6134" xr3:uid="{52A524C2-08E4-4297-B1F5-14C4CE090A84}" name="Column6127"/>
    <tableColumn id="6135" xr3:uid="{D27A85BB-E719-4B24-87EE-2F8CA063071C}" name="Column6128"/>
    <tableColumn id="6136" xr3:uid="{6C3FC641-5FEB-4C59-B4FE-BB34B9DF61E4}" name="Column6129"/>
    <tableColumn id="6137" xr3:uid="{12B60CF1-C5FD-4EFB-A788-3A6B775D68E6}" name="Column6130"/>
    <tableColumn id="6138" xr3:uid="{5C5BC8C7-942C-4ECD-866F-320E3B875256}" name="Column6131"/>
    <tableColumn id="6139" xr3:uid="{89506F0F-543A-4EBA-B499-22C9BFB5F537}" name="Column6132"/>
    <tableColumn id="6140" xr3:uid="{88DBE1C9-FFCE-46BD-9C71-D28041225415}" name="Column6133"/>
    <tableColumn id="6141" xr3:uid="{376C27ED-782E-44C1-BC28-4CF04C43CDFB}" name="Column6134"/>
    <tableColumn id="6142" xr3:uid="{7ECE6CE6-72E7-478C-8317-1189069167D6}" name="Column6135"/>
    <tableColumn id="6143" xr3:uid="{27A805EA-F293-456B-ADB4-2C1898574DC0}" name="Column6136"/>
    <tableColumn id="6144" xr3:uid="{DF32A120-7855-4283-B98A-998C6DACF11C}" name="Column6137"/>
    <tableColumn id="6145" xr3:uid="{32D6DC35-F4F0-4BC4-B7FB-84638FFC7D96}" name="Column6138"/>
    <tableColumn id="6146" xr3:uid="{1120714D-E639-4316-AA37-1155105AF6FF}" name="Column6139"/>
    <tableColumn id="6147" xr3:uid="{982A3E54-97A1-4FB4-B5C6-1A2F9E0089EA}" name="Column6140"/>
    <tableColumn id="6148" xr3:uid="{764FE3B8-13E4-4CBA-BA1E-AD83F89BA312}" name="Column6141"/>
    <tableColumn id="6149" xr3:uid="{1457EEDC-D858-4202-B614-704215FD7FC8}" name="Column6142"/>
    <tableColumn id="6150" xr3:uid="{48E03A49-0485-4554-8304-81FF3ABCEFB9}" name="Column6143"/>
    <tableColumn id="6151" xr3:uid="{898593A6-D949-4AAD-B5E1-49E52DE89AF5}" name="Column6144"/>
    <tableColumn id="6152" xr3:uid="{3EF537A5-0217-4ED9-9D26-6D6087A84D7E}" name="Column6145"/>
    <tableColumn id="6153" xr3:uid="{CAD8C979-268B-4A0D-AEB6-EEA5B94B6B19}" name="Column6146"/>
    <tableColumn id="6154" xr3:uid="{34826863-21B7-4235-AD59-FBBAE24A4F11}" name="Column6147"/>
    <tableColumn id="6155" xr3:uid="{1ECA6E54-17AD-40A0-A668-CD2F3858DD79}" name="Column6148"/>
    <tableColumn id="6156" xr3:uid="{64FE80D2-5890-48D3-B98A-ABF01136918E}" name="Column6149"/>
    <tableColumn id="6157" xr3:uid="{7BB38EBD-5A87-4967-9072-330AEB70E1ED}" name="Column6150"/>
    <tableColumn id="6158" xr3:uid="{ACC5A2B0-7FAD-4EBB-9432-C1177B575F91}" name="Column6151"/>
    <tableColumn id="6159" xr3:uid="{839A0B22-4320-4860-9DA0-BD97F56E7DF1}" name="Column6152"/>
    <tableColumn id="6160" xr3:uid="{EB391A7F-1B62-4E92-B31C-FD5DED36D8CE}" name="Column6153"/>
    <tableColumn id="6161" xr3:uid="{8F51AE88-CA09-4624-9EE6-C9112F1A07F4}" name="Column6154"/>
    <tableColumn id="6162" xr3:uid="{D5A03BBA-3565-41AF-8EF8-D749879A3B19}" name="Column6155"/>
    <tableColumn id="6163" xr3:uid="{9B671014-322E-4271-BC0E-DDD17D4A8E55}" name="Column6156"/>
    <tableColumn id="6164" xr3:uid="{7FFC8430-8958-4BDF-B438-DDA172B3D217}" name="Column6157"/>
    <tableColumn id="6165" xr3:uid="{FE14ABDD-BC58-4F4A-8957-176B1EBFD0EC}" name="Column6158"/>
    <tableColumn id="6166" xr3:uid="{2A7D2BDB-5E6F-4C06-8602-8EE77A692A9E}" name="Column6159"/>
    <tableColumn id="6167" xr3:uid="{696455A9-9346-4847-89E9-03F83513769A}" name="Column6160"/>
    <tableColumn id="6168" xr3:uid="{26D2608A-5B40-4F7A-8E43-CC8A4BD29194}" name="Column6161"/>
    <tableColumn id="6169" xr3:uid="{B1598E64-2DE8-413A-8CD8-34BDBDFB180A}" name="Column6162"/>
    <tableColumn id="6170" xr3:uid="{BF42253F-0247-4185-99DD-ED0AFBCAFC8B}" name="Column6163"/>
    <tableColumn id="6171" xr3:uid="{E227D375-4BF7-45AF-BE6F-637D4A90D9BF}" name="Column6164"/>
    <tableColumn id="6172" xr3:uid="{A823B0A5-473D-448D-958A-AF686167F5B8}" name="Column6165"/>
    <tableColumn id="6173" xr3:uid="{FD4208DB-FC71-4D70-A70A-E5C1723CB676}" name="Column6166"/>
    <tableColumn id="6174" xr3:uid="{168210BB-9CEC-4260-895D-4DCFDEE4BEC5}" name="Column6167"/>
    <tableColumn id="6175" xr3:uid="{9F9CF061-D543-45B1-9CCA-CB85E69A22E1}" name="Column6168"/>
    <tableColumn id="6176" xr3:uid="{082CCE16-2A49-4239-8070-B90D0A06DB41}" name="Column6169"/>
    <tableColumn id="6177" xr3:uid="{5431EC55-1122-4B62-865F-A24E4255D831}" name="Column6170"/>
    <tableColumn id="6178" xr3:uid="{70017801-BFA5-418D-98F9-95787F9D7D5D}" name="Column6171"/>
    <tableColumn id="6179" xr3:uid="{21650B30-6646-4C2E-82D0-23DF0C4C9C3A}" name="Column6172"/>
    <tableColumn id="6180" xr3:uid="{05510C69-782C-4175-9585-29CC0A724E27}" name="Column6173"/>
    <tableColumn id="6181" xr3:uid="{210EA848-32AD-4089-9259-6AD24EDA52AB}" name="Column6174"/>
    <tableColumn id="6182" xr3:uid="{7B078869-0093-438C-9200-49DD46298847}" name="Column6175"/>
    <tableColumn id="6183" xr3:uid="{D27E75A7-4AA9-4004-95B9-B449DB9C9FD5}" name="Column6176"/>
    <tableColumn id="6184" xr3:uid="{31D34BC7-810C-484B-9C7D-DFD767903504}" name="Column6177"/>
    <tableColumn id="6185" xr3:uid="{DFC588A4-6B83-4614-9F8E-204E3B5C5C87}" name="Column6178"/>
    <tableColumn id="6186" xr3:uid="{637FE1B5-0869-4340-93CB-17B418A7F46F}" name="Column6179"/>
    <tableColumn id="6187" xr3:uid="{CB21722B-E886-44EB-809A-E0BACD754FB7}" name="Column6180"/>
    <tableColumn id="6188" xr3:uid="{4809361E-97F5-4594-B227-39F1C1FB0785}" name="Column6181"/>
    <tableColumn id="6189" xr3:uid="{D25616B2-070D-4FB2-8742-A3DB80D6AE2F}" name="Column6182"/>
    <tableColumn id="6190" xr3:uid="{5BDC27D8-07A0-4240-8399-559A08B5A9B7}" name="Column6183"/>
    <tableColumn id="6191" xr3:uid="{A1B86D98-052E-4664-B479-4BD0504C908B}" name="Column6184"/>
    <tableColumn id="6192" xr3:uid="{9BC23CEF-F16B-48B2-A2D9-322DBF2FDDD1}" name="Column6185"/>
    <tableColumn id="6193" xr3:uid="{28E9D56C-B8B8-4E75-8EF5-34698A469973}" name="Column6186"/>
    <tableColumn id="6194" xr3:uid="{FCC58329-A646-4BAA-8FFC-97A083214A2B}" name="Column6187"/>
    <tableColumn id="6195" xr3:uid="{A8E007E6-CD43-4AE5-B8F1-012AB625C596}" name="Column6188"/>
    <tableColumn id="6196" xr3:uid="{9ADC3B14-6AC8-4ED6-AE48-BDFC6EEAC8FD}" name="Column6189"/>
    <tableColumn id="6197" xr3:uid="{69F20738-8ED2-468F-94F2-AB5C1D9288CC}" name="Column6190"/>
    <tableColumn id="6198" xr3:uid="{78501F88-4B7D-4B95-A1E5-F4161BAAEC9F}" name="Column6191"/>
    <tableColumn id="6199" xr3:uid="{D071901D-9C53-4601-83AF-A5837D401823}" name="Column6192"/>
    <tableColumn id="6200" xr3:uid="{774AB3E1-71F4-4FB2-A0C7-1C7CF9BA8E7F}" name="Column6193"/>
    <tableColumn id="6201" xr3:uid="{BC137F98-8319-4F4C-B39B-004219A4D2CA}" name="Column6194"/>
    <tableColumn id="6202" xr3:uid="{EAF48AD1-14D0-4822-89AF-89F226943117}" name="Column6195"/>
    <tableColumn id="6203" xr3:uid="{EA870D8C-7EF3-440D-A83B-A2BFC5C28EA1}" name="Column6196"/>
    <tableColumn id="6204" xr3:uid="{756836AB-7C75-4C76-A724-9D9B7091DBCD}" name="Column6197"/>
    <tableColumn id="6205" xr3:uid="{332BF83A-4327-4CDB-BF1B-E58BC0D6AFD8}" name="Column6198"/>
    <tableColumn id="6206" xr3:uid="{F7B973BB-F7F5-4422-BAA9-3CEE4182855D}" name="Column6199"/>
    <tableColumn id="6207" xr3:uid="{606EE97F-B7C3-45A9-A15F-B465EB4202EF}" name="Column6200"/>
    <tableColumn id="6208" xr3:uid="{66EBC093-C2FD-4A6D-99FC-1810AA4795B8}" name="Column6201"/>
    <tableColumn id="6209" xr3:uid="{D1C373A5-551D-486A-96FA-0A0829C7FCEA}" name="Column6202"/>
    <tableColumn id="6210" xr3:uid="{E636AE33-583B-49CD-86A0-26509E6CC233}" name="Column6203"/>
    <tableColumn id="6211" xr3:uid="{DF66A4BB-7FB8-4AA8-A4D0-92D8A75758A5}" name="Column6204"/>
    <tableColumn id="6212" xr3:uid="{AA1D6D2A-0880-4726-970F-DE6F7FB0B102}" name="Column6205"/>
    <tableColumn id="6213" xr3:uid="{4B7E1CA6-4FA1-48B9-B527-683107B6AC38}" name="Column6206"/>
    <tableColumn id="6214" xr3:uid="{CC4427AA-1731-4161-8B73-DB9B533E5DB2}" name="Column6207"/>
    <tableColumn id="6215" xr3:uid="{0087F8F4-44D9-4ACA-A4D4-424A7E585FF5}" name="Column6208"/>
    <tableColumn id="6216" xr3:uid="{F1932C75-F144-4CCA-9597-2AEF60F57B79}" name="Column6209"/>
    <tableColumn id="6217" xr3:uid="{71E30020-D3C1-446C-ACED-A24F8ADCEF93}" name="Column6210"/>
    <tableColumn id="6218" xr3:uid="{D34FFB22-C6FF-4F52-B431-770EF252BE8A}" name="Column6211"/>
    <tableColumn id="6219" xr3:uid="{AB04E9A5-2FCB-48CB-8FF4-C35612C12E9A}" name="Column6212"/>
    <tableColumn id="6220" xr3:uid="{7FD5CC93-26CC-47CB-AF05-AAD2788BDB8D}" name="Column6213"/>
    <tableColumn id="6221" xr3:uid="{43D070A7-3B54-492E-A8F5-24774A756E40}" name="Column6214"/>
    <tableColumn id="6222" xr3:uid="{A3F1C9C5-DFC4-4A5F-9588-8772FA6D2DF1}" name="Column6215"/>
    <tableColumn id="6223" xr3:uid="{7989D507-88D1-467B-9762-CA02D7E35068}" name="Column6216"/>
    <tableColumn id="6224" xr3:uid="{8CDD771D-CEF4-4B1F-BD5E-A95882E31854}" name="Column6217"/>
    <tableColumn id="6225" xr3:uid="{43CD90F3-5351-4FCD-82D2-23A7DC551DED}" name="Column6218"/>
    <tableColumn id="6226" xr3:uid="{5DBDC8A4-0FCD-48E9-BD3B-F9A2C3EA1F65}" name="Column6219"/>
    <tableColumn id="6227" xr3:uid="{8F0C8298-9EE6-4BB5-8D97-A9E877CF7202}" name="Column6220"/>
    <tableColumn id="6228" xr3:uid="{33917B15-2B19-4BAF-B9C8-92A2D4C4521A}" name="Column6221"/>
    <tableColumn id="6229" xr3:uid="{93E7D830-E989-450B-AF6A-B4B970FCFD52}" name="Column6222"/>
    <tableColumn id="6230" xr3:uid="{061FA922-E12F-42C2-BED6-17C80DCD7632}" name="Column6223"/>
    <tableColumn id="6231" xr3:uid="{2F03D431-7FE5-461C-A08D-3CEE06D797E3}" name="Column6224"/>
    <tableColumn id="6232" xr3:uid="{4BF80C67-0F51-4A90-AA13-C233E411636D}" name="Column6225"/>
    <tableColumn id="6233" xr3:uid="{1E8CA60D-2E48-45D2-B15B-615C7465D1CF}" name="Column6226"/>
    <tableColumn id="6234" xr3:uid="{D3A66DD9-9195-4B4D-980D-FAC669520D1D}" name="Column6227"/>
    <tableColumn id="6235" xr3:uid="{7AB92ADB-BDFE-4449-B952-A7B5E39E1EAB}" name="Column6228"/>
    <tableColumn id="6236" xr3:uid="{6943D0D2-53E0-477B-94B7-2F2F93C80F98}" name="Column6229"/>
    <tableColumn id="6237" xr3:uid="{B1AF8080-57E0-404A-8A6B-52B6E071CD23}" name="Column6230"/>
    <tableColumn id="6238" xr3:uid="{1EAEC7F2-227B-4792-8153-A623A764DE25}" name="Column6231"/>
    <tableColumn id="6239" xr3:uid="{40493977-29DF-4BFD-A6AD-48C63C9FFFC9}" name="Column6232"/>
    <tableColumn id="6240" xr3:uid="{F5C46827-3994-49A2-AA94-332D291A3DC6}" name="Column6233"/>
    <tableColumn id="6241" xr3:uid="{CE0A6A0F-9CFE-447F-94FA-B68227A17A70}" name="Column6234"/>
    <tableColumn id="6242" xr3:uid="{45AEDF56-7D78-4E09-823C-110784DE044E}" name="Column6235"/>
    <tableColumn id="6243" xr3:uid="{5355168A-A595-4337-B38E-4A1995248795}" name="Column6236"/>
    <tableColumn id="6244" xr3:uid="{ADE18A5B-7E05-41CA-BBDA-4E6CAF83E1A6}" name="Column6237"/>
    <tableColumn id="6245" xr3:uid="{F69741A9-5800-4CD6-B874-E56B3DFCEBC5}" name="Column6238"/>
    <tableColumn id="6246" xr3:uid="{64621888-71CA-4EF4-AB94-B568B0FD3167}" name="Column6239"/>
    <tableColumn id="6247" xr3:uid="{5274C1E2-AC28-4D30-B84A-5B43DB0C9B7C}" name="Column6240"/>
    <tableColumn id="6248" xr3:uid="{6287E097-8295-4323-B346-29B9F4990B5D}" name="Column6241"/>
    <tableColumn id="6249" xr3:uid="{366D9CAF-A269-4569-99A9-731B07B1C363}" name="Column6242"/>
    <tableColumn id="6250" xr3:uid="{35BCF332-FD77-4166-8458-6D71D2EE8DCC}" name="Column6243"/>
    <tableColumn id="6251" xr3:uid="{F325FBDA-B066-4E5B-8F07-EBCB5A8D26E8}" name="Column6244"/>
    <tableColumn id="6252" xr3:uid="{9212FD1A-BC72-4DC5-B85B-FFF710631F5B}" name="Column6245"/>
    <tableColumn id="6253" xr3:uid="{8D4B9348-85E8-4768-82F7-7CDE7A6B824F}" name="Column6246"/>
    <tableColumn id="6254" xr3:uid="{11AA9777-F811-43F2-85EC-9568624B8C47}" name="Column6247"/>
    <tableColumn id="6255" xr3:uid="{EA348DBB-BAC5-442B-91E9-8EF253DDD978}" name="Column6248"/>
    <tableColumn id="6256" xr3:uid="{2C6E03BA-8170-4559-8A7D-113437AB9ED2}" name="Column6249"/>
    <tableColumn id="6257" xr3:uid="{443CA0B3-DE54-43FA-A52C-AC0A1E2C3ED0}" name="Column6250"/>
    <tableColumn id="6258" xr3:uid="{337B62F6-30AF-456E-B455-953329A774D3}" name="Column6251"/>
    <tableColumn id="6259" xr3:uid="{6849D81B-3CB7-47B3-8D17-3C16062C9E24}" name="Column6252"/>
    <tableColumn id="6260" xr3:uid="{8F93FEC5-79A9-4B4C-8BD2-E0E980DBC32A}" name="Column6253"/>
    <tableColumn id="6261" xr3:uid="{AC28228F-FC62-4FDA-9154-1C670CF37E5F}" name="Column6254"/>
    <tableColumn id="6262" xr3:uid="{7C7AEE6D-CFC8-4585-907E-973A6BC9F987}" name="Column6255"/>
    <tableColumn id="6263" xr3:uid="{AE21809D-6CD2-4416-871D-39DE8B37E873}" name="Column6256"/>
    <tableColumn id="6264" xr3:uid="{24CD1566-0C4C-4E7F-B45E-34E6B1B21D95}" name="Column6257"/>
    <tableColumn id="6265" xr3:uid="{1D3B3408-0232-4B3D-BB92-9F663C32BDB6}" name="Column6258"/>
    <tableColumn id="6266" xr3:uid="{8EAD8640-2E54-4715-8453-2D7E59DBE298}" name="Column6259"/>
    <tableColumn id="6267" xr3:uid="{248D0FE3-CD1B-4DFF-8BD1-94167D1AE4C9}" name="Column6260"/>
    <tableColumn id="6268" xr3:uid="{F5CEC229-3C37-48D8-B68F-B2052E5F275F}" name="Column6261"/>
    <tableColumn id="6269" xr3:uid="{CD727C29-50F6-4701-8737-7C54353C0B40}" name="Column6262"/>
    <tableColumn id="6270" xr3:uid="{857BBCED-BEC5-482B-8ED5-2640F7EB8D18}" name="Column6263"/>
    <tableColumn id="6271" xr3:uid="{8273D3DB-45B5-4671-8E1E-482A117709E6}" name="Column6264"/>
    <tableColumn id="6272" xr3:uid="{A53D2378-5DEA-4041-B6C8-EC3DE663F404}" name="Column6265"/>
    <tableColumn id="6273" xr3:uid="{CBB8D0AA-CBF8-4A94-B399-9105CE4CA2C5}" name="Column6266"/>
    <tableColumn id="6274" xr3:uid="{9EFF98B7-5D31-401B-8ACF-024F6CD26A1D}" name="Column6267"/>
    <tableColumn id="6275" xr3:uid="{22F38BD1-54A5-4A2A-A2A7-9C1CD849D027}" name="Column6268"/>
    <tableColumn id="6276" xr3:uid="{6951351A-E222-4780-A16D-1BE2D15A9F52}" name="Column6269"/>
    <tableColumn id="6277" xr3:uid="{017F637B-7103-49BC-8313-68AF82036ED1}" name="Column6270"/>
    <tableColumn id="6278" xr3:uid="{FDB28FE5-3A70-4896-9B1A-6085B32C0129}" name="Column6271"/>
    <tableColumn id="6279" xr3:uid="{8EFD3EC5-698E-467E-96A5-639E26B49DDA}" name="Column6272"/>
    <tableColumn id="6280" xr3:uid="{E348B341-C15A-4329-9621-9C2CEA1C0524}" name="Column6273"/>
    <tableColumn id="6281" xr3:uid="{CBECEF36-084E-4EB1-988D-0CFB952EFF21}" name="Column6274"/>
    <tableColumn id="6282" xr3:uid="{B4A752B2-87B2-4BD3-BA93-3DDED4B3B78D}" name="Column6275"/>
    <tableColumn id="6283" xr3:uid="{8244C6EB-28A9-43AA-8A7F-9BF86396959D}" name="Column6276"/>
    <tableColumn id="6284" xr3:uid="{4A2FE987-FD3B-4160-B229-813FA62C2F9F}" name="Column6277"/>
    <tableColumn id="6285" xr3:uid="{9C165F3D-4206-489B-9BD3-255AF329CAE6}" name="Column6278"/>
    <tableColumn id="6286" xr3:uid="{8822EB98-4F8C-4794-870F-DC37767A6763}" name="Column6279"/>
    <tableColumn id="6287" xr3:uid="{A48726FE-D517-4198-A3FB-06258B110C96}" name="Column6280"/>
    <tableColumn id="6288" xr3:uid="{E31947AA-DF6A-410A-999A-0D05A125AE76}" name="Column6281"/>
    <tableColumn id="6289" xr3:uid="{1BA13F9F-BEB8-4F02-8502-2FA7E1622A2F}" name="Column6282"/>
    <tableColumn id="6290" xr3:uid="{2B2000CC-EBF7-4407-969E-12F8F6210C4F}" name="Column6283"/>
    <tableColumn id="6291" xr3:uid="{754E5BC8-D0FA-459A-8626-CCD15A35FAE3}" name="Column6284"/>
    <tableColumn id="6292" xr3:uid="{37D0A939-C87E-4AB9-904C-3B6937BF8C96}" name="Column6285"/>
    <tableColumn id="6293" xr3:uid="{77CB4B0F-53A9-47B8-9650-3D6240B6B2CB}" name="Column6286"/>
    <tableColumn id="6294" xr3:uid="{6C74BFAF-8257-4A04-B569-35D40DD250C0}" name="Column6287"/>
    <tableColumn id="6295" xr3:uid="{72B16061-45BE-4945-98DF-AF5EC3F365A0}" name="Column6288"/>
    <tableColumn id="6296" xr3:uid="{8C24DD78-7972-480C-9CF6-4A72B9B077EB}" name="Column6289"/>
    <tableColumn id="6297" xr3:uid="{AD98C392-521C-44DF-9E39-3FE6319D042D}" name="Column6290"/>
    <tableColumn id="6298" xr3:uid="{8A137BB2-472F-4ED0-9D5C-A944D0D5C27D}" name="Column6291"/>
    <tableColumn id="6299" xr3:uid="{6FDC3387-1B56-4D07-9BD1-CCF6086C6EEC}" name="Column6292"/>
    <tableColumn id="6300" xr3:uid="{EE117151-0E94-4AF6-B1A5-2BFE9BAF6521}" name="Column6293"/>
    <tableColumn id="6301" xr3:uid="{D084F484-523D-4F5A-9ED1-C9E841FB4947}" name="Column6294"/>
    <tableColumn id="6302" xr3:uid="{6CE7B4C1-E94E-4DF8-B624-5883564B3136}" name="Column6295"/>
    <tableColumn id="6303" xr3:uid="{7D78F315-3AB5-462A-8E61-4C436D3272E9}" name="Column6296"/>
    <tableColumn id="6304" xr3:uid="{81C74794-1406-400F-8C77-3054CBE11B35}" name="Column6297"/>
    <tableColumn id="6305" xr3:uid="{72629BBC-9831-4DEE-AA06-87CD7ADB5706}" name="Column6298"/>
    <tableColumn id="6306" xr3:uid="{2BF8859F-B6A0-41CE-AD45-D7116C0DC03A}" name="Column6299"/>
    <tableColumn id="6307" xr3:uid="{03CF5913-0779-4590-BA76-8E0EE2554A5A}" name="Column6300"/>
    <tableColumn id="6308" xr3:uid="{8ABEA01E-EE91-43BF-910F-7B2E40282181}" name="Column6301"/>
    <tableColumn id="6309" xr3:uid="{67E3998C-0A50-4AC4-82EC-3A13606DBDAF}" name="Column6302"/>
    <tableColumn id="6310" xr3:uid="{321B0A77-EFC2-407A-97D2-E7577F57389B}" name="Column6303"/>
    <tableColumn id="6311" xr3:uid="{CEF4AD19-86A0-4471-AE77-0A104CC3C767}" name="Column6304"/>
    <tableColumn id="6312" xr3:uid="{39C61692-1FB8-4B04-84F7-E464D0BAC99F}" name="Column6305"/>
    <tableColumn id="6313" xr3:uid="{D2ABA4EC-12FE-4A44-ADC9-7BBBE4F4D026}" name="Column6306"/>
    <tableColumn id="6314" xr3:uid="{C76EFA2B-FDEB-43D5-8C71-1BFB5364C1D4}" name="Column6307"/>
    <tableColumn id="6315" xr3:uid="{912EC91B-4AE7-4775-B90B-3E492814ED05}" name="Column6308"/>
    <tableColumn id="6316" xr3:uid="{ED2971DF-8AB3-4DD1-B460-1734FEBBC427}" name="Column6309"/>
    <tableColumn id="6317" xr3:uid="{BFBBEE55-6512-401B-9B51-D46DEC41C417}" name="Column6310"/>
    <tableColumn id="6318" xr3:uid="{07207799-3E7C-443B-A6D0-ADB2BD10E3CC}" name="Column6311"/>
    <tableColumn id="6319" xr3:uid="{368C5EA3-3AA2-4E08-BF8A-3B23E3527C14}" name="Column6312"/>
    <tableColumn id="6320" xr3:uid="{5DFB8646-C274-4325-A145-EE3614204208}" name="Column6313"/>
    <tableColumn id="6321" xr3:uid="{96D725A8-76AC-4200-9766-B2AAC71BC324}" name="Column6314"/>
    <tableColumn id="6322" xr3:uid="{660715B8-BF75-4349-9CE9-09E25F1DED79}" name="Column6315"/>
    <tableColumn id="6323" xr3:uid="{448C2687-81FD-495F-8297-3DA3643DF930}" name="Column6316"/>
    <tableColumn id="6324" xr3:uid="{D57B5F19-00AD-4C96-99CE-99FA9DF53BB8}" name="Column6317"/>
    <tableColumn id="6325" xr3:uid="{B8760A9F-5EAF-4D54-93FD-6A56C5555FA5}" name="Column6318"/>
    <tableColumn id="6326" xr3:uid="{1E42C88F-21C1-4B32-B46F-ED3FCB105229}" name="Column6319"/>
    <tableColumn id="6327" xr3:uid="{49B448B8-EA05-40DF-B708-8E3ACD853809}" name="Column6320"/>
    <tableColumn id="6328" xr3:uid="{4775B6F5-D94E-426A-92F3-5FC8435474C1}" name="Column6321"/>
    <tableColumn id="6329" xr3:uid="{6B860178-0761-40B7-9D20-B04008CA63BE}" name="Column6322"/>
    <tableColumn id="6330" xr3:uid="{87BEE05E-E92E-4405-B46D-C05AA2FE0669}" name="Column6323"/>
    <tableColumn id="6331" xr3:uid="{C7DF44DB-CAA6-4A63-B0C0-DD270C74CB0F}" name="Column6324"/>
    <tableColumn id="6332" xr3:uid="{CA604A65-DC96-4DD8-BF91-B1476F9FCE18}" name="Column6325"/>
    <tableColumn id="6333" xr3:uid="{55FBE46C-D1D4-4BEB-BAB0-DE3561DC25B7}" name="Column6326"/>
    <tableColumn id="6334" xr3:uid="{13B5D691-4FB8-40AA-863A-D95710F72AC3}" name="Column6327"/>
    <tableColumn id="6335" xr3:uid="{1100A31A-770B-4613-AD9C-0B964A193911}" name="Column6328"/>
    <tableColumn id="6336" xr3:uid="{55B3228E-110B-4C17-939E-64671549DA00}" name="Column6329"/>
    <tableColumn id="6337" xr3:uid="{355238AB-E725-43DD-8090-039279EDFB7C}" name="Column6330"/>
    <tableColumn id="6338" xr3:uid="{FCBE2A0F-3333-44CB-92A3-2F8622DE3CC3}" name="Column6331"/>
    <tableColumn id="6339" xr3:uid="{9F5EC283-A997-44E3-AE1D-92D6AC98CE45}" name="Column6332"/>
    <tableColumn id="6340" xr3:uid="{B6EA3FA3-CF1E-4C92-ABF7-AB647F980068}" name="Column6333"/>
    <tableColumn id="6341" xr3:uid="{59DE792C-BD43-4DD1-991A-76384DB2CA66}" name="Column6334"/>
    <tableColumn id="6342" xr3:uid="{AC84295B-8515-44A8-AA9E-98D7852F7E39}" name="Column6335"/>
    <tableColumn id="6343" xr3:uid="{C8686AA8-17A2-4D6F-A24E-AB37FBD87EA4}" name="Column6336"/>
    <tableColumn id="6344" xr3:uid="{16739907-BC93-417A-A19E-15F3DEA1727F}" name="Column6337"/>
    <tableColumn id="6345" xr3:uid="{DF8EED59-FD6B-443C-A223-44CC2BFCFC23}" name="Column6338"/>
    <tableColumn id="6346" xr3:uid="{F75C6BAB-A84B-46BF-856D-167CC496F638}" name="Column6339"/>
    <tableColumn id="6347" xr3:uid="{FEE3DB2B-4C00-4D68-824E-B7B24589B15B}" name="Column6340"/>
    <tableColumn id="6348" xr3:uid="{24977349-E85D-4716-AB70-77C23E47C3AC}" name="Column6341"/>
    <tableColumn id="6349" xr3:uid="{4D632490-F6B1-4AF9-9D51-E97354682740}" name="Column6342"/>
    <tableColumn id="6350" xr3:uid="{308DBC6A-B00F-40E5-B2A3-1BB39361BEAE}" name="Column6343"/>
    <tableColumn id="6351" xr3:uid="{C1AF8847-D303-40F6-AC69-F59296DD814D}" name="Column6344"/>
    <tableColumn id="6352" xr3:uid="{2EC6EE03-D6A0-49B6-9527-4A28115EE6B7}" name="Column6345"/>
    <tableColumn id="6353" xr3:uid="{0C66BE8C-0988-47A7-A72A-E3474715EA9F}" name="Column6346"/>
    <tableColumn id="6354" xr3:uid="{52260565-6D92-402E-8C97-6900D05DC26F}" name="Column6347"/>
    <tableColumn id="6355" xr3:uid="{7FC3E2AE-F4C5-45F2-BE35-6F977F0EA90A}" name="Column6348"/>
    <tableColumn id="6356" xr3:uid="{0B653E58-A04D-4098-8DD3-98139F7CABA1}" name="Column6349"/>
    <tableColumn id="6357" xr3:uid="{CD7F844B-FA7A-49DD-A0F2-52ADC6E033ED}" name="Column6350"/>
    <tableColumn id="6358" xr3:uid="{19EE7CCB-09CA-4FAE-B18F-1E0DC74CE82C}" name="Column6351"/>
    <tableColumn id="6359" xr3:uid="{EE1091E3-B7BD-45D1-B2E9-BF105EA78FFE}" name="Column6352"/>
    <tableColumn id="6360" xr3:uid="{CF7DFF43-72ED-479B-82FD-78261E39CA45}" name="Column6353"/>
    <tableColumn id="6361" xr3:uid="{48840DF2-EC0D-4594-ADEC-BC917B25CFBA}" name="Column6354"/>
    <tableColumn id="6362" xr3:uid="{2BF22A07-9FEC-4683-8BD3-C4CCB31B8A29}" name="Column6355"/>
    <tableColumn id="6363" xr3:uid="{43F04538-0B75-47EC-94D6-F64250330C15}" name="Column6356"/>
    <tableColumn id="6364" xr3:uid="{9DE304A8-954C-4A4C-A8BD-6005D7BCB4BB}" name="Column6357"/>
    <tableColumn id="6365" xr3:uid="{215CC2E6-8F28-4EF2-9205-35B08145BB66}" name="Column6358"/>
    <tableColumn id="6366" xr3:uid="{B64993E6-FD2C-462B-B34A-272692AFD596}" name="Column6359"/>
    <tableColumn id="6367" xr3:uid="{7E6C20AB-23EC-4804-820F-E73924430A04}" name="Column6360"/>
    <tableColumn id="6368" xr3:uid="{C514B40D-B4DB-4831-8A09-02E89475D322}" name="Column6361"/>
    <tableColumn id="6369" xr3:uid="{EAEF3F3D-996A-488F-B236-C8484E6952FB}" name="Column6362"/>
    <tableColumn id="6370" xr3:uid="{85E788A6-F5FF-4E25-91D3-1D89106C48AA}" name="Column6363"/>
    <tableColumn id="6371" xr3:uid="{875F393E-2B91-402F-AB4D-5FFF087F5615}" name="Column6364"/>
    <tableColumn id="6372" xr3:uid="{C68992CB-1827-4BE3-AC82-8BCD428DD37B}" name="Column6365"/>
    <tableColumn id="6373" xr3:uid="{AB2235F5-0640-4AFF-AD2E-9F59BF4FAAD7}" name="Column6366"/>
    <tableColumn id="6374" xr3:uid="{88C765E2-0B13-49BF-9C2C-DDCF0F415C5A}" name="Column6367"/>
    <tableColumn id="6375" xr3:uid="{88C2BA9B-50C5-4789-A6A1-BB73C6E6548C}" name="Column6368"/>
    <tableColumn id="6376" xr3:uid="{5743D98B-15F9-4C63-AC39-DE412D3373EF}" name="Column6369"/>
    <tableColumn id="6377" xr3:uid="{547E2B73-1EE1-4EDA-A07A-74EEF81E0E90}" name="Column6370"/>
    <tableColumn id="6378" xr3:uid="{EF5DBBE4-0EB1-4D73-8850-AE2AFF4BEA06}" name="Column6371"/>
    <tableColumn id="6379" xr3:uid="{9C0A0B2C-FEFF-4F72-9CEF-74C234138144}" name="Column6372"/>
    <tableColumn id="6380" xr3:uid="{52556AB4-DD2C-4934-921A-F1C0784AD523}" name="Column6373"/>
    <tableColumn id="6381" xr3:uid="{59626C8B-C74A-48C5-966C-3ABBC69807B4}" name="Column6374"/>
    <tableColumn id="6382" xr3:uid="{FE49A6E0-5682-480D-B5AC-4E92BA404E67}" name="Column6375"/>
    <tableColumn id="6383" xr3:uid="{56C3BEE9-C791-41C2-BF47-A1954DF86F00}" name="Column6376"/>
    <tableColumn id="6384" xr3:uid="{7CB8DB83-6EC9-47F7-BDB7-ABF0B9F9B904}" name="Column6377"/>
    <tableColumn id="6385" xr3:uid="{AF491743-4FCB-4261-B112-1DDEA0C57962}" name="Column6378"/>
    <tableColumn id="6386" xr3:uid="{4C316CE1-37B1-4BCB-AEFA-89AF1E38E122}" name="Column6379"/>
    <tableColumn id="6387" xr3:uid="{163694AC-6D5A-4560-A8F8-885DC3A72D33}" name="Column6380"/>
    <tableColumn id="6388" xr3:uid="{E949CCC7-CCD4-4AA5-8D82-02AD78017347}" name="Column6381"/>
    <tableColumn id="6389" xr3:uid="{0EDCB315-3953-4D15-905B-A07DA089BB71}" name="Column6382"/>
    <tableColumn id="6390" xr3:uid="{D334A6BD-CBC2-4458-910B-9EBDB17A44EF}" name="Column6383"/>
    <tableColumn id="6391" xr3:uid="{9C99D8C3-E83D-47A3-BB32-3E0789791052}" name="Column6384"/>
    <tableColumn id="6392" xr3:uid="{B61CC9BD-5894-4E54-8C58-EF7E0F40B132}" name="Column6385"/>
    <tableColumn id="6393" xr3:uid="{9622F224-E321-49AD-86C9-DCBD28224E49}" name="Column6386"/>
    <tableColumn id="6394" xr3:uid="{29483705-B9B2-45F6-A47C-E2307C27AF02}" name="Column6387"/>
    <tableColumn id="6395" xr3:uid="{FE88A557-D2EB-4E53-AE09-3B9D78A6A78A}" name="Column6388"/>
    <tableColumn id="6396" xr3:uid="{6B1F4FB9-F8F6-40F3-82C8-1ABC0166E913}" name="Column6389"/>
    <tableColumn id="6397" xr3:uid="{66708959-649D-4F22-9E19-FAD352E0F6A9}" name="Column6390"/>
    <tableColumn id="6398" xr3:uid="{838A81A0-213C-4518-BEE8-28BD59B83AAB}" name="Column6391"/>
    <tableColumn id="6399" xr3:uid="{31FBBC3A-C3E6-4231-A7A2-CDFFA322F487}" name="Column6392"/>
    <tableColumn id="6400" xr3:uid="{4AEC7C9F-BA6B-451A-A18F-F47DFD1A6CB9}" name="Column6393"/>
    <tableColumn id="6401" xr3:uid="{F7148F4D-F3AE-4059-8DD7-68CFDDCFBFA0}" name="Column6394"/>
    <tableColumn id="6402" xr3:uid="{AA187E5E-7B10-49F8-BA66-3226D5B9360F}" name="Column6395"/>
    <tableColumn id="6403" xr3:uid="{9AC04633-32D6-4665-BEB9-E226DAFFD5E8}" name="Column6396"/>
    <tableColumn id="6404" xr3:uid="{26531F1C-657F-4201-8FDA-4F05117B3F4D}" name="Column6397"/>
    <tableColumn id="6405" xr3:uid="{726427C6-0E8E-464C-86D7-B9907F9D9018}" name="Column6398"/>
    <tableColumn id="6406" xr3:uid="{D1B6038C-CB2E-44B8-B8D9-CDB31EA7DDE0}" name="Column6399"/>
    <tableColumn id="6407" xr3:uid="{D4B96709-64E6-4E3F-8BA5-F8021260E88A}" name="Column6400"/>
    <tableColumn id="6408" xr3:uid="{1EC49401-3B37-44AE-B743-BC631381A43E}" name="Column6401"/>
    <tableColumn id="6409" xr3:uid="{39C5B6CD-8C48-4AD8-9720-7A09CE67C71C}" name="Column6402"/>
    <tableColumn id="6410" xr3:uid="{CA6190E8-47F4-463C-8B5A-B0857B09A67C}" name="Column6403"/>
    <tableColumn id="6411" xr3:uid="{0ACD5CBC-057B-43C5-913A-4FAD0AFCE9FE}" name="Column6404"/>
    <tableColumn id="6412" xr3:uid="{FEE8941D-FC22-4CB1-A9BE-BD9812626478}" name="Column6405"/>
    <tableColumn id="6413" xr3:uid="{9052CE04-05F4-41B9-8C84-B3B21BC07F73}" name="Column6406"/>
    <tableColumn id="6414" xr3:uid="{F9FF6D48-4DB1-4DDA-B034-5AEDB05F367D}" name="Column6407"/>
    <tableColumn id="6415" xr3:uid="{F610289A-AE71-4AD3-9346-B0B41B68F40D}" name="Column6408"/>
    <tableColumn id="6416" xr3:uid="{B61FDF40-1973-4F9B-BA63-C60EF95F2B7E}" name="Column6409"/>
    <tableColumn id="6417" xr3:uid="{8221C629-4204-429A-8C6D-9758FD8534F3}" name="Column6410"/>
    <tableColumn id="6418" xr3:uid="{73EBA53C-9E64-451F-81CA-984F6FB85875}" name="Column6411"/>
    <tableColumn id="6419" xr3:uid="{9B274DF2-C44B-452E-8EAE-9C0217010007}" name="Column6412"/>
    <tableColumn id="6420" xr3:uid="{917E8294-61AE-4F85-A088-64A4E433C94B}" name="Column6413"/>
    <tableColumn id="6421" xr3:uid="{4FAB34BE-ECC2-41F5-B331-D7DF151C507C}" name="Column6414"/>
    <tableColumn id="6422" xr3:uid="{9813A07A-A5C6-4EC3-85B7-81179042DA48}" name="Column6415"/>
    <tableColumn id="6423" xr3:uid="{41B0BFC5-5294-4FA3-9E93-472F07B99962}" name="Column6416"/>
    <tableColumn id="6424" xr3:uid="{86F56017-8592-4568-8A37-12ABD57EAFEE}" name="Column6417"/>
    <tableColumn id="6425" xr3:uid="{6AC136F3-825F-4E07-A938-F38CDEA9C0C1}" name="Column6418"/>
    <tableColumn id="6426" xr3:uid="{42B80277-601A-4120-8CCB-D043CDCB82D1}" name="Column6419"/>
    <tableColumn id="6427" xr3:uid="{5FA63469-43EC-4AE7-944D-D1BFB318E480}" name="Column6420"/>
    <tableColumn id="6428" xr3:uid="{661FAB83-1DCB-4C5F-8DED-61CA59945A4F}" name="Column6421"/>
    <tableColumn id="6429" xr3:uid="{5068C208-A0E1-47FB-BBA8-03A4260E42CA}" name="Column6422"/>
    <tableColumn id="6430" xr3:uid="{6571536F-8712-415E-B0B4-398A22B9E198}" name="Column6423"/>
    <tableColumn id="6431" xr3:uid="{CB2EAE50-A9FC-4405-AA52-128A5F723564}" name="Column6424"/>
    <tableColumn id="6432" xr3:uid="{6B6274EB-3FC1-4853-ADBE-0A36AFD9ACF0}" name="Column6425"/>
    <tableColumn id="6433" xr3:uid="{EBFBD784-5FA7-4BD8-9ED6-BD4AC70B993C}" name="Column6426"/>
    <tableColumn id="6434" xr3:uid="{400AA26D-9CDC-46BE-A4E4-8573D5B809DA}" name="Column6427"/>
    <tableColumn id="6435" xr3:uid="{2795DF0B-FF5A-48E5-856B-913B13027FD4}" name="Column6428"/>
    <tableColumn id="6436" xr3:uid="{0CB92AB4-7E30-44BA-BB34-40F8588F2BCB}" name="Column6429"/>
    <tableColumn id="6437" xr3:uid="{E5E5AF23-701E-4809-BC52-7B89035AB71C}" name="Column6430"/>
    <tableColumn id="6438" xr3:uid="{7D4740DE-4D17-4FDA-85F9-36C34FC361E7}" name="Column6431"/>
    <tableColumn id="6439" xr3:uid="{AEB00252-E74E-4382-8B6C-20F2E8398C4A}" name="Column6432"/>
    <tableColumn id="6440" xr3:uid="{21FFFF6B-388B-497C-93D0-DF0F87C97E2D}" name="Column6433"/>
    <tableColumn id="6441" xr3:uid="{CF0B209F-931E-4826-8893-5A56081EE560}" name="Column6434"/>
    <tableColumn id="6442" xr3:uid="{A7C72811-839A-4934-967C-D45ECCA3EE4B}" name="Column6435"/>
    <tableColumn id="6443" xr3:uid="{1CFB3C4F-04C1-42B4-ACFD-F19A26DC676F}" name="Column6436"/>
    <tableColumn id="6444" xr3:uid="{4772BBFF-2D17-43A5-A806-A94E6BA81CE7}" name="Column6437"/>
    <tableColumn id="6445" xr3:uid="{26B34BC2-1874-4CA6-B7A8-D34076AC9CE7}" name="Column6438"/>
    <tableColumn id="6446" xr3:uid="{9EBCBD4D-20C5-4899-8C5D-283CD347D615}" name="Column6439"/>
    <tableColumn id="6447" xr3:uid="{4C535C44-A319-48B8-9B8B-E08DA8F89FA9}" name="Column6440"/>
    <tableColumn id="6448" xr3:uid="{E88BD613-E8EA-4B1A-8C99-FE6CD05274A4}" name="Column6441"/>
    <tableColumn id="6449" xr3:uid="{B76AF0CC-8AAA-4421-B1D2-9E6BE949B8F5}" name="Column6442"/>
    <tableColumn id="6450" xr3:uid="{C3BE8264-B843-43C1-B63E-8B7DB083B89E}" name="Column6443"/>
    <tableColumn id="6451" xr3:uid="{19D22A4A-80C6-4E5F-A090-E2211B61082F}" name="Column6444"/>
    <tableColumn id="6452" xr3:uid="{2C03CE3F-E2A7-4F11-BCCF-638D4F2AA335}" name="Column6445"/>
    <tableColumn id="6453" xr3:uid="{8D5F096A-1890-454A-8824-3E0C4AEFA110}" name="Column6446"/>
    <tableColumn id="6454" xr3:uid="{9945E1F3-DBE5-402D-A544-CFB5FA6004F4}" name="Column6447"/>
    <tableColumn id="6455" xr3:uid="{2E926874-BA7D-4CDE-BE8F-185E9D2F645A}" name="Column6448"/>
    <tableColumn id="6456" xr3:uid="{34417019-B33C-4ABF-B930-D9CF070BC737}" name="Column6449"/>
    <tableColumn id="6457" xr3:uid="{9C002BAD-9535-42A0-A0CB-BD3B7CC88DDC}" name="Column6450"/>
    <tableColumn id="6458" xr3:uid="{7F69025B-17BC-4D0F-9F1F-ED0B625EC657}" name="Column6451"/>
    <tableColumn id="6459" xr3:uid="{6709A1F2-597D-4A05-B13E-F8260601DE0A}" name="Column6452"/>
    <tableColumn id="6460" xr3:uid="{33EB87BC-3F9A-45A5-8BC3-9552FD1A5CB0}" name="Column6453"/>
    <tableColumn id="6461" xr3:uid="{3D011829-A3F7-46D5-B8D4-F0A3EC61A15E}" name="Column6454"/>
    <tableColumn id="6462" xr3:uid="{150F7F56-2355-4962-A42A-8701EE17D8B5}" name="Column6455"/>
    <tableColumn id="6463" xr3:uid="{ABBB3979-82F2-4694-BF13-04E70CBD1A90}" name="Column6456"/>
    <tableColumn id="6464" xr3:uid="{E6D15C41-B61D-4854-BE4D-998F17346584}" name="Column6457"/>
    <tableColumn id="6465" xr3:uid="{3058E4FE-93B5-40C2-8D68-1562EF8FFAFA}" name="Column6458"/>
    <tableColumn id="6466" xr3:uid="{F1B8CDEF-197A-42D9-920B-9B320E123047}" name="Column6459"/>
    <tableColumn id="6467" xr3:uid="{B62E3209-CCE5-4EB7-9A92-607CFEBAC777}" name="Column6460"/>
    <tableColumn id="6468" xr3:uid="{D2ACBF80-1EEB-421C-A75A-DEFC23EE3009}" name="Column6461"/>
    <tableColumn id="6469" xr3:uid="{198FB54E-1041-426A-BC54-491BCFE3E1BD}" name="Column6462"/>
    <tableColumn id="6470" xr3:uid="{F747D988-5C2C-4EE9-88C9-92B8C63E3202}" name="Column6463"/>
    <tableColumn id="6471" xr3:uid="{35ABF701-AAB0-4FA5-8457-33474FA04146}" name="Column6464"/>
    <tableColumn id="6472" xr3:uid="{E3E7C2D0-B816-4A50-A964-71B05E2DF1C4}" name="Column6465"/>
    <tableColumn id="6473" xr3:uid="{097EEE65-C066-45E7-AFA8-048140E5976E}" name="Column6466"/>
    <tableColumn id="6474" xr3:uid="{18C214C8-9FC7-4B93-A10D-8D3AE98295B3}" name="Column6467"/>
    <tableColumn id="6475" xr3:uid="{D824CF89-0203-43B2-BD4F-B844699708DB}" name="Column6468"/>
    <tableColumn id="6476" xr3:uid="{23C9EF52-8F43-46CA-B5D5-ABA0E4455FB5}" name="Column6469"/>
    <tableColumn id="6477" xr3:uid="{F5EEB59D-F5AF-44D0-8817-B4446A82767B}" name="Column6470"/>
    <tableColumn id="6478" xr3:uid="{D1438F96-C494-4ACC-8E30-A6305162F960}" name="Column6471"/>
    <tableColumn id="6479" xr3:uid="{30B6DA60-95D1-49D1-A7D3-F6AE6E28534D}" name="Column6472"/>
    <tableColumn id="6480" xr3:uid="{AF208C2D-489C-4ED0-9E1C-E2134644BC38}" name="Column6473"/>
    <tableColumn id="6481" xr3:uid="{CD7F0579-AC1C-4FBC-9C48-CC6C8E7C19BC}" name="Column6474"/>
    <tableColumn id="6482" xr3:uid="{234EF29A-0836-4EAA-9C56-192098E6D73D}" name="Column6475"/>
    <tableColumn id="6483" xr3:uid="{C8C90691-0063-437F-A26A-82AA5C117FB7}" name="Column6476"/>
    <tableColumn id="6484" xr3:uid="{EDB3C4A8-BEEA-4D48-B700-8AAC39355610}" name="Column6477"/>
    <tableColumn id="6485" xr3:uid="{84ACAE77-3DDC-495B-BFE1-EDDAC852A92F}" name="Column6478"/>
    <tableColumn id="6486" xr3:uid="{95332A8E-F88C-458E-9A46-77D6C755FF95}" name="Column6479"/>
    <tableColumn id="6487" xr3:uid="{35E49850-16A7-4DC6-B99E-7D767039660C}" name="Column6480"/>
    <tableColumn id="6488" xr3:uid="{DA24A4C6-C74F-4C90-8354-682A6F36C3A2}" name="Column6481"/>
    <tableColumn id="6489" xr3:uid="{DE6B243C-9825-4275-A345-FDFC6D804E81}" name="Column6482"/>
    <tableColumn id="6490" xr3:uid="{0F8E7A15-A07C-46D5-9578-BCAE57329066}" name="Column6483"/>
    <tableColumn id="6491" xr3:uid="{DA6B199E-1116-43DD-8533-3633484B918F}" name="Column6484"/>
    <tableColumn id="6492" xr3:uid="{F7EF2B78-848B-4ECF-BD82-E8BA81DBAFEB}" name="Column6485"/>
    <tableColumn id="6493" xr3:uid="{853BA695-E4CE-4424-A4ED-31380F049227}" name="Column6486"/>
    <tableColumn id="6494" xr3:uid="{2EED5840-0338-42E7-A49F-D29816AA4B39}" name="Column6487"/>
    <tableColumn id="6495" xr3:uid="{5DC7BBB9-4ADC-4677-84D8-68B1C5657EEA}" name="Column6488"/>
    <tableColumn id="6496" xr3:uid="{52136843-A24E-4A9E-AF11-715AF8205293}" name="Column6489"/>
    <tableColumn id="6497" xr3:uid="{539FBE80-7DB7-494F-817B-B0BA3D022E38}" name="Column6490"/>
    <tableColumn id="6498" xr3:uid="{A01B7A98-8751-43A3-A423-7718DC6FF2A0}" name="Column6491"/>
    <tableColumn id="6499" xr3:uid="{CD067935-9316-4C2B-9801-A56074437D92}" name="Column6492"/>
    <tableColumn id="6500" xr3:uid="{4250B9A3-6F4D-4204-BFF8-96B22FD87DBD}" name="Column6493"/>
    <tableColumn id="6501" xr3:uid="{3CD202F0-9D8B-476D-A6ED-83E469E5C437}" name="Column6494"/>
    <tableColumn id="6502" xr3:uid="{77DB9A94-9DB1-4428-BB8E-5D3C09A08882}" name="Column6495"/>
    <tableColumn id="6503" xr3:uid="{F673BA00-58AB-4123-B723-BA060EADBA23}" name="Column6496"/>
    <tableColumn id="6504" xr3:uid="{112E59D6-B1D5-4F0A-8E12-19EAECAEA424}" name="Column6497"/>
    <tableColumn id="6505" xr3:uid="{5780461B-B960-40A1-ABA3-9FBAFEEDE8DA}" name="Column6498"/>
    <tableColumn id="6506" xr3:uid="{269BD3EF-9C86-4848-91AE-AD6355A9FB12}" name="Column6499"/>
    <tableColumn id="6507" xr3:uid="{14B70CF7-6DE4-4B6E-ABB0-82336C193D28}" name="Column6500"/>
    <tableColumn id="6508" xr3:uid="{90AF64B3-7DA2-4FD8-8151-11085B00F011}" name="Column6501"/>
    <tableColumn id="6509" xr3:uid="{323C7B18-880C-4629-B722-FC6395952722}" name="Column6502"/>
    <tableColumn id="6510" xr3:uid="{4A74C7DC-71BF-4D46-B12D-96E8B5ABB817}" name="Column6503"/>
    <tableColumn id="6511" xr3:uid="{3E2363A1-60D7-4710-BFFB-A8A41E24FCD1}" name="Column6504"/>
    <tableColumn id="6512" xr3:uid="{FFCDE4FF-B6CE-4813-80F9-168B4212E482}" name="Column6505"/>
    <tableColumn id="6513" xr3:uid="{D61BEFB3-DC13-449E-94EC-E9AB62325F2E}" name="Column6506"/>
    <tableColumn id="6514" xr3:uid="{25A1724F-EC3F-4F89-BE4F-384D83CC91F9}" name="Column6507"/>
    <tableColumn id="6515" xr3:uid="{0A6E01FD-BF90-404D-A1CC-723B7A159123}" name="Column6508"/>
    <tableColumn id="6516" xr3:uid="{5441BB5F-38F9-473A-AAB7-67A0A041A05A}" name="Column6509"/>
    <tableColumn id="6517" xr3:uid="{8992B45A-470A-4EB9-942A-AE87F163AE1C}" name="Column6510"/>
    <tableColumn id="6518" xr3:uid="{D30A3208-4991-41C9-A646-32E39847150C}" name="Column6511"/>
    <tableColumn id="6519" xr3:uid="{4BDA5EAA-C4EB-4BE2-BB6B-A02BF6F33C12}" name="Column6512"/>
    <tableColumn id="6520" xr3:uid="{9B99698E-480C-4098-8DDE-F3F5301E6C06}" name="Column6513"/>
    <tableColumn id="6521" xr3:uid="{26D9511E-7973-4789-BA88-7432686D3D24}" name="Column6514"/>
    <tableColumn id="6522" xr3:uid="{B21D08C5-EAD1-4457-A45A-255E859B281F}" name="Column6515"/>
    <tableColumn id="6523" xr3:uid="{05416723-DE10-4683-A617-2AB5C67ABA7B}" name="Column6516"/>
    <tableColumn id="6524" xr3:uid="{7F816BFA-FED4-4B2D-8831-26EB0877E6E5}" name="Column6517"/>
    <tableColumn id="6525" xr3:uid="{5C0E3094-4D50-4871-9290-A1C865F09C02}" name="Column6518"/>
    <tableColumn id="6526" xr3:uid="{EC4E4735-ECEC-42CA-BBCA-8E7C1A65847E}" name="Column6519"/>
    <tableColumn id="6527" xr3:uid="{76508D06-7519-4741-9D96-4E771D2E09DA}" name="Column6520"/>
    <tableColumn id="6528" xr3:uid="{1D9D2D48-CA5D-4EB2-BDD6-C42D24A384A2}" name="Column6521"/>
    <tableColumn id="6529" xr3:uid="{1EA289F6-C08C-4B08-8F8F-980EE37048D9}" name="Column6522"/>
    <tableColumn id="6530" xr3:uid="{FE6FAAEC-BD85-428B-96C0-4EDEAC8B5EDA}" name="Column6523"/>
    <tableColumn id="6531" xr3:uid="{F594DBB3-E8B3-4399-88FE-6FCEC1988161}" name="Column6524"/>
    <tableColumn id="6532" xr3:uid="{0ADBF05F-4FD2-410D-947A-E1C88020BF57}" name="Column6525"/>
    <tableColumn id="6533" xr3:uid="{80C87F1E-96B4-4A4B-8859-C76228A2DA78}" name="Column6526"/>
    <tableColumn id="6534" xr3:uid="{D737EDC0-1372-43CC-8363-C907FD67C2D3}" name="Column6527"/>
    <tableColumn id="6535" xr3:uid="{DBAF8D15-0536-406C-9448-CC9D462984CB}" name="Column6528"/>
    <tableColumn id="6536" xr3:uid="{F9FD2DFF-5FBA-496A-BC57-512A504C86BA}" name="Column6529"/>
    <tableColumn id="6537" xr3:uid="{03C1B6B7-A858-4F3F-9296-626E9C687C14}" name="Column6530"/>
    <tableColumn id="6538" xr3:uid="{BC5B154A-1936-4902-845B-2B5C3D4B9CC0}" name="Column6531"/>
    <tableColumn id="6539" xr3:uid="{2EC19AFB-63A0-419A-9673-60A204D50D27}" name="Column6532"/>
    <tableColumn id="6540" xr3:uid="{36BA6B22-1356-4DED-9D12-8DA2E2F05362}" name="Column6533"/>
    <tableColumn id="6541" xr3:uid="{AA6F6195-8C1A-44E0-B405-56E6274C2BE0}" name="Column6534"/>
    <tableColumn id="6542" xr3:uid="{325415C8-F585-4B5F-B7BB-11EE1008FFEB}" name="Column6535"/>
    <tableColumn id="6543" xr3:uid="{6F4C5557-1422-4FB4-AB3F-AA687D2FA2A1}" name="Column6536"/>
    <tableColumn id="6544" xr3:uid="{543F79FB-17C1-45DD-97A1-FE63DB40E79A}" name="Column6537"/>
    <tableColumn id="6545" xr3:uid="{FAF0453B-A9C9-442A-9D86-B2CEFB423726}" name="Column6538"/>
    <tableColumn id="6546" xr3:uid="{757D5FF6-44DB-465C-9898-585C1F80CDE0}" name="Column6539"/>
    <tableColumn id="6547" xr3:uid="{95B328CC-A6EA-4C9D-BB7B-2DEB1FEE07E3}" name="Column6540"/>
    <tableColumn id="6548" xr3:uid="{10745035-573F-4800-925A-FFD41299B93B}" name="Column6541"/>
    <tableColumn id="6549" xr3:uid="{AA0DC635-762D-4F29-8086-9E9A5810FF2D}" name="Column6542"/>
    <tableColumn id="6550" xr3:uid="{91F4F204-93C8-468B-BD99-22B0F99663DC}" name="Column6543"/>
    <tableColumn id="6551" xr3:uid="{7119FBDC-E045-4E2D-B2F5-60AF8438552E}" name="Column6544"/>
    <tableColumn id="6552" xr3:uid="{6BB190FE-AB7E-493D-BC93-09B31FD2026A}" name="Column6545"/>
    <tableColumn id="6553" xr3:uid="{339352E4-E0E3-47B1-8203-2B18D054C870}" name="Column6546"/>
    <tableColumn id="6554" xr3:uid="{B26A1217-B4AF-4CBD-A5BA-EBD035FAD1C7}" name="Column6547"/>
    <tableColumn id="6555" xr3:uid="{5E2068C6-1604-4066-BB7A-C84361284878}" name="Column6548"/>
    <tableColumn id="6556" xr3:uid="{80B4AB29-5F07-41E2-BBDB-CBA8115C9749}" name="Column6549"/>
    <tableColumn id="6557" xr3:uid="{B2ACE0B2-7752-4316-9BF1-80C73F43E3E2}" name="Column6550"/>
    <tableColumn id="6558" xr3:uid="{A5432FC1-F06E-44C1-B463-5AC9A6A97041}" name="Column6551"/>
    <tableColumn id="6559" xr3:uid="{41323EC4-DFFA-4EAE-94C1-6E2F6AA3EFBD}" name="Column6552"/>
    <tableColumn id="6560" xr3:uid="{BB13EE88-7B18-4D47-A448-4920113A4E57}" name="Column6553"/>
    <tableColumn id="6561" xr3:uid="{B58C1F16-FC60-44FF-8D16-E806E2545AF8}" name="Column6554"/>
    <tableColumn id="6562" xr3:uid="{95A3716F-0B97-4904-80FA-53334DD2180D}" name="Column6555"/>
    <tableColumn id="6563" xr3:uid="{16F2247E-29FE-463E-A30F-688B139CB94E}" name="Column6556"/>
    <tableColumn id="6564" xr3:uid="{C4558AE4-905D-4689-B0D8-5FFD3A2A65B8}" name="Column6557"/>
    <tableColumn id="6565" xr3:uid="{D5AABC5A-9CE2-4628-A916-F087FC3EF981}" name="Column6558"/>
    <tableColumn id="6566" xr3:uid="{F58C0CEC-D007-4145-8A7C-E58244F71482}" name="Column6559"/>
    <tableColumn id="6567" xr3:uid="{EC1F5F3D-952A-47D0-B6A4-C695710D86A6}" name="Column6560"/>
    <tableColumn id="6568" xr3:uid="{D219980D-5477-4055-9E97-7A27EAF65DB4}" name="Column6561"/>
    <tableColumn id="6569" xr3:uid="{B0415D70-E792-41F7-8695-D623A787A987}" name="Column6562"/>
    <tableColumn id="6570" xr3:uid="{91BCAAD8-C771-4FFA-AE58-FC2B2BC81CF7}" name="Column6563"/>
    <tableColumn id="6571" xr3:uid="{04BFE37A-0E8B-4D69-BD9F-52D3C0D6BBFE}" name="Column6564"/>
    <tableColumn id="6572" xr3:uid="{945B68E1-C08A-4149-A9E3-8426498E1BB1}" name="Column6565"/>
    <tableColumn id="6573" xr3:uid="{1B54AB01-9C3C-4B5B-93DF-D67FC94E358D}" name="Column6566"/>
    <tableColumn id="6574" xr3:uid="{BC68E8BB-DCF1-4970-A26E-BF514B1D39BB}" name="Column6567"/>
    <tableColumn id="6575" xr3:uid="{5955C5C8-AC24-4A78-8E9C-BEA4F19E9FE6}" name="Column6568"/>
    <tableColumn id="6576" xr3:uid="{89B729A2-486F-49D0-AF15-CFE8B93B2226}" name="Column6569"/>
    <tableColumn id="6577" xr3:uid="{26DA2730-E857-4C64-B5C9-5464A46A4BC3}" name="Column6570"/>
    <tableColumn id="6578" xr3:uid="{3685F5CA-BE26-4E4A-A486-040A30C008C3}" name="Column6571"/>
    <tableColumn id="6579" xr3:uid="{A8FEB15A-0AA0-4464-859A-7FA929BAE413}" name="Column6572"/>
    <tableColumn id="6580" xr3:uid="{C61E153A-E835-4BF9-A74F-C7228B75E413}" name="Column6573"/>
    <tableColumn id="6581" xr3:uid="{984498FC-4F6D-4AAB-89D9-F3C4D67A735E}" name="Column6574"/>
    <tableColumn id="6582" xr3:uid="{EAD74B75-8EA0-4CAD-BC1B-9F5719828097}" name="Column6575"/>
    <tableColumn id="6583" xr3:uid="{CF86A41A-75F0-461B-8CE9-926C6D7917D1}" name="Column6576"/>
    <tableColumn id="6584" xr3:uid="{C99E8DA1-413B-4BC8-A946-ECC457308097}" name="Column6577"/>
    <tableColumn id="6585" xr3:uid="{6CE5A6E1-69F1-459B-A763-49328E263E50}" name="Column6578"/>
    <tableColumn id="6586" xr3:uid="{663A13F8-AEA2-4D4E-9AA2-EE60B23EB2CB}" name="Column6579"/>
    <tableColumn id="6587" xr3:uid="{83004594-F5FA-4C48-8687-FD02469BE80C}" name="Column6580"/>
    <tableColumn id="6588" xr3:uid="{0CA041C2-BD4A-4207-980B-CE2148316DB3}" name="Column6581"/>
    <tableColumn id="6589" xr3:uid="{0700CC95-2ED7-4102-8EEC-BFE3BE43B994}" name="Column6582"/>
    <tableColumn id="6590" xr3:uid="{7522A4EA-06F7-4914-986A-6C22C8833588}" name="Column6583"/>
    <tableColumn id="6591" xr3:uid="{378FC71F-DF10-4CF7-AA6F-2CBAB17F2085}" name="Column6584"/>
    <tableColumn id="6592" xr3:uid="{2EBD0AB5-AC1B-473B-AF79-CC9D9253A779}" name="Column6585"/>
    <tableColumn id="6593" xr3:uid="{328E388D-5028-40A8-B18F-F27474FFFC3B}" name="Column6586"/>
    <tableColumn id="6594" xr3:uid="{93EE2C34-EE39-4720-9D9E-867850C3A4B8}" name="Column6587"/>
    <tableColumn id="6595" xr3:uid="{947B33F6-C3FF-486A-8C9F-27092CDECB14}" name="Column6588"/>
    <tableColumn id="6596" xr3:uid="{72260AB8-830E-4E84-9D1B-6A9EE6ED0B3C}" name="Column6589"/>
    <tableColumn id="6597" xr3:uid="{8AD43027-2394-4371-9798-5850E71928E1}" name="Column6590"/>
    <tableColumn id="6598" xr3:uid="{AD08B49D-F68F-4CB4-8D24-408A00ECB43D}" name="Column6591"/>
    <tableColumn id="6599" xr3:uid="{30D1CEA7-6FF3-41B6-BC7D-5C93B6D09BC5}" name="Column6592"/>
    <tableColumn id="6600" xr3:uid="{DF0DEF72-5186-43AB-B6BB-7E385B6C8E06}" name="Column6593"/>
    <tableColumn id="6601" xr3:uid="{658E6529-DEB7-4CBA-9FAC-5D414F435C33}" name="Column6594"/>
    <tableColumn id="6602" xr3:uid="{47C379A9-0B8D-4EA0-A0AD-7B5A8AFCC989}" name="Column6595"/>
    <tableColumn id="6603" xr3:uid="{BAB7F3BB-6B3A-485E-B114-703D6B0BA444}" name="Column6596"/>
    <tableColumn id="6604" xr3:uid="{004430CC-30FE-4016-B91E-C85B2221F5EE}" name="Column6597"/>
    <tableColumn id="6605" xr3:uid="{41485212-A6E6-4AD8-A378-F3D878C5B758}" name="Column6598"/>
    <tableColumn id="6606" xr3:uid="{DFC16781-E6B1-4214-BE7E-B03BEB8A357F}" name="Column6599"/>
    <tableColumn id="6607" xr3:uid="{DCC78630-3C7D-418A-ACFB-C497DF799086}" name="Column6600"/>
    <tableColumn id="6608" xr3:uid="{F2840A14-3B5E-442C-B06B-0BF1990E2A39}" name="Column6601"/>
    <tableColumn id="6609" xr3:uid="{83FC4CC2-579C-4D7B-8FC8-DC1CAC4B1E19}" name="Column6602"/>
    <tableColumn id="6610" xr3:uid="{92CECFD3-E456-44D0-94A7-6478DB69303C}" name="Column6603"/>
    <tableColumn id="6611" xr3:uid="{04CE822F-619C-4E2E-BC48-3A25D378AF3C}" name="Column6604"/>
    <tableColumn id="6612" xr3:uid="{18097BBD-B4A6-4A77-A292-27FE7CF92E63}" name="Column6605"/>
    <tableColumn id="6613" xr3:uid="{BE2F827D-7BC6-406E-AD9A-73840803E51E}" name="Column6606"/>
    <tableColumn id="6614" xr3:uid="{AF9C0D33-3DAC-4D1B-8F48-48CDFF6C84B8}" name="Column6607"/>
    <tableColumn id="6615" xr3:uid="{5A94FEAF-DD82-4822-A06C-72436C5FDCFD}" name="Column6608"/>
    <tableColumn id="6616" xr3:uid="{E5484B0A-C725-4919-A7A0-20A5C0454FDD}" name="Column6609"/>
    <tableColumn id="6617" xr3:uid="{758D643F-D591-4E80-B100-30D6A4F11CAF}" name="Column6610"/>
    <tableColumn id="6618" xr3:uid="{D1D8BE87-A669-4D36-BC97-CF95D55FA68C}" name="Column6611"/>
    <tableColumn id="6619" xr3:uid="{4F48FD66-5144-43D6-B413-2558B73019C3}" name="Column6612"/>
    <tableColumn id="6620" xr3:uid="{DCD16304-7ABD-46BF-93DA-7AD97CC653F1}" name="Column6613"/>
    <tableColumn id="6621" xr3:uid="{883E432B-2BB7-45A7-A4BA-08915534BB76}" name="Column6614"/>
    <tableColumn id="6622" xr3:uid="{69CADFF6-8E7E-4FF3-A615-660AC49DC773}" name="Column6615"/>
    <tableColumn id="6623" xr3:uid="{0E9A98C0-6616-47E4-8FA6-741685BD2C25}" name="Column6616"/>
    <tableColumn id="6624" xr3:uid="{6CA6EC88-9F81-4983-9CD7-F68DB5B83837}" name="Column6617"/>
    <tableColumn id="6625" xr3:uid="{5329228E-B374-40EB-A07A-9244A6B29D74}" name="Column6618"/>
    <tableColumn id="6626" xr3:uid="{E77DBBFB-3844-46B0-AB20-C2BB24755E29}" name="Column6619"/>
    <tableColumn id="6627" xr3:uid="{F1C98C38-E5EE-4A1D-9B5B-5FDA1C4FD597}" name="Column6620"/>
    <tableColumn id="6628" xr3:uid="{B8AFCDAF-F698-4B79-A6F4-DC184C9A45D8}" name="Column6621"/>
    <tableColumn id="6629" xr3:uid="{3F4BF882-5DD6-44D3-8D61-A6A479D15AE6}" name="Column6622"/>
    <tableColumn id="6630" xr3:uid="{9F61532A-A0D5-4E39-93C2-442723EF657E}" name="Column6623"/>
    <tableColumn id="6631" xr3:uid="{68EA2B3E-ACE7-4170-BFD3-B76841F3CA35}" name="Column6624"/>
    <tableColumn id="6632" xr3:uid="{491E5619-D71D-45CC-8245-581C4DBE0A0A}" name="Column6625"/>
    <tableColumn id="6633" xr3:uid="{7CBC7892-96FA-4FFE-B581-B9E06EEFD665}" name="Column6626"/>
    <tableColumn id="6634" xr3:uid="{9838EFE0-3854-47D1-80C2-EC6B3D4B64C0}" name="Column6627"/>
    <tableColumn id="6635" xr3:uid="{4C6B0F03-AF3D-4E6F-8691-D3A423488AF1}" name="Column6628"/>
    <tableColumn id="6636" xr3:uid="{E51C3557-3CEF-458A-BC72-BD102DCAE085}" name="Column6629"/>
    <tableColumn id="6637" xr3:uid="{DD09323A-85A6-4D27-B55C-D9D296DE1DD3}" name="Column6630"/>
    <tableColumn id="6638" xr3:uid="{2FF05E91-63B8-49FF-BB31-DD08D2747C9D}" name="Column6631"/>
    <tableColumn id="6639" xr3:uid="{6630E29A-2B43-4D59-A547-BA47193CA201}" name="Column6632"/>
    <tableColumn id="6640" xr3:uid="{22450B49-CAA2-46A9-9806-744132F4E474}" name="Column6633"/>
    <tableColumn id="6641" xr3:uid="{4ADBF387-9D31-45FE-A15A-C4DE5B50A24B}" name="Column6634"/>
    <tableColumn id="6642" xr3:uid="{939B8714-B512-4268-A552-4E4F9763381A}" name="Column6635"/>
    <tableColumn id="6643" xr3:uid="{32B612E5-5306-4BE0-9E40-650D70986D45}" name="Column6636"/>
    <tableColumn id="6644" xr3:uid="{DEFD0EB5-4ED2-4177-AC0F-047B92E24517}" name="Column6637"/>
    <tableColumn id="6645" xr3:uid="{8992DF99-362A-4C60-810C-F91F6BAAF790}" name="Column6638"/>
    <tableColumn id="6646" xr3:uid="{54500029-E623-4CD7-A37D-798A8680DD80}" name="Column6639"/>
    <tableColumn id="6647" xr3:uid="{0EECCEE1-9782-4093-B910-1158272D522C}" name="Column6640"/>
    <tableColumn id="6648" xr3:uid="{EBD0F3EC-AB38-4173-A5D8-6A988535354E}" name="Column6641"/>
    <tableColumn id="6649" xr3:uid="{D6FE78F7-CAF0-4B32-8B49-D4E1E17998A4}" name="Column6642"/>
    <tableColumn id="6650" xr3:uid="{20815DBD-465D-4404-BCFA-77CDB22450E1}" name="Column6643"/>
    <tableColumn id="6651" xr3:uid="{347077C1-B188-48A8-AE1F-6A9BA0E088F2}" name="Column6644"/>
    <tableColumn id="6652" xr3:uid="{F3AF0439-CD79-48EC-8A06-B124318A4454}" name="Column6645"/>
    <tableColumn id="6653" xr3:uid="{62FD4ADD-43A9-4301-99F4-2F3011D26B68}" name="Column6646"/>
    <tableColumn id="6654" xr3:uid="{1EFB93ED-341D-4FCF-9E20-7A4833A7D556}" name="Column6647"/>
    <tableColumn id="6655" xr3:uid="{C651F0FB-C9BC-4A9B-8263-37A71B10EB6B}" name="Column6648"/>
    <tableColumn id="6656" xr3:uid="{51CBA72E-62FE-4E62-A82B-2A2A1800AB3C}" name="Column6649"/>
    <tableColumn id="6657" xr3:uid="{7CDA2CB5-9FD7-4B37-B74C-E4B52A6EDDAE}" name="Column6650"/>
    <tableColumn id="6658" xr3:uid="{AD304FD9-7B45-49B2-BF19-73E679EC918A}" name="Column6651"/>
    <tableColumn id="6659" xr3:uid="{DD2F8EB0-C24E-4D75-8F9D-5F34F55D70EF}" name="Column6652"/>
    <tableColumn id="6660" xr3:uid="{A3917801-C13F-4DC5-8223-A7ED42722A26}" name="Column6653"/>
    <tableColumn id="6661" xr3:uid="{83023FFF-9FB6-4539-912A-0AC5D217DF5C}" name="Column6654"/>
    <tableColumn id="6662" xr3:uid="{B2227B2E-312E-4258-BB2A-5A4E622B2025}" name="Column6655"/>
    <tableColumn id="6663" xr3:uid="{ED9D0380-F40E-4B41-9D69-77F639292544}" name="Column6656"/>
    <tableColumn id="6664" xr3:uid="{9296879A-66EA-4796-86BB-3E6A476A856E}" name="Column6657"/>
    <tableColumn id="6665" xr3:uid="{624C4F83-860F-46CC-BB2E-3437B110D58B}" name="Column6658"/>
    <tableColumn id="6666" xr3:uid="{44DFB60F-8C99-43D2-A8E3-A3A71E133689}" name="Column6659"/>
    <tableColumn id="6667" xr3:uid="{59315BCA-F108-4BD2-9453-9227E25F5532}" name="Column6660"/>
    <tableColumn id="6668" xr3:uid="{9ABAFF5B-F449-4A67-986B-187A50C3DE19}" name="Column6661"/>
    <tableColumn id="6669" xr3:uid="{AAC4EE0C-A663-41E7-90C9-08D0E37AEC3B}" name="Column6662"/>
    <tableColumn id="6670" xr3:uid="{3E7208C1-6DE1-4693-9F87-FB862D440400}" name="Column6663"/>
    <tableColumn id="6671" xr3:uid="{EBD6A14C-BB94-4AB0-AA10-B1C59C497A5B}" name="Column6664"/>
    <tableColumn id="6672" xr3:uid="{B2CFBD16-E052-4539-96F1-070A9684C81B}" name="Column6665"/>
    <tableColumn id="6673" xr3:uid="{37274CFD-8BC3-4745-9A6C-DC91BD609732}" name="Column6666"/>
    <tableColumn id="6674" xr3:uid="{CD127B18-25E4-4466-8169-620B777B5D2E}" name="Column6667"/>
    <tableColumn id="6675" xr3:uid="{55284291-95AD-4269-8BD1-AB07F365A0EA}" name="Column6668"/>
    <tableColumn id="6676" xr3:uid="{5C9B8878-5062-43F3-B3F4-CED557BA2811}" name="Column6669"/>
    <tableColumn id="6677" xr3:uid="{BC7C9298-EADA-4A31-9EBF-4378B2332360}" name="Column6670"/>
    <tableColumn id="6678" xr3:uid="{5F683604-013D-4660-AFF8-47037EC8413C}" name="Column6671"/>
    <tableColumn id="6679" xr3:uid="{1BC08D5A-3AC4-4F7F-971B-C4E4FB2C3ABB}" name="Column6672"/>
    <tableColumn id="6680" xr3:uid="{8DF0E109-F0E9-4969-8E61-07AB7585EDFB}" name="Column6673"/>
    <tableColumn id="6681" xr3:uid="{2283E6AB-6FB4-489E-98DB-C97B5D38054A}" name="Column6674"/>
    <tableColumn id="6682" xr3:uid="{55FB7478-274A-4A9A-9AC8-5A29BB6FD7FC}" name="Column6675"/>
    <tableColumn id="6683" xr3:uid="{4B2DF30B-F1FE-4617-BA67-F048E8C52A8A}" name="Column6676"/>
    <tableColumn id="6684" xr3:uid="{34B419AA-ABCF-4B61-8D5E-389F8897AD54}" name="Column6677"/>
    <tableColumn id="6685" xr3:uid="{263A2AEB-62CD-4C0E-BBB7-16EE6CDDE7F1}" name="Column6678"/>
    <tableColumn id="6686" xr3:uid="{1E66FE0B-2FAB-4CE1-B8DB-2615EFB7AB2D}" name="Column6679"/>
    <tableColumn id="6687" xr3:uid="{3B68D3BA-71EC-4D89-9D77-87680237A29D}" name="Column6680"/>
    <tableColumn id="6688" xr3:uid="{7E6CC2D3-1B0C-4BA4-909B-0F1BF89255EE}" name="Column6681"/>
    <tableColumn id="6689" xr3:uid="{732E814B-9538-4F41-B602-5DE2EDEBF153}" name="Column6682"/>
    <tableColumn id="6690" xr3:uid="{8BF56DD3-64B8-49B4-B4AC-D56F53FFD727}" name="Column6683"/>
    <tableColumn id="6691" xr3:uid="{6CFE4F59-E5C0-4C4A-9CA5-1E9888E257D5}" name="Column6684"/>
    <tableColumn id="6692" xr3:uid="{7097897C-F3CC-41D7-86C2-5E5D4D145F01}" name="Column6685"/>
    <tableColumn id="6693" xr3:uid="{2618C3D5-546A-4EC3-8886-A516D5CB0B8D}" name="Column6686"/>
    <tableColumn id="6694" xr3:uid="{6CA17AD4-D914-49E1-9801-8CF7B31CF795}" name="Column6687"/>
    <tableColumn id="6695" xr3:uid="{8D211487-ABAC-4334-990B-01994FE83C61}" name="Column6688"/>
    <tableColumn id="6696" xr3:uid="{8D7A7F91-7D9C-4EA9-AFE6-7DA7F6F3B876}" name="Column6689"/>
    <tableColumn id="6697" xr3:uid="{47182206-50C0-4234-8FAC-96A63B02A824}" name="Column6690"/>
    <tableColumn id="6698" xr3:uid="{95932258-687A-4C75-A935-D16E65148DC7}" name="Column6691"/>
    <tableColumn id="6699" xr3:uid="{70642181-567D-4112-B126-668EAAA5EFE7}" name="Column6692"/>
    <tableColumn id="6700" xr3:uid="{979CD8BA-22FF-4B77-BFD8-DE35FB2D1617}" name="Column6693"/>
    <tableColumn id="6701" xr3:uid="{EA1F39B7-1A0E-41D6-BC54-3CE908E72474}" name="Column6694"/>
    <tableColumn id="6702" xr3:uid="{30C83E4E-2344-4A58-97CE-A5A4CD21F74C}" name="Column6695"/>
    <tableColumn id="6703" xr3:uid="{EAD665BD-3FCB-4B30-87FB-28383C0F6297}" name="Column6696"/>
    <tableColumn id="6704" xr3:uid="{E23E6314-4B62-486A-B187-97C62A56D453}" name="Column6697"/>
    <tableColumn id="6705" xr3:uid="{6ADAF02E-19BC-4F8F-B890-824D57DC0F1E}" name="Column6698"/>
    <tableColumn id="6706" xr3:uid="{D55BBFF6-57D5-4EA4-80AE-166D251648F3}" name="Column6699"/>
    <tableColumn id="6707" xr3:uid="{BAF85FE4-9761-4F71-A0E3-49307ACE5F63}" name="Column6700"/>
    <tableColumn id="6708" xr3:uid="{175CC6FC-F117-4AC3-BDE6-F4F9ABC3F4D7}" name="Column6701"/>
    <tableColumn id="6709" xr3:uid="{43398D17-03FE-4F2F-B410-E9B856FA076A}" name="Column6702"/>
    <tableColumn id="6710" xr3:uid="{A31D23C6-028E-4029-A306-0E4749E4B572}" name="Column6703"/>
    <tableColumn id="6711" xr3:uid="{2081D9B7-287C-4C1C-89ED-7640E9BC7FEE}" name="Column6704"/>
    <tableColumn id="6712" xr3:uid="{2B72D43E-9E18-4B42-BDD7-14BDC6DE430B}" name="Column6705"/>
    <tableColumn id="6713" xr3:uid="{0699CDE4-31B4-4897-9B6D-4AEF66A319BE}" name="Column6706"/>
    <tableColumn id="6714" xr3:uid="{1D539A19-CB0F-452B-B30F-03D9E2370EFB}" name="Column6707"/>
    <tableColumn id="6715" xr3:uid="{6B854592-4A9E-447A-964F-A79B4C4EDE65}" name="Column6708"/>
    <tableColumn id="6716" xr3:uid="{63B64FB3-6755-40B9-A219-6EA0D4BFBEB8}" name="Column6709"/>
    <tableColumn id="6717" xr3:uid="{AFEF6BF6-C658-4017-9735-EB6D2655CD70}" name="Column6710"/>
    <tableColumn id="6718" xr3:uid="{5E37BE52-D3F7-443C-8E9F-00BFD75A0B1D}" name="Column6711"/>
    <tableColumn id="6719" xr3:uid="{086779C8-C455-4759-B0D8-DEDC9C78EE42}" name="Column6712"/>
    <tableColumn id="6720" xr3:uid="{9C701B12-C30B-4A63-99C6-6CDAEBE8B827}" name="Column6713"/>
    <tableColumn id="6721" xr3:uid="{469AFA49-E171-4077-8F8E-3B9E5F35ED8E}" name="Column6714"/>
    <tableColumn id="6722" xr3:uid="{1D95B167-9A6E-4BA1-BD76-260FCC56481C}" name="Column6715"/>
    <tableColumn id="6723" xr3:uid="{0DCB250B-2090-4A7E-B443-C4A8664CA19F}" name="Column6716"/>
    <tableColumn id="6724" xr3:uid="{198FDAB1-5B71-4DF3-B501-2EBBEF73DE61}" name="Column6717"/>
    <tableColumn id="6725" xr3:uid="{DF4DEEA2-1CF3-4D8C-B3FE-21A6DDB80894}" name="Column6718"/>
    <tableColumn id="6726" xr3:uid="{70700A53-AACD-44CA-BCCE-C70DFA9E1C1D}" name="Column6719"/>
    <tableColumn id="6727" xr3:uid="{FC701F13-E675-45D7-82F2-29886B684A1D}" name="Column6720"/>
    <tableColumn id="6728" xr3:uid="{7991B368-11A0-4EA0-A3DF-1E984993A4DD}" name="Column6721"/>
    <tableColumn id="6729" xr3:uid="{698B44B2-62DD-44C2-9FD4-F202E96D9DD3}" name="Column6722"/>
    <tableColumn id="6730" xr3:uid="{A7E69877-E16D-428D-A466-B51A85262E68}" name="Column6723"/>
    <tableColumn id="6731" xr3:uid="{B66A1FBF-8AB6-420E-AF9F-23D0AA2B1833}" name="Column6724"/>
    <tableColumn id="6732" xr3:uid="{9468E0F7-ABC6-4F26-A199-101BB17B77EE}" name="Column6725"/>
    <tableColumn id="6733" xr3:uid="{DB9D1023-4B4D-4555-AE94-6E5B2BBE3222}" name="Column6726"/>
    <tableColumn id="6734" xr3:uid="{F0DC8B4E-0883-4D52-895C-57E20077D20B}" name="Column6727"/>
    <tableColumn id="6735" xr3:uid="{07018D97-719B-42EF-8F28-7CAF10E2AE1F}" name="Column6728"/>
    <tableColumn id="6736" xr3:uid="{A4C2A8E7-592D-4325-8A86-82EA8B9BD641}" name="Column6729"/>
    <tableColumn id="6737" xr3:uid="{D0ACBE35-2F3A-4A03-8664-E356E4354175}" name="Column6730"/>
    <tableColumn id="6738" xr3:uid="{A819E58C-78E8-4FBD-92F3-A360F94C5C68}" name="Column6731"/>
    <tableColumn id="6739" xr3:uid="{A8CBF62E-2FC5-4A85-96CF-0DC5D2C12214}" name="Column6732"/>
    <tableColumn id="6740" xr3:uid="{1200CF42-0972-4541-9357-E1561979D7A4}" name="Column6733"/>
    <tableColumn id="6741" xr3:uid="{78D07576-9766-4639-B6D0-CA2B973FB19A}" name="Column6734"/>
    <tableColumn id="6742" xr3:uid="{B93F4235-6069-4D72-9D65-B70AB8C32128}" name="Column6735"/>
    <tableColumn id="6743" xr3:uid="{0F99E06B-BE4E-4E0E-8CD7-5935D925074B}" name="Column6736"/>
    <tableColumn id="6744" xr3:uid="{12EDB31A-DE47-4928-843E-15475BA00AC3}" name="Column6737"/>
    <tableColumn id="6745" xr3:uid="{BB6B09CD-D235-47A3-AA30-1DD38B8F7284}" name="Column6738"/>
    <tableColumn id="6746" xr3:uid="{AE1B8B3C-E290-4948-B4BF-576213B8A3E9}" name="Column6739"/>
    <tableColumn id="6747" xr3:uid="{7A0B634F-DB25-42D3-8A10-6E54F2FB1856}" name="Column6740"/>
    <tableColumn id="6748" xr3:uid="{94047221-F911-4CF0-B283-99E6849DF910}" name="Column6741"/>
    <tableColumn id="6749" xr3:uid="{7DE6EBFF-41E9-4CF4-B829-D247CB77BF3C}" name="Column6742"/>
    <tableColumn id="6750" xr3:uid="{9BDEA2C3-CBA5-4BB8-834A-D7E64F3B9D23}" name="Column6743"/>
    <tableColumn id="6751" xr3:uid="{882BDFE6-D1F2-4982-8C25-C7FFE3C3899A}" name="Column6744"/>
    <tableColumn id="6752" xr3:uid="{63325CFE-86E4-4AC7-B439-2106A7FED930}" name="Column6745"/>
    <tableColumn id="6753" xr3:uid="{7027C350-C938-4BFB-8BDA-3E36925451E9}" name="Column6746"/>
    <tableColumn id="6754" xr3:uid="{60520891-8AB7-4030-8EBF-A649F9421372}" name="Column6747"/>
    <tableColumn id="6755" xr3:uid="{D447A94D-44F3-491B-8C09-4B934FF86DD7}" name="Column6748"/>
    <tableColumn id="6756" xr3:uid="{89581D45-2CFD-4BC5-A4FB-91890FFB8F36}" name="Column6749"/>
    <tableColumn id="6757" xr3:uid="{02F6EC66-C08F-4B3C-A485-B9FE6487690A}" name="Column6750"/>
    <tableColumn id="6758" xr3:uid="{D541C942-AA87-4FDD-AA6C-B088AFCE7D64}" name="Column6751"/>
    <tableColumn id="6759" xr3:uid="{0917E1B8-A724-44B1-A101-F3D7D162D76C}" name="Column6752"/>
    <tableColumn id="6760" xr3:uid="{EC236024-F069-4150-995E-51249C8EE416}" name="Column6753"/>
    <tableColumn id="6761" xr3:uid="{7AF80B10-5169-4BC1-8C8F-01B952E3406C}" name="Column6754"/>
    <tableColumn id="6762" xr3:uid="{6D031574-D64A-42AE-A0A5-626F8813CAA7}" name="Column6755"/>
    <tableColumn id="6763" xr3:uid="{03E01A92-567B-40F6-BBC4-C0A7AE498DD5}" name="Column6756"/>
    <tableColumn id="6764" xr3:uid="{19C4114D-CF33-447B-8FC5-2FE9F057012F}" name="Column6757"/>
    <tableColumn id="6765" xr3:uid="{0015AC8D-8238-46FE-BE1E-E965B2CF7F63}" name="Column6758"/>
    <tableColumn id="6766" xr3:uid="{D803812C-9E7B-46F9-A8DA-6E4C3836329E}" name="Column6759"/>
    <tableColumn id="6767" xr3:uid="{013CA0ED-063A-4407-AFAF-3A4E2F50F44E}" name="Column6760"/>
    <tableColumn id="6768" xr3:uid="{DA08D948-C59D-4315-A628-36A3F6907752}" name="Column6761"/>
    <tableColumn id="6769" xr3:uid="{BF79D68A-2ACB-4387-AFB1-8F19833BC0BB}" name="Column6762"/>
    <tableColumn id="6770" xr3:uid="{1D5D13A9-CD9F-42CB-B767-32D8847F965D}" name="Column6763"/>
    <tableColumn id="6771" xr3:uid="{13F3DB07-B447-4FAB-BE0C-F6D966F3878C}" name="Column6764"/>
    <tableColumn id="6772" xr3:uid="{C59A258D-D685-4158-A047-81BA5DB1FCFD}" name="Column6765"/>
    <tableColumn id="6773" xr3:uid="{3AE3BD42-0983-4BE3-8EE2-98FF5EC65DD8}" name="Column6766"/>
    <tableColumn id="6774" xr3:uid="{DAE7966B-2E91-4215-BE94-35542E4B28E1}" name="Column6767"/>
    <tableColumn id="6775" xr3:uid="{BBC95B73-8593-440B-BE38-5559A44E20F5}" name="Column6768"/>
    <tableColumn id="6776" xr3:uid="{206441B7-23D3-4886-8CEA-D3B80C445FF5}" name="Column6769"/>
    <tableColumn id="6777" xr3:uid="{36126318-CCAE-4264-8D14-C9EBCD7D16E7}" name="Column6770"/>
    <tableColumn id="6778" xr3:uid="{7EDC739A-9566-4BB1-AED6-1C0C68624FAB}" name="Column6771"/>
    <tableColumn id="6779" xr3:uid="{C415131D-CD34-4335-8EF3-34658CF64B7C}" name="Column6772"/>
    <tableColumn id="6780" xr3:uid="{41BC2FDB-DE7E-46A3-B708-F32CBF4FF6D8}" name="Column6773"/>
    <tableColumn id="6781" xr3:uid="{7B0F1493-C1AD-4171-9D13-8268ABC13871}" name="Column6774"/>
    <tableColumn id="6782" xr3:uid="{B251740C-C907-494B-AA9A-E783E70ACF0F}" name="Column6775"/>
    <tableColumn id="6783" xr3:uid="{A7A92176-590D-45FC-8F6E-8E92E46920E8}" name="Column6776"/>
    <tableColumn id="6784" xr3:uid="{DDBEC056-076F-43FE-9983-1B4595C6824B}" name="Column6777"/>
    <tableColumn id="6785" xr3:uid="{F301DFF0-DC8B-4769-8D2D-918A64B340BA}" name="Column6778"/>
    <tableColumn id="6786" xr3:uid="{38F3BE16-4B11-4D32-B00B-56505E053F4C}" name="Column6779"/>
    <tableColumn id="6787" xr3:uid="{C7F8A4BA-2777-431D-A63C-32F922347358}" name="Column6780"/>
    <tableColumn id="6788" xr3:uid="{ADA673B2-5625-4167-8C88-F0E1DC5022E3}" name="Column6781"/>
    <tableColumn id="6789" xr3:uid="{5D108009-E74C-4D7A-ABC6-AB8BDBD5C754}" name="Column6782"/>
    <tableColumn id="6790" xr3:uid="{FBB8AA6F-5158-47C2-B67B-E25F18F561F1}" name="Column6783"/>
    <tableColumn id="6791" xr3:uid="{1D962CBB-4477-4783-A0B0-0E833DA8030B}" name="Column6784"/>
    <tableColumn id="6792" xr3:uid="{EE9064E9-3C86-4AA5-B4DE-457ADCC68778}" name="Column6785"/>
    <tableColumn id="6793" xr3:uid="{CC028EC3-7180-4008-917B-879D7F3B85C6}" name="Column6786"/>
    <tableColumn id="6794" xr3:uid="{779B8567-2A76-4D74-9804-BBD89111910A}" name="Column6787"/>
    <tableColumn id="6795" xr3:uid="{4E572129-67B6-4AAD-A82E-5EF771F8608E}" name="Column6788"/>
    <tableColumn id="6796" xr3:uid="{2B53207A-AAF6-4517-A234-A535B50D14E3}" name="Column6789"/>
    <tableColumn id="6797" xr3:uid="{0D3B0944-DF7F-4F81-88F8-5BCDEC3E220F}" name="Column6790"/>
    <tableColumn id="6798" xr3:uid="{DCE3333F-7FF6-4B46-BB1D-F8308147C670}" name="Column6791"/>
    <tableColumn id="6799" xr3:uid="{605E537E-4B40-4C8A-9406-7B0188961724}" name="Column6792"/>
    <tableColumn id="6800" xr3:uid="{C366E515-8A1C-4A85-911D-BABDC9735455}" name="Column6793"/>
    <tableColumn id="6801" xr3:uid="{891FF1F5-E97F-4794-A626-9CC080406B07}" name="Column6794"/>
    <tableColumn id="6802" xr3:uid="{5F6CE55D-06CC-4BF0-AF62-2149E01B5AB7}" name="Column6795"/>
    <tableColumn id="6803" xr3:uid="{A5D519F3-96C3-49B2-A5AC-E7EB417475C3}" name="Column6796"/>
    <tableColumn id="6804" xr3:uid="{6FF7D9F6-0EF5-4550-89C3-3D77D484827E}" name="Column6797"/>
    <tableColumn id="6805" xr3:uid="{F1ACF3E9-3033-448D-A703-9081F67E7F72}" name="Column6798"/>
    <tableColumn id="6806" xr3:uid="{9681A9BB-55A1-48F1-AE08-9A9F9FF20D61}" name="Column6799"/>
    <tableColumn id="6807" xr3:uid="{1BB207D2-5423-4F37-8F3E-BD51CF788109}" name="Column6800"/>
    <tableColumn id="6808" xr3:uid="{FA3C86AF-0013-4715-8642-80D079121534}" name="Column6801"/>
    <tableColumn id="6809" xr3:uid="{DD4412A9-C2E5-49F9-BA18-45E211ADA901}" name="Column6802"/>
    <tableColumn id="6810" xr3:uid="{6A1324BC-34F7-4089-B05B-21E0DB75D384}" name="Column6803"/>
    <tableColumn id="6811" xr3:uid="{ACBDF1F7-A4D0-4A27-89E7-39F26AB70E20}" name="Column6804"/>
    <tableColumn id="6812" xr3:uid="{DFEDF366-EE41-414F-8A15-B3E7F51E27C9}" name="Column6805"/>
    <tableColumn id="6813" xr3:uid="{1BF491A4-F504-4B46-8844-838607840164}" name="Column6806"/>
    <tableColumn id="6814" xr3:uid="{D1DAB3A2-B26C-4FE7-95AA-519BF9EAAB74}" name="Column6807"/>
    <tableColumn id="6815" xr3:uid="{47331927-CEFC-4033-86FB-9461B68A784C}" name="Column6808"/>
    <tableColumn id="6816" xr3:uid="{5C719DED-F951-4B47-9692-6CBDB406EE17}" name="Column6809"/>
    <tableColumn id="6817" xr3:uid="{F43F3F37-873E-4876-922F-44DD8DD69077}" name="Column6810"/>
    <tableColumn id="6818" xr3:uid="{BDB1F1B2-6455-4971-AA9C-874980FC141A}" name="Column6811"/>
    <tableColumn id="6819" xr3:uid="{980DD165-6FF9-4AF5-98B1-C7158A177D86}" name="Column6812"/>
    <tableColumn id="6820" xr3:uid="{B9AF526D-D855-449B-9A67-7641ACC11702}" name="Column6813"/>
    <tableColumn id="6821" xr3:uid="{67514573-B46A-434C-A12A-2DDAF490EF04}" name="Column6814"/>
    <tableColumn id="6822" xr3:uid="{52CDB54F-0E54-4E49-9749-E2AC282E9BCA}" name="Column6815"/>
    <tableColumn id="6823" xr3:uid="{ED936F61-787C-4723-8A39-F99E679B3F5C}" name="Column6816"/>
    <tableColumn id="6824" xr3:uid="{FABE0518-4023-4889-BBCF-E060A09EC40B}" name="Column6817"/>
    <tableColumn id="6825" xr3:uid="{D2B0BA50-9F07-4E4C-A755-5EDFEB805CCE}" name="Column6818"/>
    <tableColumn id="6826" xr3:uid="{A8DDEC86-A11F-473E-AA8B-5FF5EF1E25D8}" name="Column6819"/>
    <tableColumn id="6827" xr3:uid="{BD2B7A20-CF09-4C7B-8336-69E0D811BCCF}" name="Column6820"/>
    <tableColumn id="6828" xr3:uid="{4346FA5E-27DB-4A99-AB99-6429E92DEDD2}" name="Column6821"/>
    <tableColumn id="6829" xr3:uid="{45DCD18F-67B6-4B28-AEA2-D57B7147C7DF}" name="Column6822"/>
    <tableColumn id="6830" xr3:uid="{DA9B2480-F5F9-40C7-A303-5ECF948FFBB9}" name="Column6823"/>
    <tableColumn id="6831" xr3:uid="{0EF175E1-18B3-4581-B48C-1149CCF226FA}" name="Column6824"/>
    <tableColumn id="6832" xr3:uid="{51516C3C-084B-4E75-9B0E-E28A80D29C3C}" name="Column6825"/>
    <tableColumn id="6833" xr3:uid="{6D9E17A1-BD32-4AEA-92DD-26CDE0B134F5}" name="Column6826"/>
    <tableColumn id="6834" xr3:uid="{2475A0D2-6611-4797-974D-8AC769EB589B}" name="Column6827"/>
    <tableColumn id="6835" xr3:uid="{CE855CE3-AF93-4115-B584-3207FA928EAE}" name="Column6828"/>
    <tableColumn id="6836" xr3:uid="{B5C2E4D8-34A0-4C21-8C65-459F4C4F2D59}" name="Column6829"/>
    <tableColumn id="6837" xr3:uid="{9F7FC6BE-7633-4327-90E8-E584BA289B3C}" name="Column6830"/>
    <tableColumn id="6838" xr3:uid="{9FEF29E3-EA4A-4C0B-B54C-347DCDD1F7CC}" name="Column6831"/>
    <tableColumn id="6839" xr3:uid="{19E80D4E-03AC-4BD5-AF21-044AA5FD0461}" name="Column6832"/>
    <tableColumn id="6840" xr3:uid="{55BB4992-35F6-437A-BF7E-9787DDA53981}" name="Column6833"/>
    <tableColumn id="6841" xr3:uid="{FB8C731F-A1E1-4B71-A6F1-4162FD7FFEBC}" name="Column6834"/>
    <tableColumn id="6842" xr3:uid="{50AFA944-9906-4BD6-A30D-82D8908FD44D}" name="Column6835"/>
    <tableColumn id="6843" xr3:uid="{711C6E57-FC3E-4DA1-A1B9-0E681AAF3E28}" name="Column6836"/>
    <tableColumn id="6844" xr3:uid="{9CC63DB7-40A8-4556-BA2C-53D9BF4BC6F8}" name="Column6837"/>
    <tableColumn id="6845" xr3:uid="{96C473A9-DB7A-41D5-8456-CEC3928E92B2}" name="Column6838"/>
    <tableColumn id="6846" xr3:uid="{F200D582-392C-4940-B1FC-C4AFE128FF78}" name="Column6839"/>
    <tableColumn id="6847" xr3:uid="{D97E8218-FE88-4736-875A-C9FFDD42FD03}" name="Column6840"/>
    <tableColumn id="6848" xr3:uid="{908ED112-CE03-4BA9-89C0-7DEE2C3691C8}" name="Column6841"/>
    <tableColumn id="6849" xr3:uid="{8C01DE9D-51D5-44AB-9729-B33110FA1952}" name="Column6842"/>
    <tableColumn id="6850" xr3:uid="{36FB52C2-005A-4D8D-9C55-34FBC324AAB7}" name="Column6843"/>
    <tableColumn id="6851" xr3:uid="{60BDAC8E-7D5D-49D3-9687-33409A00E3F8}" name="Column6844"/>
    <tableColumn id="6852" xr3:uid="{C8E99AE2-514D-4595-808E-F55A51E120AE}" name="Column6845"/>
    <tableColumn id="6853" xr3:uid="{41FBBAD1-BD0A-47D3-B681-8380B9887CEB}" name="Column6846"/>
    <tableColumn id="6854" xr3:uid="{18380F77-A74E-4474-A531-25E2272D23E6}" name="Column6847"/>
    <tableColumn id="6855" xr3:uid="{968A625F-CD01-4BCA-862C-62049C28B824}" name="Column6848"/>
    <tableColumn id="6856" xr3:uid="{4A5FF778-4869-41F9-A85A-10E4BB3F8B58}" name="Column6849"/>
    <tableColumn id="6857" xr3:uid="{2156DC51-8DC1-4C75-A1C5-A6A6D83DF1B4}" name="Column6850"/>
    <tableColumn id="6858" xr3:uid="{F4EC9910-A248-4880-8F0F-9082D4A2C0BA}" name="Column6851"/>
    <tableColumn id="6859" xr3:uid="{2F69D3F1-5A15-4AC0-8161-DD136C92F6A0}" name="Column6852"/>
    <tableColumn id="6860" xr3:uid="{12CC4CB1-41A7-43E0-B084-69CEEADC2944}" name="Column6853"/>
    <tableColumn id="6861" xr3:uid="{596AF40F-655B-4830-9662-A48FE67E1FB9}" name="Column6854"/>
    <tableColumn id="6862" xr3:uid="{DB3FDD49-4FFF-43F6-B2EB-B8A3D8913CEB}" name="Column6855"/>
    <tableColumn id="6863" xr3:uid="{09737EE4-F2C4-48AF-B41C-09A8A8B545A6}" name="Column6856"/>
    <tableColumn id="6864" xr3:uid="{D9A5245D-EC29-42F2-8EEA-6ABF28A43331}" name="Column6857"/>
    <tableColumn id="6865" xr3:uid="{D0CC280F-41A2-4D17-B252-D9FA4FC6C093}" name="Column6858"/>
    <tableColumn id="6866" xr3:uid="{9A4951D4-0CD8-4DA9-9CB4-D1903355DA09}" name="Column6859"/>
    <tableColumn id="6867" xr3:uid="{4E469DF2-98DD-4EF8-A1B5-09DC3611F746}" name="Column6860"/>
    <tableColumn id="6868" xr3:uid="{781F21FA-1672-429D-9FD1-6455B69D176B}" name="Column6861"/>
    <tableColumn id="6869" xr3:uid="{BB97B575-C28E-4BA3-AF8F-1EC917BC3A52}" name="Column6862"/>
    <tableColumn id="6870" xr3:uid="{47A69197-03B1-4F77-8179-FC48AE6FA933}" name="Column6863"/>
    <tableColumn id="6871" xr3:uid="{5560B102-CAAB-4EF1-AE98-69948842717F}" name="Column6864"/>
    <tableColumn id="6872" xr3:uid="{2154759B-CD78-42E4-A20F-BB2D87FA0179}" name="Column6865"/>
    <tableColumn id="6873" xr3:uid="{4A6DF370-CABE-49EF-B384-4BBEA231EA57}" name="Column6866"/>
    <tableColumn id="6874" xr3:uid="{5B4563BC-B97C-4A18-97C2-465572D20F82}" name="Column6867"/>
    <tableColumn id="6875" xr3:uid="{24A52DA3-E095-4C1E-A415-C7CFDA0C3F59}" name="Column6868"/>
    <tableColumn id="6876" xr3:uid="{B96531B8-1FB8-40D8-BDD4-175781004EF0}" name="Column6869"/>
    <tableColumn id="6877" xr3:uid="{DA957715-D386-45C2-9DCF-883C549BFC1E}" name="Column6870"/>
    <tableColumn id="6878" xr3:uid="{4319E64A-ECDF-430E-ACB0-2EC4BBB2FF2A}" name="Column6871"/>
    <tableColumn id="6879" xr3:uid="{9870BF25-8E51-4746-BE8E-99A2850F2C3E}" name="Column6872"/>
    <tableColumn id="6880" xr3:uid="{87520952-2996-4D67-9E02-DA118A83B231}" name="Column6873"/>
    <tableColumn id="6881" xr3:uid="{176FEF4B-AA86-4EA4-A8F6-90F68121ED00}" name="Column6874"/>
    <tableColumn id="6882" xr3:uid="{F20198F2-9E31-47C8-8AF3-442D18A42EEA}" name="Column6875"/>
    <tableColumn id="6883" xr3:uid="{2576A595-4C65-4C60-9D0C-CD27F02EC34C}" name="Column6876"/>
    <tableColumn id="6884" xr3:uid="{B7072FF9-7DD3-4E36-927B-5D662026A108}" name="Column6877"/>
    <tableColumn id="6885" xr3:uid="{CDC31116-79C3-4DB3-8FCA-C6915BA01709}" name="Column6878"/>
    <tableColumn id="6886" xr3:uid="{F51FD644-794E-4C3F-850C-6EE0504C976B}" name="Column6879"/>
    <tableColumn id="6887" xr3:uid="{93B2C082-7984-4003-B543-B1B44EF903A6}" name="Column6880"/>
    <tableColumn id="6888" xr3:uid="{5D3D0187-AC4F-4CD4-B063-2FA71E0EFDFF}" name="Column6881"/>
    <tableColumn id="6889" xr3:uid="{746B634F-679A-4218-9937-8A864AA8D79B}" name="Column6882"/>
    <tableColumn id="6890" xr3:uid="{3F28968E-ED58-4D95-B0F9-C5CC0564E0DA}" name="Column6883"/>
    <tableColumn id="6891" xr3:uid="{129BE2D9-FC40-4ADC-91F2-7240BA7DAE36}" name="Column6884"/>
    <tableColumn id="6892" xr3:uid="{51A8F80A-54E9-454A-82A6-B25B0B1B50CD}" name="Column6885"/>
    <tableColumn id="6893" xr3:uid="{5BBA35AF-5F78-42B4-8E65-726868B9140F}" name="Column6886"/>
    <tableColumn id="6894" xr3:uid="{6E805A82-53CE-4C21-94DA-6DF6748F6784}" name="Column6887"/>
    <tableColumn id="6895" xr3:uid="{3A097EFA-FDA9-4A76-B82F-4CB24DD7A928}" name="Column6888"/>
    <tableColumn id="6896" xr3:uid="{EA38B2C6-01AE-440A-930A-EDB031C6DAD0}" name="Column6889"/>
    <tableColumn id="6897" xr3:uid="{1730364C-1B27-4A8A-A840-8BFA242E8FE0}" name="Column6890"/>
    <tableColumn id="6898" xr3:uid="{67400590-1145-4B00-AD57-AFDB8CF6EAEA}" name="Column6891"/>
    <tableColumn id="6899" xr3:uid="{977FCA88-CA10-4589-A92D-A7E9FAAACD4C}" name="Column6892"/>
    <tableColumn id="6900" xr3:uid="{6A11D022-DFB3-4F9C-BA99-09FB7263CB68}" name="Column6893"/>
    <tableColumn id="6901" xr3:uid="{68253B21-9400-48BA-810A-0330C577909F}" name="Column6894"/>
    <tableColumn id="6902" xr3:uid="{9153B2F0-E216-4B7E-A3A6-B2E3F43A8BEF}" name="Column6895"/>
    <tableColumn id="6903" xr3:uid="{915009FA-13B6-4BD6-95E9-5B2A033B1262}" name="Column6896"/>
    <tableColumn id="6904" xr3:uid="{7CA5E7F8-0206-430D-8E32-8E866F5BF76C}" name="Column6897"/>
    <tableColumn id="6905" xr3:uid="{B50012BA-CE4E-4A6B-A8E1-912645CFBC64}" name="Column6898"/>
    <tableColumn id="6906" xr3:uid="{D9C8FAA3-B9A8-4C41-BBFD-DD958A94D71B}" name="Column6899"/>
    <tableColumn id="6907" xr3:uid="{073AB76D-3011-4FE1-AF72-97983379E11B}" name="Column6900"/>
    <tableColumn id="6908" xr3:uid="{53795ED0-2041-4FDD-84DA-F3F7BD4BFDD5}" name="Column6901"/>
    <tableColumn id="6909" xr3:uid="{FE210BA6-9E18-4CF1-94DA-E82B3AE27E59}" name="Column6902"/>
    <tableColumn id="6910" xr3:uid="{A4E25605-266F-4BC2-AC7F-3B753DAABAD5}" name="Column6903"/>
    <tableColumn id="6911" xr3:uid="{FF451E51-8FD0-47B7-8DB2-7F8644CCB874}" name="Column6904"/>
    <tableColumn id="6912" xr3:uid="{8300A59E-3B3D-465D-9256-12191FBEA71B}" name="Column6905"/>
    <tableColumn id="6913" xr3:uid="{708163F0-2C94-465F-9424-B7BDC4996FC0}" name="Column6906"/>
    <tableColumn id="6914" xr3:uid="{901E8E04-F7C3-40B9-97FF-E0BB271B21E6}" name="Column6907"/>
    <tableColumn id="6915" xr3:uid="{C3746CA0-8E63-459D-BFC8-7A101E68793B}" name="Column6908"/>
    <tableColumn id="6916" xr3:uid="{01494D6D-8D6E-4E78-A81C-BEE6337B0B51}" name="Column6909"/>
    <tableColumn id="6917" xr3:uid="{4EB9064F-0BB6-4FB5-B029-CEED483B24E3}" name="Column6910"/>
    <tableColumn id="6918" xr3:uid="{8DDF7965-A296-4202-B544-68B2BE3C2B23}" name="Column6911"/>
    <tableColumn id="6919" xr3:uid="{A6DEB22A-FE63-4315-8D9F-39A9268F94F5}" name="Column6912"/>
    <tableColumn id="6920" xr3:uid="{7CD8953E-0DDF-43C4-8CBF-BB01D45D28C2}" name="Column6913"/>
    <tableColumn id="6921" xr3:uid="{C0BABA2B-C4DC-4391-B9BA-0B31C4AA0E2B}" name="Column6914"/>
    <tableColumn id="6922" xr3:uid="{F11CA0D2-E1C1-4B92-B074-F1067F55FE44}" name="Column6915"/>
    <tableColumn id="6923" xr3:uid="{FB9E7AF2-3B86-4D8F-8883-19FFEC6BE571}" name="Column6916"/>
    <tableColumn id="6924" xr3:uid="{C8EE5379-6A5F-430C-98FC-974BAFF82E16}" name="Column6917"/>
    <tableColumn id="6925" xr3:uid="{5E78942C-A441-455F-977E-EF9AA7308FC3}" name="Column6918"/>
    <tableColumn id="6926" xr3:uid="{0DBC727A-BB6B-4938-B12D-01336059BDA2}" name="Column6919"/>
    <tableColumn id="6927" xr3:uid="{4ED1097B-0DF8-4565-878D-DE12813278A3}" name="Column6920"/>
    <tableColumn id="6928" xr3:uid="{2E12B392-7409-4BEF-87C1-3B784C2A604D}" name="Column6921"/>
    <tableColumn id="6929" xr3:uid="{6419F7FC-12A0-4301-BE74-0DDCD3EB147B}" name="Column6922"/>
    <tableColumn id="6930" xr3:uid="{20184358-64D4-40B5-89CD-2EF3D9A802E8}" name="Column6923"/>
    <tableColumn id="6931" xr3:uid="{FEF8668D-F716-4340-BE7E-3388B574D8E4}" name="Column6924"/>
    <tableColumn id="6932" xr3:uid="{9BDEE976-9DA5-46F6-86A7-6F6F93E61299}" name="Column6925"/>
    <tableColumn id="6933" xr3:uid="{8BC0A94D-E3C9-45E2-9A88-F66949DF0CFF}" name="Column6926"/>
    <tableColumn id="6934" xr3:uid="{34EA7179-F464-4A3E-BD47-A0D50996E9DA}" name="Column6927"/>
    <tableColumn id="6935" xr3:uid="{8022E22C-1CEA-4B7F-9F49-AA4D7BD53BD8}" name="Column6928"/>
    <tableColumn id="6936" xr3:uid="{FAA770F0-FD38-4F0C-8C82-CED90C0D056D}" name="Column6929"/>
    <tableColumn id="6937" xr3:uid="{4DB285AB-F6FA-4609-AF21-4035A6F3379F}" name="Column6930"/>
    <tableColumn id="6938" xr3:uid="{E4DED795-297B-43A2-A775-22A1D9DC72D3}" name="Column6931"/>
    <tableColumn id="6939" xr3:uid="{1475C06A-4055-4879-9AD2-AD83D35B986C}" name="Column6932"/>
    <tableColumn id="6940" xr3:uid="{FBA70DA4-5509-4028-A9C5-30865082C681}" name="Column6933"/>
    <tableColumn id="6941" xr3:uid="{F3E2EF6C-46D0-4CAA-96F5-622B2715E183}" name="Column6934"/>
    <tableColumn id="6942" xr3:uid="{465E146F-228A-4007-BC9A-3975A2AB314D}" name="Column6935"/>
    <tableColumn id="6943" xr3:uid="{DC645D23-2217-4494-9A95-705956FB3B3D}" name="Column6936"/>
    <tableColumn id="6944" xr3:uid="{56B2EB50-D4D0-4884-BC90-9C9F38095E49}" name="Column6937"/>
    <tableColumn id="6945" xr3:uid="{2AC68ECD-DB70-462C-8B90-2C12963DA596}" name="Column6938"/>
    <tableColumn id="6946" xr3:uid="{2FEF2261-B588-49B2-AED2-7F0CD5D3A773}" name="Column6939"/>
    <tableColumn id="6947" xr3:uid="{DAA7DF82-34CB-4312-8C9A-D99F54252A11}" name="Column6940"/>
    <tableColumn id="6948" xr3:uid="{04795C53-C47E-4063-ACCB-3E0FEEE63303}" name="Column6941"/>
    <tableColumn id="6949" xr3:uid="{C94017DE-EB34-4347-8138-4F1CEB440F42}" name="Column6942"/>
    <tableColumn id="6950" xr3:uid="{5FC171CB-315F-4991-BAE8-28D7807FD24A}" name="Column6943"/>
    <tableColumn id="6951" xr3:uid="{034AD2BC-5984-4FC4-A1B4-B1782EBB668F}" name="Column6944"/>
    <tableColumn id="6952" xr3:uid="{87FDF2C3-68BE-4DB3-A949-3C7C1B78AF53}" name="Column6945"/>
    <tableColumn id="6953" xr3:uid="{2B8486F7-272A-4C41-8981-4E9A0611FE91}" name="Column6946"/>
    <tableColumn id="6954" xr3:uid="{F4943825-7555-435A-83C7-040D789EB561}" name="Column6947"/>
    <tableColumn id="6955" xr3:uid="{202299E1-B1CB-4F7D-9D54-8072CB6A8946}" name="Column6948"/>
    <tableColumn id="6956" xr3:uid="{A561B984-7EDD-40A4-9DCB-799079071A54}" name="Column6949"/>
    <tableColumn id="6957" xr3:uid="{F78144F0-DF3E-42B4-B30B-E7B86203BF0F}" name="Column6950"/>
    <tableColumn id="6958" xr3:uid="{357AB725-7A67-4EC8-B73B-71C8B5229CBF}" name="Column6951"/>
    <tableColumn id="6959" xr3:uid="{0CAC99DF-8F60-4384-932E-D47F6EBB8E51}" name="Column6952"/>
    <tableColumn id="6960" xr3:uid="{1F9333A9-B2AB-4DB5-B95E-CA65AD8EA511}" name="Column6953"/>
    <tableColumn id="6961" xr3:uid="{E9AA147B-E4DD-406E-913D-F533CF66BEE6}" name="Column6954"/>
    <tableColumn id="6962" xr3:uid="{36A60C3F-F4C7-467F-BA3E-FBCFE2946A4A}" name="Column6955"/>
    <tableColumn id="6963" xr3:uid="{FCAF3E7E-7700-4E24-B486-770799FF17B7}" name="Column6956"/>
    <tableColumn id="6964" xr3:uid="{9D4191F0-E3EB-49A1-9908-43CD2D9E48C5}" name="Column6957"/>
    <tableColumn id="6965" xr3:uid="{3BBBB0D9-092B-4122-90D9-2A89B86A2946}" name="Column6958"/>
    <tableColumn id="6966" xr3:uid="{159A0CB7-202E-4402-A370-6A334AA1F7DA}" name="Column6959"/>
    <tableColumn id="6967" xr3:uid="{1DA521C9-FAAE-4A38-A06B-B930711B2667}" name="Column6960"/>
    <tableColumn id="6968" xr3:uid="{E27C4CB7-4073-420F-BB21-F39E79942388}" name="Column6961"/>
    <tableColumn id="6969" xr3:uid="{5985D74F-0E3C-483E-88F6-1D8D61C27F00}" name="Column6962"/>
    <tableColumn id="6970" xr3:uid="{4F866269-F07E-45F9-947F-DD0D6E6B1B1B}" name="Column6963"/>
    <tableColumn id="6971" xr3:uid="{35BCE732-DF49-446E-AD1B-55DBE5EDC249}" name="Column6964"/>
    <tableColumn id="6972" xr3:uid="{B9D891AA-64AA-4966-A933-5C61B64CA584}" name="Column6965"/>
    <tableColumn id="6973" xr3:uid="{0E1C786C-407D-482F-86AE-D0DD5094AD93}" name="Column6966"/>
    <tableColumn id="6974" xr3:uid="{E1E332F4-6249-4BCC-A448-792305FB3476}" name="Column6967"/>
    <tableColumn id="6975" xr3:uid="{66102897-0AB1-40EE-AA00-268B1649E5B1}" name="Column6968"/>
    <tableColumn id="6976" xr3:uid="{B1F0A196-F9C6-4F08-A091-8A1A575A158E}" name="Column6969"/>
    <tableColumn id="6977" xr3:uid="{C055EDDC-FA47-42FF-BC76-465B1474779B}" name="Column6970"/>
    <tableColumn id="6978" xr3:uid="{02DD5ECA-841E-43E2-8098-E3D89EA6F0D7}" name="Column6971"/>
    <tableColumn id="6979" xr3:uid="{D8C6BB6A-701F-4976-B65A-490814105A33}" name="Column6972"/>
    <tableColumn id="6980" xr3:uid="{131C4BAA-BA36-4033-8B8D-725DBD4529FA}" name="Column6973"/>
    <tableColumn id="6981" xr3:uid="{0C4710D5-6DC1-4591-B4BD-9354D3E31F3F}" name="Column6974"/>
    <tableColumn id="6982" xr3:uid="{181E4D76-9827-49C4-8A20-02778AEEBC0D}" name="Column6975"/>
    <tableColumn id="6983" xr3:uid="{D5647219-0027-440F-8526-B9FA364C1656}" name="Column6976"/>
    <tableColumn id="6984" xr3:uid="{7B068E85-7A7A-4B6E-B87D-9B098827BEBD}" name="Column6977"/>
    <tableColumn id="6985" xr3:uid="{4027672B-34D9-4AAB-AA8B-AB60663C11C9}" name="Column6978"/>
    <tableColumn id="6986" xr3:uid="{07BF613A-1FB7-4C2E-B148-C7EAD6D39C66}" name="Column6979"/>
    <tableColumn id="6987" xr3:uid="{1BEA112D-5C35-401D-A517-07CF667EE145}" name="Column6980"/>
    <tableColumn id="6988" xr3:uid="{99DEABB5-15E5-4AA3-85D4-428CEC71E5CC}" name="Column6981"/>
    <tableColumn id="6989" xr3:uid="{026CDDBA-E63F-4B0F-B389-8546D947C916}" name="Column6982"/>
    <tableColumn id="6990" xr3:uid="{87D63E13-02B2-41C0-819A-44891CF6FBB9}" name="Column6983"/>
    <tableColumn id="6991" xr3:uid="{0C6AA2AD-C5BD-4E33-885C-9E1E784020E5}" name="Column6984"/>
    <tableColumn id="6992" xr3:uid="{20354302-E290-4962-9385-C88C68B3E35F}" name="Column6985"/>
    <tableColumn id="6993" xr3:uid="{4D6451D4-0A9A-4812-BFF1-9E3F76FB0E69}" name="Column6986"/>
    <tableColumn id="6994" xr3:uid="{DA7942AB-AF15-4722-849E-3056993B3E7D}" name="Column6987"/>
    <tableColumn id="6995" xr3:uid="{5E8C9D41-2A1F-4944-AC64-B29523733BE8}" name="Column6988"/>
    <tableColumn id="6996" xr3:uid="{904FFC65-9637-4585-99D1-9435EB40879D}" name="Column6989"/>
    <tableColumn id="6997" xr3:uid="{284326F2-2AD0-443C-B7FF-E8FE7E68A49C}" name="Column6990"/>
    <tableColumn id="6998" xr3:uid="{E41C721A-9DB4-4089-B376-790D4F578F29}" name="Column6991"/>
    <tableColumn id="6999" xr3:uid="{9F43B1BA-D20A-48E8-B696-D8E7B10B2096}" name="Column6992"/>
    <tableColumn id="7000" xr3:uid="{8262F002-AB23-49A9-A68D-4895CFB0EAB3}" name="Column6993"/>
    <tableColumn id="7001" xr3:uid="{D2016568-182F-4664-8D13-E87DEC661AAC}" name="Column6994"/>
    <tableColumn id="7002" xr3:uid="{4AF4366F-73D6-4404-9AA3-FEBFBD7A5505}" name="Column6995"/>
    <tableColumn id="7003" xr3:uid="{780F9148-C871-4941-BBE0-4903442E7F5E}" name="Column6996"/>
    <tableColumn id="7004" xr3:uid="{D93CFFDE-749E-4007-B2A9-9B3635CB8180}" name="Column6997"/>
    <tableColumn id="7005" xr3:uid="{3DF66208-41E3-4793-AD9C-FC295D681565}" name="Column6998"/>
    <tableColumn id="7006" xr3:uid="{07B0BBB8-5F5C-40E1-AF2D-2EF27542E04D}" name="Column6999"/>
    <tableColumn id="7007" xr3:uid="{B88D1BCF-62AA-4858-A345-ABA92AAB95B3}" name="Column7000"/>
    <tableColumn id="7008" xr3:uid="{536FCCE2-7CC8-4F0B-91BF-25E45B2410AB}" name="Column7001"/>
    <tableColumn id="7009" xr3:uid="{3065F4A5-5B00-4746-849E-01282CF1DA7C}" name="Column7002"/>
    <tableColumn id="7010" xr3:uid="{75D29243-B252-4791-B0BC-9A9AA0325D22}" name="Column7003"/>
    <tableColumn id="7011" xr3:uid="{9B6C5672-6CEA-45BA-AF16-8C0DFA2DFF23}" name="Column7004"/>
    <tableColumn id="7012" xr3:uid="{D572B041-2E19-4D78-B928-317F5116F1A3}" name="Column7005"/>
    <tableColumn id="7013" xr3:uid="{46238A6F-B22F-450A-A460-F4CA2FCB8776}" name="Column7006"/>
    <tableColumn id="7014" xr3:uid="{A7C68189-EF09-4B97-ACC3-84978564D6A9}" name="Column7007"/>
    <tableColumn id="7015" xr3:uid="{92AB6441-36F7-437B-BA9F-0892C6DD00E6}" name="Column7008"/>
    <tableColumn id="7016" xr3:uid="{507C31B8-2AC9-4ED3-9D28-1D9598A8F0EC}" name="Column7009"/>
    <tableColumn id="7017" xr3:uid="{6999C94E-509A-4C1A-827E-F4CF4E2BF432}" name="Column7010"/>
    <tableColumn id="7018" xr3:uid="{5708962F-1F3B-4EC4-8FFB-19AC2E176A8A}" name="Column7011"/>
    <tableColumn id="7019" xr3:uid="{7F71CDC4-5EBA-4FF2-BCC7-316EAE8EF871}" name="Column7012"/>
    <tableColumn id="7020" xr3:uid="{0714C979-32F7-4C2A-A4A4-630D5582E309}" name="Column7013"/>
    <tableColumn id="7021" xr3:uid="{BDC5882C-F56F-4F00-B92D-551FFE3A2F78}" name="Column7014"/>
    <tableColumn id="7022" xr3:uid="{0725E2D2-D622-4BF2-86CE-A25980682649}" name="Column7015"/>
    <tableColumn id="7023" xr3:uid="{D53BFBA4-E275-4F0C-B56D-E05EC9C46402}" name="Column7016"/>
    <tableColumn id="7024" xr3:uid="{A5DC65D0-DCC8-41BF-8BF7-E4A1F87B8EFF}" name="Column7017"/>
    <tableColumn id="7025" xr3:uid="{89A68C8D-C60C-4247-B0DF-0D55442A4F02}" name="Column7018"/>
    <tableColumn id="7026" xr3:uid="{8539E5FD-76D6-46ED-AB0F-90F7514AF06E}" name="Column7019"/>
    <tableColumn id="7027" xr3:uid="{3442DA8B-D26E-4BE7-AC80-0552149319F6}" name="Column7020"/>
    <tableColumn id="7028" xr3:uid="{36EC4B01-D3DA-4711-A769-7F2A4B9303A8}" name="Column7021"/>
    <tableColumn id="7029" xr3:uid="{A6CDBC2D-3C0D-4872-8CE9-6C318D662757}" name="Column7022"/>
    <tableColumn id="7030" xr3:uid="{92A6DAD5-A164-4EBD-9E7E-34064293FC94}" name="Column7023"/>
    <tableColumn id="7031" xr3:uid="{4A7004CD-2367-49A1-A0BA-6716BA3A8C34}" name="Column7024"/>
    <tableColumn id="7032" xr3:uid="{B6C203C4-0750-45CC-B653-1B2212245E27}" name="Column7025"/>
    <tableColumn id="7033" xr3:uid="{157A9DFF-D1A4-4FF3-A7C2-F5EC8C508DAF}" name="Column7026"/>
    <tableColumn id="7034" xr3:uid="{186C1633-9BCB-4443-AF6F-09F558B44981}" name="Column7027"/>
    <tableColumn id="7035" xr3:uid="{7363F0CE-9B36-434D-8F2E-9955997B4CA7}" name="Column7028"/>
    <tableColumn id="7036" xr3:uid="{20D1E7C4-41BA-4F4F-8E2E-2913D82E61DA}" name="Column7029"/>
    <tableColumn id="7037" xr3:uid="{F3743E38-32AA-4A78-9379-922AB9E9F4F2}" name="Column7030"/>
    <tableColumn id="7038" xr3:uid="{002362DC-DC36-4779-9E07-CFE6D493909E}" name="Column7031"/>
    <tableColumn id="7039" xr3:uid="{55DDCAC1-CE6A-481C-9524-18CC40CA4A23}" name="Column7032"/>
    <tableColumn id="7040" xr3:uid="{97BF243F-AB1E-4560-A4DF-0696578B18C8}" name="Column7033"/>
    <tableColumn id="7041" xr3:uid="{690342E7-6E68-4C6E-B128-CAC81A27F987}" name="Column7034"/>
    <tableColumn id="7042" xr3:uid="{A9ED2386-F6B3-41CD-9EF6-77642561613F}" name="Column7035"/>
    <tableColumn id="7043" xr3:uid="{4857364A-E68B-4CE8-B78D-AA9AFCE2A96B}" name="Column7036"/>
    <tableColumn id="7044" xr3:uid="{F82099C2-747B-49DF-A3DE-14DADADC03CE}" name="Column7037"/>
    <tableColumn id="7045" xr3:uid="{7273A730-9454-40C9-AD10-8DD2BBFDBA1C}" name="Column7038"/>
    <tableColumn id="7046" xr3:uid="{4F792D10-1BB3-47D4-9A87-D08C771DDAD1}" name="Column7039"/>
    <tableColumn id="7047" xr3:uid="{253167D4-BA89-46ED-99B2-E6F48FADF433}" name="Column7040"/>
    <tableColumn id="7048" xr3:uid="{731210D2-D265-49FA-9F83-864C9834C67D}" name="Column7041"/>
    <tableColumn id="7049" xr3:uid="{A4D1595F-F902-48EB-926A-782FA6BC4EFC}" name="Column7042"/>
    <tableColumn id="7050" xr3:uid="{C173DC15-87A9-484C-9786-5282EBD4C27C}" name="Column7043"/>
    <tableColumn id="7051" xr3:uid="{EDD50E90-0742-4DAA-9F41-D505EEA5F90F}" name="Column7044"/>
    <tableColumn id="7052" xr3:uid="{82551D70-AD90-4249-ACCB-D1836579EE3F}" name="Column7045"/>
    <tableColumn id="7053" xr3:uid="{CE7E6279-C003-4BCC-85C9-1C9F40ACC730}" name="Column7046"/>
    <tableColumn id="7054" xr3:uid="{68A85A95-753F-48A4-B2F4-9B8FD58E5426}" name="Column7047"/>
    <tableColumn id="7055" xr3:uid="{4A78404E-2F8D-4E1C-9D9E-B84725638FE7}" name="Column7048"/>
    <tableColumn id="7056" xr3:uid="{E95E4420-ADA7-4887-BB2A-CA1A19C46BF9}" name="Column7049"/>
    <tableColumn id="7057" xr3:uid="{0C7689CE-8316-44EA-B9A6-8F0B8352CE29}" name="Column7050"/>
    <tableColumn id="7058" xr3:uid="{5C686EA3-0865-4E20-A0DB-6D967E12C21E}" name="Column7051"/>
    <tableColumn id="7059" xr3:uid="{80B01408-C1F5-4059-AA39-C170C16BF958}" name="Column7052"/>
    <tableColumn id="7060" xr3:uid="{5A58F91F-927D-4C7A-990A-2301F1E18AB6}" name="Column7053"/>
    <tableColumn id="7061" xr3:uid="{66BD33DD-5B49-4B82-BD16-44E59030F13B}" name="Column7054"/>
    <tableColumn id="7062" xr3:uid="{5B528552-2A71-4E92-97E7-5059D2C22328}" name="Column7055"/>
    <tableColumn id="7063" xr3:uid="{5BBC8FC8-8416-4187-B86D-856F830FF8A3}" name="Column7056"/>
    <tableColumn id="7064" xr3:uid="{E5F28656-7073-4123-A6A1-A7FE06804AA1}" name="Column7057"/>
    <tableColumn id="7065" xr3:uid="{F15AB3AE-7007-490D-826B-45C739281028}" name="Column7058"/>
    <tableColumn id="7066" xr3:uid="{A0F52575-1C2F-4EBC-B2B3-A49EC3CFC4F2}" name="Column7059"/>
    <tableColumn id="7067" xr3:uid="{770D09D0-1C53-4326-9E00-EE73C9C96E34}" name="Column7060"/>
    <tableColumn id="7068" xr3:uid="{361F1D40-A749-4626-811F-F4D2F9BD9B25}" name="Column7061"/>
    <tableColumn id="7069" xr3:uid="{6607B846-1A8B-4E44-B491-09F7EE5A1E5F}" name="Column7062"/>
    <tableColumn id="7070" xr3:uid="{9CC575F6-7D05-431B-BBF7-A8E58DB27C62}" name="Column7063"/>
    <tableColumn id="7071" xr3:uid="{308F44FC-4030-40C9-A447-3A1F60D550D1}" name="Column7064"/>
    <tableColumn id="7072" xr3:uid="{8C6AAB6F-219E-4073-BD86-085B3B2892DC}" name="Column7065"/>
    <tableColumn id="7073" xr3:uid="{6945E2E9-EF8D-4967-BBCE-88979E00CA44}" name="Column7066"/>
    <tableColumn id="7074" xr3:uid="{A4EA0927-AA6D-41F1-A151-05531F2BC7CF}" name="Column7067"/>
    <tableColumn id="7075" xr3:uid="{94429A92-D4F6-480C-8825-9B91A9374368}" name="Column7068"/>
    <tableColumn id="7076" xr3:uid="{88116B05-E32A-491E-B34F-E4BCBA794FE5}" name="Column7069"/>
    <tableColumn id="7077" xr3:uid="{B180E147-FE0F-45A3-9B29-BA6D0B97F0B9}" name="Column7070"/>
    <tableColumn id="7078" xr3:uid="{0FEFEB5E-F23E-4D47-B018-DCA593D47C1E}" name="Column7071"/>
    <tableColumn id="7079" xr3:uid="{F6078328-A0BE-4A13-808A-241301938CD9}" name="Column7072"/>
    <tableColumn id="7080" xr3:uid="{6D89C629-A851-4868-8AE0-C7F803C10C9B}" name="Column7073"/>
    <tableColumn id="7081" xr3:uid="{A271CC81-F1F0-4013-95B4-8D11D9FFDEBB}" name="Column7074"/>
    <tableColumn id="7082" xr3:uid="{249507B4-F480-4ECB-B4C7-6078ECC3FF75}" name="Column7075"/>
    <tableColumn id="7083" xr3:uid="{5C0A3D72-D986-4E01-BAEA-0812D382A5AE}" name="Column7076"/>
    <tableColumn id="7084" xr3:uid="{084756C0-25C8-4956-9182-F3234A37EFD3}" name="Column7077"/>
    <tableColumn id="7085" xr3:uid="{0C27E57F-8F07-462A-B3C6-ABBFDFE1A943}" name="Column7078"/>
    <tableColumn id="7086" xr3:uid="{7C734116-5A07-4ABE-A282-6D2367FAAB31}" name="Column7079"/>
    <tableColumn id="7087" xr3:uid="{58AD4208-E5EA-4656-9BE4-75C21A2D6715}" name="Column7080"/>
    <tableColumn id="7088" xr3:uid="{756DE6F0-BD08-484D-B7FC-F288FCF8492B}" name="Column7081"/>
    <tableColumn id="7089" xr3:uid="{68012BC1-33FA-4B12-BB3C-876417FA45CA}" name="Column7082"/>
    <tableColumn id="7090" xr3:uid="{D9308FDA-F54F-48E0-9EAA-610EF5E15CA6}" name="Column7083"/>
    <tableColumn id="7091" xr3:uid="{64E057FD-FA39-400F-A9D5-1B15C323774D}" name="Column7084"/>
    <tableColumn id="7092" xr3:uid="{9FBE5743-67E7-40CF-A35D-468A473AFCFA}" name="Column7085"/>
    <tableColumn id="7093" xr3:uid="{AF69CEA8-D65D-49BE-8DD7-5887B0BF2308}" name="Column7086"/>
    <tableColumn id="7094" xr3:uid="{EED5216B-337F-4DEB-9692-351F510FB866}" name="Column7087"/>
    <tableColumn id="7095" xr3:uid="{CC71AF50-7C83-4338-82F6-A7313ACB2EEC}" name="Column7088"/>
    <tableColumn id="7096" xr3:uid="{22B65797-114F-4140-83CE-C4402ABBC364}" name="Column7089"/>
    <tableColumn id="7097" xr3:uid="{7675EAE0-D5C1-485E-A4D3-485B7317BF4F}" name="Column7090"/>
    <tableColumn id="7098" xr3:uid="{7DAE481E-204E-4086-88A6-93B9FDAF05EB}" name="Column7091"/>
    <tableColumn id="7099" xr3:uid="{A73399FA-8473-4736-9B61-F1F8CD87F5E6}" name="Column7092"/>
    <tableColumn id="7100" xr3:uid="{FBAE02D7-1BAE-4164-873F-8DE7D19D2C1E}" name="Column7093"/>
    <tableColumn id="7101" xr3:uid="{6718CF7C-8D2B-4B12-B300-EE960678D753}" name="Column7094"/>
    <tableColumn id="7102" xr3:uid="{5CA770A9-346A-4439-8DA3-04D4350E2268}" name="Column7095"/>
    <tableColumn id="7103" xr3:uid="{883497DD-8322-48A7-8EC7-8864AB65DA06}" name="Column7096"/>
    <tableColumn id="7104" xr3:uid="{0302B4BB-E8CB-4ED0-ABE5-545AAA3B6C5F}" name="Column7097"/>
    <tableColumn id="7105" xr3:uid="{B66EE563-BA20-4978-A875-B96ECB015793}" name="Column7098"/>
    <tableColumn id="7106" xr3:uid="{7325BE4E-ACDB-45DD-973B-2552309F03FC}" name="Column7099"/>
    <tableColumn id="7107" xr3:uid="{422C9E2D-7A48-48E5-BF34-5C87E0385EDC}" name="Column7100"/>
    <tableColumn id="7108" xr3:uid="{F9F8C3FD-9BDC-4D2F-8381-8F765B230055}" name="Column7101"/>
    <tableColumn id="7109" xr3:uid="{40E7B29E-F047-484B-B26F-BAA0F745F380}" name="Column7102"/>
    <tableColumn id="7110" xr3:uid="{613A87C0-09E7-47CF-BCBE-0AAAAFB399BD}" name="Column7103"/>
    <tableColumn id="7111" xr3:uid="{7276C366-E549-4D57-A64C-413A4F4CA53C}" name="Column7104"/>
    <tableColumn id="7112" xr3:uid="{E362F190-DECA-48EA-B95B-CDA8EDBB6C42}" name="Column7105"/>
    <tableColumn id="7113" xr3:uid="{8B7DCDDA-D8CE-454D-8BCC-624E1F38374D}" name="Column7106"/>
    <tableColumn id="7114" xr3:uid="{531CC6D4-DD66-4E95-848F-07C9E176E352}" name="Column7107"/>
    <tableColumn id="7115" xr3:uid="{236D0810-3F20-4AD0-9FCE-8C7680A955CC}" name="Column7108"/>
    <tableColumn id="7116" xr3:uid="{5B122970-A0E1-4EB8-A7E8-DFF79C70A4DD}" name="Column7109"/>
    <tableColumn id="7117" xr3:uid="{93EBB649-F279-49E6-A004-F44B42BC1C39}" name="Column7110"/>
    <tableColumn id="7118" xr3:uid="{6BCD068C-25E0-4BA5-8BEB-B59B8661FE8D}" name="Column7111"/>
    <tableColumn id="7119" xr3:uid="{245EC2BB-14AB-4710-9726-378E57EA17DE}" name="Column7112"/>
    <tableColumn id="7120" xr3:uid="{0233DE1B-3733-4F5F-8318-34DE1FD94945}" name="Column7113"/>
    <tableColumn id="7121" xr3:uid="{D62D4F88-1D55-45E3-A3E9-62FB9348F39E}" name="Column7114"/>
    <tableColumn id="7122" xr3:uid="{98F2FE14-685A-44E6-BA9B-58D8CBCDF12F}" name="Column7115"/>
    <tableColumn id="7123" xr3:uid="{3A975D1C-1EBD-4C31-AC78-BCB424B3712E}" name="Column7116"/>
    <tableColumn id="7124" xr3:uid="{F8A88031-C8B6-4689-A311-3F3973DCEA0F}" name="Column7117"/>
    <tableColumn id="7125" xr3:uid="{52230216-601E-469F-B42F-39D7650781C0}" name="Column7118"/>
    <tableColumn id="7126" xr3:uid="{BDFD1E5F-EB4E-4E3D-AD53-E1B3087DD47F}" name="Column7119"/>
    <tableColumn id="7127" xr3:uid="{9018EFA9-AEEB-4677-890A-7415D1D76066}" name="Column7120"/>
    <tableColumn id="7128" xr3:uid="{4BE3A030-18C1-4420-9E1F-D999E51F33F7}" name="Column7121"/>
    <tableColumn id="7129" xr3:uid="{2B5D8F11-CDBC-47AC-9BD2-F529730B488C}" name="Column7122"/>
    <tableColumn id="7130" xr3:uid="{4CF70127-D302-4CE5-9524-5C4731761620}" name="Column7123"/>
    <tableColumn id="7131" xr3:uid="{2D7DF9FA-F1AF-440E-8408-86EED0AA07F6}" name="Column7124"/>
    <tableColumn id="7132" xr3:uid="{E37AD904-0637-4E4B-ABC1-F12218F9BC71}" name="Column7125"/>
    <tableColumn id="7133" xr3:uid="{1C561EB4-4DF2-48EF-B2C8-F07F1F665E89}" name="Column7126"/>
    <tableColumn id="7134" xr3:uid="{D2283EB6-CA49-4D7E-B964-E8C29CC1E72E}" name="Column7127"/>
    <tableColumn id="7135" xr3:uid="{D8BBB5F2-17FF-489D-BECF-D6DEE1E1B7A0}" name="Column7128"/>
    <tableColumn id="7136" xr3:uid="{A2BDE422-5427-4FFE-9A69-C17DDB115F48}" name="Column7129"/>
    <tableColumn id="7137" xr3:uid="{6B312559-D2B0-418B-BF36-1DA6FA83B965}" name="Column7130"/>
    <tableColumn id="7138" xr3:uid="{60F1565B-A9A1-498E-AE3A-0FF168BFE374}" name="Column7131"/>
    <tableColumn id="7139" xr3:uid="{21B109D2-9D3E-460B-BA33-251EF805C74A}" name="Column7132"/>
    <tableColumn id="7140" xr3:uid="{33BBAED2-9ADD-4F30-B557-74030894047C}" name="Column7133"/>
    <tableColumn id="7141" xr3:uid="{71BE6142-4B80-4AD9-9E23-3A228FAFCA45}" name="Column7134"/>
    <tableColumn id="7142" xr3:uid="{C2BE8182-0386-4CA0-A397-75334699F213}" name="Column7135"/>
    <tableColumn id="7143" xr3:uid="{BD372F86-C126-44EC-90DC-A0B21727A507}" name="Column7136"/>
    <tableColumn id="7144" xr3:uid="{410F2D81-4F57-4C02-A315-8CF8FC2BD951}" name="Column7137"/>
    <tableColumn id="7145" xr3:uid="{804D6166-EE01-4FBA-9E33-7F7E1565B9BD}" name="Column7138"/>
    <tableColumn id="7146" xr3:uid="{C9C8C5F3-1AFF-4D1A-AB4C-7AE146EB39B3}" name="Column7139"/>
    <tableColumn id="7147" xr3:uid="{B237C2B0-F840-4DFD-BE89-29A603DCE94B}" name="Column7140"/>
    <tableColumn id="7148" xr3:uid="{C44B3B0E-627D-43DE-B079-FD8FC8C644E3}" name="Column7141"/>
    <tableColumn id="7149" xr3:uid="{7A02BDE9-801E-4135-88EC-8C70FF5B641E}" name="Column7142"/>
    <tableColumn id="7150" xr3:uid="{C59D443C-2092-4BCF-98A9-59C9566F6009}" name="Column7143"/>
    <tableColumn id="7151" xr3:uid="{D13D3C8E-97CB-434E-8A5E-711F6EB0AA12}" name="Column7144"/>
    <tableColumn id="7152" xr3:uid="{7AFEB87C-6D44-4BCD-9E5D-1AA4DE3E30E4}" name="Column7145"/>
    <tableColumn id="7153" xr3:uid="{A6A83184-C1F5-48F5-95F9-4FC90E35D21A}" name="Column7146"/>
    <tableColumn id="7154" xr3:uid="{D8A24FBD-300E-4994-9A4E-5E5449CFAE8A}" name="Column7147"/>
    <tableColumn id="7155" xr3:uid="{FDFEC02F-1DDB-4751-A379-F66521A5B7B6}" name="Column7148"/>
    <tableColumn id="7156" xr3:uid="{55DCA409-5E43-454F-A496-DB94D9DD16E5}" name="Column7149"/>
    <tableColumn id="7157" xr3:uid="{9D3AE0E2-C912-409F-8111-E2F6ACF4C38F}" name="Column7150"/>
    <tableColumn id="7158" xr3:uid="{E670A670-FE75-4F6B-B2C6-14032E9C5E50}" name="Column7151"/>
    <tableColumn id="7159" xr3:uid="{5294BA30-F8B7-4AD8-A7D5-0C7DDB57FFA4}" name="Column7152"/>
    <tableColumn id="7160" xr3:uid="{E72DD301-89B4-4F61-9BD8-BC845E961BB5}" name="Column7153"/>
    <tableColumn id="7161" xr3:uid="{47F6A2C7-52A7-4E79-94E7-8AF05A73CE21}" name="Column7154"/>
    <tableColumn id="7162" xr3:uid="{67B0FCB9-9E3F-45C1-874A-E99CC44FBDE7}" name="Column7155"/>
    <tableColumn id="7163" xr3:uid="{8F1C5302-82FB-4ABE-B1F1-F5BD130BC730}" name="Column7156"/>
    <tableColumn id="7164" xr3:uid="{C85B5BE5-2514-4665-8246-B9E983C111BE}" name="Column7157"/>
    <tableColumn id="7165" xr3:uid="{B503F779-AB69-4A6E-98E7-1768A8E910A7}" name="Column7158"/>
    <tableColumn id="7166" xr3:uid="{DB8FEB4E-89F1-4B30-AC81-AEB042890ABE}" name="Column7159"/>
    <tableColumn id="7167" xr3:uid="{7C4ABA86-B2C8-441C-9F4D-C514D35AA4C3}" name="Column7160"/>
    <tableColumn id="7168" xr3:uid="{60D92E5C-67D3-42CE-AAC5-27B308D71C90}" name="Column7161"/>
    <tableColumn id="7169" xr3:uid="{9687E20C-4332-49F6-BEAD-25A62EA8A548}" name="Column7162"/>
    <tableColumn id="7170" xr3:uid="{B4FDF2ED-43B4-4D7E-A3FC-F882F0ECAFD2}" name="Column7163"/>
    <tableColumn id="7171" xr3:uid="{63AB9CAF-1F92-4F72-A294-CEA7E1ECFE31}" name="Column7164"/>
    <tableColumn id="7172" xr3:uid="{AA610010-F035-435C-BCCB-F62327FFB522}" name="Column7165"/>
    <tableColumn id="7173" xr3:uid="{72C53205-D4DC-49C5-8613-D72B7DA4E15B}" name="Column7166"/>
    <tableColumn id="7174" xr3:uid="{AB3DB762-432F-4844-B5A6-648C405E21B4}" name="Column7167"/>
    <tableColumn id="7175" xr3:uid="{7506E183-7813-474E-B370-09BE999D157D}" name="Column7168"/>
    <tableColumn id="7176" xr3:uid="{D27B0B75-BB23-4F19-81DB-04550E2E3F20}" name="Column7169"/>
    <tableColumn id="7177" xr3:uid="{4BC94AAB-364F-490E-953D-43D3D410BF87}" name="Column7170"/>
    <tableColumn id="7178" xr3:uid="{CF864662-BE97-46B4-A9AF-32A87D9591E5}" name="Column7171"/>
    <tableColumn id="7179" xr3:uid="{30E2E5E6-C26D-46F8-A88E-D8BA4B0DDA91}" name="Column7172"/>
    <tableColumn id="7180" xr3:uid="{7A26AE8E-8287-4EBC-AC29-FE8D461295D4}" name="Column7173"/>
    <tableColumn id="7181" xr3:uid="{4F9458D3-B3A8-4230-8302-67068A85A1C1}" name="Column7174"/>
    <tableColumn id="7182" xr3:uid="{A77322DC-B74D-4C8A-ACF4-6971EF1DA37F}" name="Column7175"/>
    <tableColumn id="7183" xr3:uid="{9D679C28-CE0A-49EA-8294-8614DAF41C1E}" name="Column7176"/>
    <tableColumn id="7184" xr3:uid="{98ED8667-65E7-4522-AF1B-8CF1DA143B04}" name="Column7177"/>
    <tableColumn id="7185" xr3:uid="{4C900FCC-C8B1-49FD-888C-C0B86C0F0D80}" name="Column7178"/>
    <tableColumn id="7186" xr3:uid="{46B399FD-1D03-451C-BF9A-A470631E16C0}" name="Column7179"/>
    <tableColumn id="7187" xr3:uid="{761271E1-5C42-4E7E-B99A-156746AB5BDB}" name="Column7180"/>
    <tableColumn id="7188" xr3:uid="{EB8B8114-7011-4748-B090-D310F09C51EE}" name="Column7181"/>
    <tableColumn id="7189" xr3:uid="{0A89AE58-4431-4BD8-ACE7-40693340B526}" name="Column7182"/>
    <tableColumn id="7190" xr3:uid="{849A24FA-766A-4D17-9FBF-1CFDCEF4B548}" name="Column7183"/>
    <tableColumn id="7191" xr3:uid="{086E09C4-B8A1-422A-86D8-9AEBCA6EFDB6}" name="Column7184"/>
    <tableColumn id="7192" xr3:uid="{3CDDFC6E-7192-46E0-9ED0-93B30448A152}" name="Column7185"/>
    <tableColumn id="7193" xr3:uid="{7B4E7FE5-9E6F-49B9-9F8A-6AB0AC3FBD02}" name="Column7186"/>
    <tableColumn id="7194" xr3:uid="{49C279D8-9619-4B39-8161-A27CA8205027}" name="Column7187"/>
    <tableColumn id="7195" xr3:uid="{DA482FA2-3553-4393-9C0B-6CFBA6C50B87}" name="Column7188"/>
    <tableColumn id="7196" xr3:uid="{C2F2F80E-EE03-4F84-B443-E41F45645659}" name="Column7189"/>
    <tableColumn id="7197" xr3:uid="{559148BD-6415-4698-B54C-DCB1EDF83D28}" name="Column7190"/>
    <tableColumn id="7198" xr3:uid="{DE6313BC-566F-46D3-B0FC-0B535DB8FA6D}" name="Column7191"/>
    <tableColumn id="7199" xr3:uid="{6D866D1C-559C-4D2B-8BBC-AA12FBE77555}" name="Column7192"/>
    <tableColumn id="7200" xr3:uid="{80D34D4E-1E6F-4C14-B93C-39CB0161C88E}" name="Column7193"/>
    <tableColumn id="7201" xr3:uid="{48D24AD4-7CE4-44FC-8017-B83B69713A53}" name="Column7194"/>
    <tableColumn id="7202" xr3:uid="{21C12FF5-4868-43BC-AF1F-61667465E611}" name="Column7195"/>
    <tableColumn id="7203" xr3:uid="{087A6DF1-D10D-4D9B-9CFB-ED7F38394A91}" name="Column7196"/>
    <tableColumn id="7204" xr3:uid="{2971DC9B-56DC-4C90-853E-BB62FE9B7A24}" name="Column7197"/>
    <tableColumn id="7205" xr3:uid="{7121DFCF-B2A8-4407-B505-F88172C09F73}" name="Column7198"/>
    <tableColumn id="7206" xr3:uid="{31120237-5CE2-4FF9-AC29-9CBE1FFCF021}" name="Column7199"/>
    <tableColumn id="7207" xr3:uid="{A79D05DF-8835-49A8-9852-46A6FB3DA44D}" name="Column7200"/>
    <tableColumn id="7208" xr3:uid="{96023CF7-5A0E-4966-B86C-6246CE2A52F1}" name="Column7201"/>
    <tableColumn id="7209" xr3:uid="{C2AF356E-1091-4420-9A90-12475BBA24D3}" name="Column7202"/>
    <tableColumn id="7210" xr3:uid="{8E4B5BA3-CA18-4E31-BCD9-4455152BBF66}" name="Column7203"/>
    <tableColumn id="7211" xr3:uid="{CA4991E5-A12D-4BBA-8BC6-C427B7D1410A}" name="Column7204"/>
    <tableColumn id="7212" xr3:uid="{5EFDCFD8-1255-4FE8-B64A-E8CB938845CD}" name="Column7205"/>
    <tableColumn id="7213" xr3:uid="{603F17A0-D455-46A5-9AB9-D82F258D12E7}" name="Column7206"/>
    <tableColumn id="7214" xr3:uid="{DC63E1E9-9CB5-448D-922C-CAD8C450FA09}" name="Column7207"/>
    <tableColumn id="7215" xr3:uid="{639782F5-4A65-41D7-B2B2-E4775B5AFAEE}" name="Column7208"/>
    <tableColumn id="7216" xr3:uid="{05DE4804-5BF0-41A2-A0AB-7A3DCEC44C92}" name="Column7209"/>
    <tableColumn id="7217" xr3:uid="{1F3DAFD0-AB2D-420C-9318-B46806662D8E}" name="Column7210"/>
    <tableColumn id="7218" xr3:uid="{9030E8B1-F742-41A9-94D3-0D33427B8016}" name="Column7211"/>
    <tableColumn id="7219" xr3:uid="{D243B105-993C-4271-887B-A0C27852681E}" name="Column7212"/>
    <tableColumn id="7220" xr3:uid="{AA693CBD-819E-43DF-917A-51DBAC424FE1}" name="Column7213"/>
    <tableColumn id="7221" xr3:uid="{E27425E9-E61A-49C3-AE2A-F61196C6B89F}" name="Column7214"/>
    <tableColumn id="7222" xr3:uid="{F41FD6D1-2FE7-4602-A4FA-456DAC333FA4}" name="Column7215"/>
    <tableColumn id="7223" xr3:uid="{D03363A9-EDAD-419A-BF32-2337C6A169D3}" name="Column7216"/>
    <tableColumn id="7224" xr3:uid="{CF375B55-8A77-424D-8C44-27AED5F6FF84}" name="Column7217"/>
    <tableColumn id="7225" xr3:uid="{717E74BF-DF3F-473F-8CA5-7D9CA07687A3}" name="Column7218"/>
    <tableColumn id="7226" xr3:uid="{15351637-87DF-467F-AD2D-8F30BD5885AB}" name="Column7219"/>
    <tableColumn id="7227" xr3:uid="{503B7B54-8F24-4B65-B9CF-F0735F104FF4}" name="Column7220"/>
    <tableColumn id="7228" xr3:uid="{5A471104-95F1-49CB-8720-38489C09792B}" name="Column7221"/>
    <tableColumn id="7229" xr3:uid="{117F4B01-BB6F-4580-84FE-CA4109501E3D}" name="Column7222"/>
    <tableColumn id="7230" xr3:uid="{023173DC-7F3F-4493-BEF8-431BEB8E56CE}" name="Column7223"/>
    <tableColumn id="7231" xr3:uid="{0E9633CF-D533-46A9-B9F9-DB7D9A2C34D3}" name="Column7224"/>
    <tableColumn id="7232" xr3:uid="{48403E02-4CDA-4477-BEEF-E58FC634C29C}" name="Column7225"/>
    <tableColumn id="7233" xr3:uid="{5CEA4E4E-7283-4D4B-93DF-3098DBD05804}" name="Column7226"/>
    <tableColumn id="7234" xr3:uid="{67A725FE-DA63-43C1-8FDA-9C61E39900FC}" name="Column7227"/>
    <tableColumn id="7235" xr3:uid="{1B29B167-F737-4D43-BAC3-353B0C4843CD}" name="Column7228"/>
    <tableColumn id="7236" xr3:uid="{5DD94360-5DE7-40F1-BB49-CB4C82332CB7}" name="Column7229"/>
    <tableColumn id="7237" xr3:uid="{5641E1F5-A765-45BB-B0EB-9DA90DEA730A}" name="Column7230"/>
    <tableColumn id="7238" xr3:uid="{3AD20C88-CDEC-4C1A-B601-82C4072CA81B}" name="Column7231"/>
    <tableColumn id="7239" xr3:uid="{C679F54C-4AB0-4EAA-A131-ABD131C58712}" name="Column7232"/>
    <tableColumn id="7240" xr3:uid="{5F07142A-4B4A-4C31-99FE-9A062ECFA0EC}" name="Column7233"/>
    <tableColumn id="7241" xr3:uid="{51D49E7D-DB71-4B1B-8CF1-9B6EB2735CE5}" name="Column7234"/>
    <tableColumn id="7242" xr3:uid="{BB9B2B0B-3854-4B73-8550-EBB3726FDB8B}" name="Column7235"/>
    <tableColumn id="7243" xr3:uid="{FAE6074F-CE6C-4AB9-9320-DD174C3CC532}" name="Column7236"/>
    <tableColumn id="7244" xr3:uid="{82A16112-65CE-4E58-AB33-B676C5CB6A9D}" name="Column7237"/>
    <tableColumn id="7245" xr3:uid="{CE65EDBA-95CB-4ED7-A369-842D42F97AAF}" name="Column7238"/>
    <tableColumn id="7246" xr3:uid="{1B579333-9864-4C0F-B47F-1C876E01BF1F}" name="Column7239"/>
    <tableColumn id="7247" xr3:uid="{422B4F70-10C6-467C-976B-D6F0FFCD4D70}" name="Column7240"/>
    <tableColumn id="7248" xr3:uid="{3500023C-5A31-4A51-83D7-C71A0A17AC54}" name="Column7241"/>
    <tableColumn id="7249" xr3:uid="{B2ADD797-2E52-4685-AD9F-4A56FD1D4929}" name="Column7242"/>
    <tableColumn id="7250" xr3:uid="{EE659450-056C-4C9D-9A0F-2181055C8520}" name="Column7243"/>
    <tableColumn id="7251" xr3:uid="{7A3FFCE9-D982-46E4-B0FF-B9A91DAD3659}" name="Column7244"/>
    <tableColumn id="7252" xr3:uid="{B86C4EDF-B473-4AB5-B471-8295EAB4C717}" name="Column7245"/>
    <tableColumn id="7253" xr3:uid="{A58E39FF-609C-43A6-AED3-175339D7D0A3}" name="Column7246"/>
    <tableColumn id="7254" xr3:uid="{965C6E1E-37E6-4DF8-BDD8-776823C60BF9}" name="Column7247"/>
    <tableColumn id="7255" xr3:uid="{8D6ADE1E-0F2B-4352-88FF-9880AE79ED5F}" name="Column7248"/>
    <tableColumn id="7256" xr3:uid="{E587CC7A-1991-4F2C-8A22-0DBC517C3475}" name="Column7249"/>
    <tableColumn id="7257" xr3:uid="{FD7FC396-4453-46BA-86D1-DED224427B1F}" name="Column7250"/>
    <tableColumn id="7258" xr3:uid="{49D17024-0474-4B8D-8500-AEE09CCF052F}" name="Column7251"/>
    <tableColumn id="7259" xr3:uid="{D956FCDA-FF08-428E-A2C9-EE29E1DD82F1}" name="Column7252"/>
    <tableColumn id="7260" xr3:uid="{E08310FF-BF51-4D24-BC65-A37A5DD1FB86}" name="Column7253"/>
    <tableColumn id="7261" xr3:uid="{F4DB6E11-0A27-4B4E-BF62-465A01D23391}" name="Column7254"/>
    <tableColumn id="7262" xr3:uid="{98C13F64-F6DF-4847-B44D-35EE2F45571F}" name="Column7255"/>
    <tableColumn id="7263" xr3:uid="{7581C5D2-2D15-4DBB-B9E3-56757A43C6B8}" name="Column7256"/>
    <tableColumn id="7264" xr3:uid="{32A5D207-8D0B-4683-8D70-FFD1B08AD1F9}" name="Column7257"/>
    <tableColumn id="7265" xr3:uid="{2C96D736-A185-4281-A117-88CA00924B46}" name="Column7258"/>
    <tableColumn id="7266" xr3:uid="{01F86C14-0108-4E5F-90F8-91438F15E92F}" name="Column7259"/>
    <tableColumn id="7267" xr3:uid="{3EE2B985-6397-4724-9403-58276CB02B69}" name="Column7260"/>
    <tableColumn id="7268" xr3:uid="{B43C8D50-DAC8-4455-BCB5-E05F87B41EB6}" name="Column7261"/>
    <tableColumn id="7269" xr3:uid="{57479D6D-2D89-43E0-BC4F-C41C53967E98}" name="Column7262"/>
    <tableColumn id="7270" xr3:uid="{7D735932-2C9F-4302-BD41-A5FE00A96378}" name="Column7263"/>
    <tableColumn id="7271" xr3:uid="{8886FAB0-E9F1-4BD1-86A5-FDF31934C8E1}" name="Column7264"/>
    <tableColumn id="7272" xr3:uid="{2D4B0BE8-1D32-4020-8A08-A5E3D0BDD9ED}" name="Column7265"/>
    <tableColumn id="7273" xr3:uid="{0374F4C9-D2B3-471A-A0ED-F0F8C710E0DC}" name="Column7266"/>
    <tableColumn id="7274" xr3:uid="{99F760A4-F7AC-4209-8A57-49E9EAE85FFB}" name="Column7267"/>
    <tableColumn id="7275" xr3:uid="{60F496C5-9303-445C-90FE-30DF51CCDFEE}" name="Column7268"/>
    <tableColumn id="7276" xr3:uid="{66F52AF3-CE59-4E51-A848-B3AA7CB5ACE9}" name="Column7269"/>
    <tableColumn id="7277" xr3:uid="{5A4390D9-3BB2-49A6-AE9B-EF84FFF09F97}" name="Column7270"/>
    <tableColumn id="7278" xr3:uid="{C488DC8D-F551-403C-8307-B080B2E0A82F}" name="Column7271"/>
    <tableColumn id="7279" xr3:uid="{94266C1E-F0AB-4D74-B82D-C97F779E46D1}" name="Column7272"/>
    <tableColumn id="7280" xr3:uid="{308C1A5A-7749-4FD2-9479-336AED441B55}" name="Column7273"/>
    <tableColumn id="7281" xr3:uid="{F131A417-6351-4BAB-A9DC-FE6670CC1DB0}" name="Column7274"/>
    <tableColumn id="7282" xr3:uid="{E15C26D5-F697-416B-831C-9EF0567CA791}" name="Column7275"/>
    <tableColumn id="7283" xr3:uid="{5548E884-2911-486A-BBD1-FD3DE7828214}" name="Column7276"/>
    <tableColumn id="7284" xr3:uid="{5553C326-15E8-4AA5-A7D0-67E9B6CFC8F6}" name="Column7277"/>
    <tableColumn id="7285" xr3:uid="{C0F1AAA4-0EFB-400C-8496-79938CAF74EC}" name="Column7278"/>
    <tableColumn id="7286" xr3:uid="{23C27247-D4CD-4343-866D-71DA5E6F6B7C}" name="Column7279"/>
    <tableColumn id="7287" xr3:uid="{523C7D6D-5332-4F1B-986A-63F256E92C83}" name="Column7280"/>
    <tableColumn id="7288" xr3:uid="{D607022C-70E8-4431-B649-03952258F363}" name="Column7281"/>
    <tableColumn id="7289" xr3:uid="{7AD550FA-D8A1-49E2-8CD0-B4E92DA098B0}" name="Column7282"/>
    <tableColumn id="7290" xr3:uid="{D6D1A2D6-4FC9-42DE-B8EA-724E22398893}" name="Column7283"/>
    <tableColumn id="7291" xr3:uid="{28A84870-9429-4216-A28C-E75D0FD6634F}" name="Column7284"/>
    <tableColumn id="7292" xr3:uid="{270F5475-256F-43F1-B7F1-A25D76267968}" name="Column7285"/>
    <tableColumn id="7293" xr3:uid="{C43E08B4-EF14-4400-9652-F6C28511D266}" name="Column7286"/>
    <tableColumn id="7294" xr3:uid="{8C9B61C0-61DB-41A8-A7F4-A35ED9474846}" name="Column7287"/>
    <tableColumn id="7295" xr3:uid="{CF3B7F5F-40DE-431E-BE0B-2E4846077BEF}" name="Column7288"/>
    <tableColumn id="7296" xr3:uid="{13BCEBBA-FDD1-4CF9-87AD-599174483AB6}" name="Column7289"/>
    <tableColumn id="7297" xr3:uid="{3FCD2776-6105-428B-9775-D86A981E4F24}" name="Column7290"/>
    <tableColumn id="7298" xr3:uid="{459CDCE2-E1FE-4711-9863-CAFE02EF6C3D}" name="Column7291"/>
    <tableColumn id="7299" xr3:uid="{A8B585B2-E9F8-4344-8A74-0FB3F8C464A7}" name="Column7292"/>
    <tableColumn id="7300" xr3:uid="{68AA15AF-7C9E-479F-99F8-33629F791148}" name="Column7293"/>
    <tableColumn id="7301" xr3:uid="{6DDB9F78-1EF7-4BFE-B8B0-9A2E59096A70}" name="Column7294"/>
    <tableColumn id="7302" xr3:uid="{EA32CA7F-459F-402C-A131-A2124DBA7A3B}" name="Column7295"/>
    <tableColumn id="7303" xr3:uid="{F5888E95-2F87-46F5-8E9E-5750473AB8A5}" name="Column7296"/>
    <tableColumn id="7304" xr3:uid="{CD17A25E-185A-4443-B28B-BFD2EDACE759}" name="Column7297"/>
    <tableColumn id="7305" xr3:uid="{26CCA490-3DA6-40E9-BA3F-FB995974B141}" name="Column7298"/>
    <tableColumn id="7306" xr3:uid="{DE731669-B2CD-4E53-B835-28F9E6945F0D}" name="Column7299"/>
    <tableColumn id="7307" xr3:uid="{195314D5-5C60-462D-B128-A209C76DD808}" name="Column7300"/>
    <tableColumn id="7308" xr3:uid="{9838F663-ED08-4847-9ECC-82DB38E4FC19}" name="Column7301"/>
    <tableColumn id="7309" xr3:uid="{BD934E6B-5125-4920-A471-F7B479AA4CCE}" name="Column7302"/>
    <tableColumn id="7310" xr3:uid="{F5C2DDB8-F472-4346-BC0D-EC9756A074D1}" name="Column7303"/>
    <tableColumn id="7311" xr3:uid="{AAAD49DF-1E0B-42CD-B261-E4999903B855}" name="Column7304"/>
    <tableColumn id="7312" xr3:uid="{B5418A74-18B4-49F7-80A9-677DA7A0463A}" name="Column7305"/>
    <tableColumn id="7313" xr3:uid="{EBBBB91B-1C38-4B2D-BDBD-5F79E1A06B3B}" name="Column7306"/>
    <tableColumn id="7314" xr3:uid="{AD043511-35B0-4E32-8D8A-B58A081C5D64}" name="Column7307"/>
    <tableColumn id="7315" xr3:uid="{7AC0EC0F-AD4F-4D1C-96FE-CFE0E07A80D4}" name="Column7308"/>
    <tableColumn id="7316" xr3:uid="{83036BF7-3BD7-4384-9A96-C2170E85A779}" name="Column7309"/>
    <tableColumn id="7317" xr3:uid="{C96A5D5A-1C19-4280-9C26-71BF013095F6}" name="Column7310"/>
    <tableColumn id="7318" xr3:uid="{D960E87A-7597-4957-99C9-A1479420FEAF}" name="Column7311"/>
    <tableColumn id="7319" xr3:uid="{B54F0973-E631-4776-9504-0016CFB59970}" name="Column7312"/>
    <tableColumn id="7320" xr3:uid="{88C6FCEE-CBFF-408C-AA87-7E38C969F59A}" name="Column7313"/>
    <tableColumn id="7321" xr3:uid="{18973AD5-98CF-45C9-A6B6-FDF509B362A4}" name="Column7314"/>
    <tableColumn id="7322" xr3:uid="{BEA80BF5-C4B0-4AD1-A77E-21CD22F98188}" name="Column7315"/>
    <tableColumn id="7323" xr3:uid="{00B76AC0-DB99-4C15-AA63-37AFE5EB2CDA}" name="Column7316"/>
    <tableColumn id="7324" xr3:uid="{62BC285D-EB31-4CE4-A408-EC491DBB378E}" name="Column7317"/>
    <tableColumn id="7325" xr3:uid="{87CB5F31-E931-4147-BB43-9FAE3E2CDB78}" name="Column7318"/>
    <tableColumn id="7326" xr3:uid="{15E2174D-3388-4C30-9385-4D195041BD09}" name="Column7319"/>
    <tableColumn id="7327" xr3:uid="{F9F23DD3-D1B4-4AAD-9C7E-E1370B50C2D2}" name="Column7320"/>
    <tableColumn id="7328" xr3:uid="{665FFC26-8F87-42A0-8E77-33CF91A49F90}" name="Column7321"/>
    <tableColumn id="7329" xr3:uid="{0D2357BF-7F9C-41F2-A3D8-2ACFF62D7E30}" name="Column7322"/>
    <tableColumn id="7330" xr3:uid="{142ABA4B-7731-468B-ADC0-10FA6FB02C44}" name="Column7323"/>
    <tableColumn id="7331" xr3:uid="{4DA2D11B-47A7-48E5-A869-43398926ADF4}" name="Column7324"/>
    <tableColumn id="7332" xr3:uid="{293C8683-ECD3-428A-BE4F-0369DC011218}" name="Column7325"/>
    <tableColumn id="7333" xr3:uid="{F6F40711-9A99-407B-98E7-0A11E4CE027F}" name="Column7326"/>
    <tableColumn id="7334" xr3:uid="{A17D8826-E525-4462-B3CA-26E558E2AFB2}" name="Column7327"/>
    <tableColumn id="7335" xr3:uid="{FEADE0CA-7B7F-4506-9D17-D5BCC1AED3B3}" name="Column7328"/>
    <tableColumn id="7336" xr3:uid="{6EEAABC1-63FD-49B0-AC46-17F258D17754}" name="Column7329"/>
    <tableColumn id="7337" xr3:uid="{369303D4-EAD1-46CA-97FB-930AB77CD199}" name="Column7330"/>
    <tableColumn id="7338" xr3:uid="{99B0C53A-E4B6-4A94-9D75-1130C6C2D95B}" name="Column7331"/>
    <tableColumn id="7339" xr3:uid="{68FD20CE-725C-4CD5-AE3E-6C67C05F65F0}" name="Column7332"/>
    <tableColumn id="7340" xr3:uid="{D26BD397-577B-4F7D-BC6C-B73DA1A8D908}" name="Column7333"/>
    <tableColumn id="7341" xr3:uid="{82981DE1-6E81-4934-98B4-81D02E9514AA}" name="Column7334"/>
    <tableColumn id="7342" xr3:uid="{9830569D-44E4-4519-B9FE-24C2D265A560}" name="Column7335"/>
    <tableColumn id="7343" xr3:uid="{79F5449D-6678-4FBC-8ADB-12C5C62AED5C}" name="Column7336"/>
    <tableColumn id="7344" xr3:uid="{417043BB-A861-4FBB-A3D8-D7FF1320B80C}" name="Column7337"/>
    <tableColumn id="7345" xr3:uid="{1A95954D-9ACB-46AB-A9A2-838A02BDF729}" name="Column7338"/>
    <tableColumn id="7346" xr3:uid="{343C51D1-87D0-4EDA-B0C6-ED2F03FCB247}" name="Column7339"/>
    <tableColumn id="7347" xr3:uid="{D7E0E026-2C04-4887-96C4-CD69E21A098A}" name="Column7340"/>
    <tableColumn id="7348" xr3:uid="{0DF5CC09-39C8-4D2A-92A6-EA279F5CE09F}" name="Column7341"/>
    <tableColumn id="7349" xr3:uid="{2D362897-07A0-4F1F-92D7-F75C58501DC7}" name="Column7342"/>
    <tableColumn id="7350" xr3:uid="{0A5D640C-8A4F-4DDB-93E1-1B13FE8F3867}" name="Column7343"/>
    <tableColumn id="7351" xr3:uid="{A5E0C841-73DF-4388-92EB-BD7B67D9DA9E}" name="Column7344"/>
    <tableColumn id="7352" xr3:uid="{6F9220EF-50E9-4584-9BAC-8FC93FAA5C6B}" name="Column7345"/>
    <tableColumn id="7353" xr3:uid="{D920D1A3-FDAE-433A-9D6C-2FE88EF0132F}" name="Column7346"/>
    <tableColumn id="7354" xr3:uid="{1EE07DD1-5ACA-4792-B18B-C71BC9D3A1FB}" name="Column7347"/>
    <tableColumn id="7355" xr3:uid="{5F3DE7D5-6922-4847-9DD4-4A368D4F1252}" name="Column7348"/>
    <tableColumn id="7356" xr3:uid="{49CFE1BD-A9C3-4F76-A439-314225C443E0}" name="Column7349"/>
    <tableColumn id="7357" xr3:uid="{7D35531B-762C-4B8D-8EB2-88ABE5114C4C}" name="Column7350"/>
    <tableColumn id="7358" xr3:uid="{44918121-EF4D-494D-AEE8-9EDAFD5B1AB2}" name="Column7351"/>
    <tableColumn id="7359" xr3:uid="{70B902FF-B313-414B-9331-DAF7DA13EBEE}" name="Column7352"/>
    <tableColumn id="7360" xr3:uid="{F006BFF3-5373-43E9-8001-03DCF8949D55}" name="Column7353"/>
    <tableColumn id="7361" xr3:uid="{82B8E705-DAE8-4892-89B7-A0606659A2FB}" name="Column7354"/>
    <tableColumn id="7362" xr3:uid="{36D0262A-FCE3-44B3-808E-86CEFFEA4802}" name="Column7355"/>
    <tableColumn id="7363" xr3:uid="{02722A82-343D-424D-8BBD-8D5B5C694423}" name="Column7356"/>
    <tableColumn id="7364" xr3:uid="{6CC23D0D-9C31-4A71-BF35-3E5EB505AACF}" name="Column7357"/>
    <tableColumn id="7365" xr3:uid="{E0B61E67-305A-4FCE-B0E8-188E84E8D2AA}" name="Column7358"/>
    <tableColumn id="7366" xr3:uid="{03CBB88F-C968-4172-9B8D-DA49C1E7F3EF}" name="Column7359"/>
    <tableColumn id="7367" xr3:uid="{1BCE17AE-771B-4FEC-B251-9ADDEA0617B4}" name="Column7360"/>
    <tableColumn id="7368" xr3:uid="{CFD810FC-E46B-4361-BD9D-EAEBFA3DB16F}" name="Column7361"/>
    <tableColumn id="7369" xr3:uid="{35D0CDEF-0BCA-438F-938E-79272FAB108A}" name="Column7362"/>
    <tableColumn id="7370" xr3:uid="{D9C42090-D0D9-4898-AEF2-3B43669BA2B9}" name="Column7363"/>
    <tableColumn id="7371" xr3:uid="{1642F65F-6CE7-478C-898E-8AACB5D53632}" name="Column7364"/>
    <tableColumn id="7372" xr3:uid="{7EECF565-8CA0-45BB-B3DF-802C235B96D9}" name="Column7365"/>
    <tableColumn id="7373" xr3:uid="{BB930623-796C-4F1E-86AB-127DB2D23E0E}" name="Column7366"/>
    <tableColumn id="7374" xr3:uid="{59D35CC7-CC37-4E95-80A1-1FE7B628D42B}" name="Column7367"/>
    <tableColumn id="7375" xr3:uid="{EDAC9693-020A-43D1-A2D6-519DC98474DC}" name="Column7368"/>
    <tableColumn id="7376" xr3:uid="{F9EB5463-9618-4CF5-B459-0E02355E3B38}" name="Column7369"/>
    <tableColumn id="7377" xr3:uid="{0E888558-9320-46EE-9CB1-8F7AEB86A74C}" name="Column7370"/>
    <tableColumn id="7378" xr3:uid="{40CFF4F0-227E-4A09-9BB8-CD4936FE2D07}" name="Column7371"/>
    <tableColumn id="7379" xr3:uid="{2C861443-CD73-4251-AE88-5EBE2753DB63}" name="Column7372"/>
    <tableColumn id="7380" xr3:uid="{EAA46D80-0518-48DF-9CFC-9DAB6EFCAC2F}" name="Column7373"/>
    <tableColumn id="7381" xr3:uid="{A97A1812-3B5D-4C87-B824-75B6F3D834E1}" name="Column7374"/>
    <tableColumn id="7382" xr3:uid="{C4FFFA92-C635-4B04-BCB7-834E566015FA}" name="Column7375"/>
    <tableColumn id="7383" xr3:uid="{72AC32F6-036B-4DD8-93F1-340BD180809F}" name="Column7376"/>
    <tableColumn id="7384" xr3:uid="{7F831A62-286C-4761-A927-6ABB7055C67C}" name="Column7377"/>
    <tableColumn id="7385" xr3:uid="{544B06E6-CD47-4EE6-A681-0B3BCC3B8910}" name="Column7378"/>
    <tableColumn id="7386" xr3:uid="{6FF14DCB-D7BE-41E9-BFDE-61A3CE759E2D}" name="Column7379"/>
    <tableColumn id="7387" xr3:uid="{738F2D5E-CB6D-4312-AFB0-B1249A800F32}" name="Column7380"/>
    <tableColumn id="7388" xr3:uid="{5318011C-2D73-4C8F-9E09-1C4090B3AADC}" name="Column7381"/>
    <tableColumn id="7389" xr3:uid="{889FF698-764B-499A-A8A3-39552ACCDF43}" name="Column7382"/>
    <tableColumn id="7390" xr3:uid="{E038EC7F-212D-4D57-A505-69258F9FA79A}" name="Column7383"/>
    <tableColumn id="7391" xr3:uid="{9044D4AD-54E8-41E3-B325-C07A92A93F1E}" name="Column7384"/>
    <tableColumn id="7392" xr3:uid="{B89E082C-DEE9-4642-A583-DEF139B959E9}" name="Column7385"/>
    <tableColumn id="7393" xr3:uid="{4692E255-7151-443C-8808-2292275B8679}" name="Column7386"/>
    <tableColumn id="7394" xr3:uid="{DBF56946-3E70-49EA-B880-8E4B6F8D51FD}" name="Column7387"/>
    <tableColumn id="7395" xr3:uid="{D283CEA7-1ECF-437D-B6F2-14AB501464DC}" name="Column7388"/>
    <tableColumn id="7396" xr3:uid="{C445B1F9-3E59-4775-9896-DF8509943243}" name="Column7389"/>
    <tableColumn id="7397" xr3:uid="{BAC61429-92AD-4E9D-BD66-38954B0D0ECE}" name="Column7390"/>
    <tableColumn id="7398" xr3:uid="{D52D7B77-3DC8-4BF2-B315-7434BDD8B192}" name="Column7391"/>
    <tableColumn id="7399" xr3:uid="{1C2271BA-9C05-4EA1-8DCE-035075A534A6}" name="Column7392"/>
    <tableColumn id="7400" xr3:uid="{634C2D66-EA41-4A33-9CAE-103080EA8E40}" name="Column7393"/>
    <tableColumn id="7401" xr3:uid="{53AD0C59-CF61-4EB0-B588-3BCBB3F164A9}" name="Column7394"/>
    <tableColumn id="7402" xr3:uid="{9FA73CA1-8A7E-49A6-8347-DA49FAB947D0}" name="Column7395"/>
    <tableColumn id="7403" xr3:uid="{F6DD65B8-5047-4766-86A8-A3D8CC79E378}" name="Column7396"/>
    <tableColumn id="7404" xr3:uid="{51627189-E67C-4D64-A228-EC39F7A50F42}" name="Column7397"/>
    <tableColumn id="7405" xr3:uid="{8E6064E4-002C-472C-B170-A198DC7A9557}" name="Column7398"/>
    <tableColumn id="7406" xr3:uid="{37806885-CB60-453D-A114-59D81B23336F}" name="Column7399"/>
    <tableColumn id="7407" xr3:uid="{57CE9EC1-CCDE-416B-8346-6CC00E0A3FC5}" name="Column7400"/>
    <tableColumn id="7408" xr3:uid="{0E04F0A8-4E91-4822-BB8F-B6288D3BFAD4}" name="Column7401"/>
    <tableColumn id="7409" xr3:uid="{ECFC9778-EFD0-428F-B952-A9ADC170F41F}" name="Column7402"/>
    <tableColumn id="7410" xr3:uid="{43E2C0E4-E48A-4319-9319-7ECB3A340229}" name="Column7403"/>
    <tableColumn id="7411" xr3:uid="{21CB28D7-49E4-4290-8967-5108971BDDD3}" name="Column7404"/>
    <tableColumn id="7412" xr3:uid="{A8D028B9-CC5D-4C8B-A384-7714003450E6}" name="Column7405"/>
    <tableColumn id="7413" xr3:uid="{D2BC3E6C-2029-41E6-BF43-50E1276F842A}" name="Column7406"/>
    <tableColumn id="7414" xr3:uid="{5B21C063-0A6B-4364-947C-3C5A52E919A3}" name="Column7407"/>
    <tableColumn id="7415" xr3:uid="{776BDB15-19ED-421C-96CA-535B6E80E3B6}" name="Column7408"/>
    <tableColumn id="7416" xr3:uid="{9F9A8079-D25B-4655-9CC6-326B27D2B81E}" name="Column7409"/>
    <tableColumn id="7417" xr3:uid="{E567740E-3A98-422F-ADE2-C16C21D5D4FB}" name="Column7410"/>
    <tableColumn id="7418" xr3:uid="{D7C7FD18-7562-47F7-8CCD-FF7F26E48021}" name="Column7411"/>
    <tableColumn id="7419" xr3:uid="{860A8140-8A41-4D52-8284-14A8CA394805}" name="Column7412"/>
    <tableColumn id="7420" xr3:uid="{30B3C793-DEA7-43AB-B1E3-6FBD3F6EAC1F}" name="Column7413"/>
    <tableColumn id="7421" xr3:uid="{A2CE3A4D-51B0-4E1A-8D41-F393DAB9629A}" name="Column7414"/>
    <tableColumn id="7422" xr3:uid="{D5ACCE7B-F6F2-456B-8845-4FFBB724AD84}" name="Column7415"/>
    <tableColumn id="7423" xr3:uid="{F8F14D79-E79F-482F-A9F2-12B2239CA8E5}" name="Column7416"/>
    <tableColumn id="7424" xr3:uid="{59D5B039-4615-4E05-8117-53C48AAFD135}" name="Column7417"/>
    <tableColumn id="7425" xr3:uid="{9F9F6B1C-71DD-4542-B127-1FBE55759B08}" name="Column7418"/>
    <tableColumn id="7426" xr3:uid="{50829BE4-EC55-46FE-9202-7F742687861F}" name="Column7419"/>
    <tableColumn id="7427" xr3:uid="{8D1E6A9C-496D-44BA-9FAE-AB3554C6E867}" name="Column7420"/>
    <tableColumn id="7428" xr3:uid="{A5864245-61D4-4CF3-B3C9-32F88BB24066}" name="Column7421"/>
    <tableColumn id="7429" xr3:uid="{BAF2E0BC-005E-423F-842C-C04E0F562639}" name="Column7422"/>
    <tableColumn id="7430" xr3:uid="{FDA056F4-AE24-41F0-8BFF-C019F47A5728}" name="Column7423"/>
    <tableColumn id="7431" xr3:uid="{55B8FC71-D029-43C9-B082-807B201CD657}" name="Column7424"/>
    <tableColumn id="7432" xr3:uid="{2502D304-26DE-4442-BFAB-95C48B4EC010}" name="Column7425"/>
    <tableColumn id="7433" xr3:uid="{6A8B9357-F4BA-4E84-918A-F53991810BFB}" name="Column7426"/>
    <tableColumn id="7434" xr3:uid="{6DC77CBE-D7B5-49D5-8595-B1F55DA42E89}" name="Column7427"/>
    <tableColumn id="7435" xr3:uid="{233C85B5-4EF1-4C8F-91F6-41DCF5890C56}" name="Column7428"/>
    <tableColumn id="7436" xr3:uid="{6D09312D-597E-45E7-B273-7A70E184B1C6}" name="Column7429"/>
    <tableColumn id="7437" xr3:uid="{FB416B39-F5DF-41AB-AF7A-4B3B0EBF9E31}" name="Column7430"/>
    <tableColumn id="7438" xr3:uid="{36CE7DF2-A711-4EB2-BBF0-AF5CF295AF96}" name="Column7431"/>
    <tableColumn id="7439" xr3:uid="{8215999A-5DA4-4799-807B-C173B88FE2FB}" name="Column7432"/>
    <tableColumn id="7440" xr3:uid="{9E1E8101-785C-4579-8D73-7F17221E994B}" name="Column7433"/>
    <tableColumn id="7441" xr3:uid="{1A503C54-D5DC-49CC-8039-E15058E49942}" name="Column7434"/>
    <tableColumn id="7442" xr3:uid="{A402BA51-BA61-445F-B66A-09F90CE3436D}" name="Column7435"/>
    <tableColumn id="7443" xr3:uid="{571D14E2-35A1-4F38-AC21-997D8075E6CF}" name="Column7436"/>
    <tableColumn id="7444" xr3:uid="{8210511C-F657-4877-ADD6-CD289AAF1904}" name="Column7437"/>
    <tableColumn id="7445" xr3:uid="{E7014CA1-9838-436F-AF45-C83AE05A01FF}" name="Column7438"/>
    <tableColumn id="7446" xr3:uid="{C681C6D8-61C5-4CAF-A8FC-EFF9F7119DB2}" name="Column7439"/>
    <tableColumn id="7447" xr3:uid="{BE55DD55-4C36-49C7-8E08-2A433B10F1E6}" name="Column7440"/>
    <tableColumn id="7448" xr3:uid="{04BE3875-74FA-47ED-B40A-D58354197431}" name="Column7441"/>
    <tableColumn id="7449" xr3:uid="{827DC211-3C74-442A-B82F-8DD0D12CC2B6}" name="Column7442"/>
    <tableColumn id="7450" xr3:uid="{02BA393D-1915-474C-8478-7766CE1EDBA6}" name="Column7443"/>
    <tableColumn id="7451" xr3:uid="{53CDA730-79DC-4691-AC56-FBF8AFA7B11E}" name="Column7444"/>
    <tableColumn id="7452" xr3:uid="{A5A7E32C-78CE-46C2-9A16-8EAB955CFF2A}" name="Column7445"/>
    <tableColumn id="7453" xr3:uid="{41DEC6B5-BED3-4907-A2A2-4E10E243DD22}" name="Column7446"/>
    <tableColumn id="7454" xr3:uid="{271B9292-0351-452F-9B40-9A4C1F94DB58}" name="Column7447"/>
    <tableColumn id="7455" xr3:uid="{9757F120-A832-434C-8B76-E2C57F8F0F99}" name="Column7448"/>
    <tableColumn id="7456" xr3:uid="{B7B1225D-3F61-4FFC-AAFF-170CEE5B2508}" name="Column7449"/>
    <tableColumn id="7457" xr3:uid="{C7995994-FBC5-4AA1-8D4B-23301CAD3EED}" name="Column7450"/>
    <tableColumn id="7458" xr3:uid="{B6728639-FBB3-46D6-9571-074A0DD59A2A}" name="Column7451"/>
    <tableColumn id="7459" xr3:uid="{7ACDCB1B-6120-4C4C-9FB6-8735A951EBCA}" name="Column7452"/>
    <tableColumn id="7460" xr3:uid="{5D884996-5CE1-4E8A-B1EC-BDB783671E35}" name="Column7453"/>
    <tableColumn id="7461" xr3:uid="{6AD714FE-2E6C-4E13-A43F-9BE2553C77AE}" name="Column7454"/>
    <tableColumn id="7462" xr3:uid="{E10CB5A3-B578-4A00-80BC-271FE96870BD}" name="Column7455"/>
    <tableColumn id="7463" xr3:uid="{266FB5FE-321F-4206-96E7-8DE50FFD8AEE}" name="Column7456"/>
    <tableColumn id="7464" xr3:uid="{7784B94A-B626-4CDB-A840-42BB58E0B8E5}" name="Column7457"/>
    <tableColumn id="7465" xr3:uid="{D97C9B26-3994-488F-AA48-966948616246}" name="Column7458"/>
    <tableColumn id="7466" xr3:uid="{09756EEF-0DB2-48BF-B392-F225AD949280}" name="Column7459"/>
    <tableColumn id="7467" xr3:uid="{5C7B2374-BAD9-4676-B307-43C3EB0A99AF}" name="Column7460"/>
    <tableColumn id="7468" xr3:uid="{ACF940D7-F804-4025-A26D-7293CD47A0DE}" name="Column7461"/>
    <tableColumn id="7469" xr3:uid="{4FCF9576-064B-4D9B-900F-EA1586E4F4EC}" name="Column7462"/>
    <tableColumn id="7470" xr3:uid="{D5F5195F-E31A-44DC-8EC5-64BD15D59030}" name="Column7463"/>
    <tableColumn id="7471" xr3:uid="{43D39686-7E79-4553-AE10-069892C52AC7}" name="Column7464"/>
    <tableColumn id="7472" xr3:uid="{1258FCF1-0D94-4AE0-9260-DFAB0D61AD3B}" name="Column7465"/>
    <tableColumn id="7473" xr3:uid="{9FDA8165-4BEC-411E-B972-3E2C9B12F94B}" name="Column7466"/>
    <tableColumn id="7474" xr3:uid="{668BDCDE-E978-427A-84F7-73A2C7A1A123}" name="Column7467"/>
    <tableColumn id="7475" xr3:uid="{7FF1AFF0-BA40-441F-BC80-3EDAB65FB68F}" name="Column7468"/>
    <tableColumn id="7476" xr3:uid="{DF89165E-594A-4432-8ABC-A41731568D54}" name="Column7469"/>
    <tableColumn id="7477" xr3:uid="{756F925F-3822-4633-9DBC-FFB7F6C180EA}" name="Column7470"/>
    <tableColumn id="7478" xr3:uid="{3D5A995B-2A37-4BAF-9CCD-444FABA504F2}" name="Column7471"/>
    <tableColumn id="7479" xr3:uid="{D3FAEE11-387B-476D-BD50-CA4BE211BA8A}" name="Column7472"/>
    <tableColumn id="7480" xr3:uid="{84799B47-2FCD-420A-AC27-F8E46B754BBD}" name="Column7473"/>
    <tableColumn id="7481" xr3:uid="{0BC41D97-BE92-48C4-B67A-57256DA4EC0E}" name="Column7474"/>
    <tableColumn id="7482" xr3:uid="{8AE45B26-A41E-4EA8-8993-26A4B138D6B8}" name="Column7475"/>
    <tableColumn id="7483" xr3:uid="{61D04C01-D6B4-4A30-8E2E-62EA46708D05}" name="Column7476"/>
    <tableColumn id="7484" xr3:uid="{20744308-A19E-444C-A8A2-2CA311B4BE93}" name="Column7477"/>
    <tableColumn id="7485" xr3:uid="{3A75FD3F-763A-407A-9FC8-C0BD219614EF}" name="Column7478"/>
    <tableColumn id="7486" xr3:uid="{48237A4C-6B94-46DB-9BC5-E82F26E4ED18}" name="Column7479"/>
    <tableColumn id="7487" xr3:uid="{B081DF09-1936-42B2-81C8-24C5D54E234F}" name="Column7480"/>
    <tableColumn id="7488" xr3:uid="{9885EE75-0161-4CC8-84B9-F04C161CD8C9}" name="Column7481"/>
    <tableColumn id="7489" xr3:uid="{45580425-DA1B-4207-B94F-E38197653466}" name="Column7482"/>
    <tableColumn id="7490" xr3:uid="{D1D0E149-EF9B-495E-938A-0D2C4B341791}" name="Column7483"/>
    <tableColumn id="7491" xr3:uid="{957E7742-9C0F-4DBD-953F-EEA12AE1F436}" name="Column7484"/>
    <tableColumn id="7492" xr3:uid="{C533488C-AB69-48EB-A11B-D4887EFB478D}" name="Column7485"/>
    <tableColumn id="7493" xr3:uid="{B17F91C8-FB8D-4ED1-BCC2-819604B3EEE6}" name="Column7486"/>
    <tableColumn id="7494" xr3:uid="{815CD4E2-7FBC-49EF-9648-4AC93BCAC279}" name="Column7487"/>
    <tableColumn id="7495" xr3:uid="{CB356D97-67AC-458B-A13E-2B85508696BB}" name="Column7488"/>
    <tableColumn id="7496" xr3:uid="{A71C8525-9DA9-4D27-9FDC-3DA41969BA5A}" name="Column7489"/>
    <tableColumn id="7497" xr3:uid="{62ED7C48-7234-4159-A3D2-E89C41530939}" name="Column7490"/>
    <tableColumn id="7498" xr3:uid="{6AD789F6-335F-4DC8-922D-6F0F5E842239}" name="Column7491"/>
    <tableColumn id="7499" xr3:uid="{603C7127-FF1C-43CF-8892-040B27E843EE}" name="Column7492"/>
    <tableColumn id="7500" xr3:uid="{3EA90618-8BC6-49EE-84AB-678AE5D117E4}" name="Column7493"/>
    <tableColumn id="7501" xr3:uid="{581FBD0A-D801-4BEF-9AAC-7854DE71E43A}" name="Column7494"/>
    <tableColumn id="7502" xr3:uid="{6B3B9827-FA60-4589-8C87-11CEF5758FCB}" name="Column7495"/>
    <tableColumn id="7503" xr3:uid="{7B4158D5-EFFC-4814-9019-4F6B44FE59A9}" name="Column7496"/>
    <tableColumn id="7504" xr3:uid="{2A95B286-9425-4C0C-8E33-B95AE51C1BA8}" name="Column7497"/>
    <tableColumn id="7505" xr3:uid="{DBC64643-FD9C-421B-B5FB-E49F5F9EF5D4}" name="Column7498"/>
    <tableColumn id="7506" xr3:uid="{3D95AE15-2EC4-45AD-A743-145968FC52E9}" name="Column7499"/>
    <tableColumn id="7507" xr3:uid="{A6B37292-59E0-43FA-BA8C-6DA0C359CA3E}" name="Column7500"/>
    <tableColumn id="7508" xr3:uid="{E8334225-E95D-41FD-BEDF-44AF68102E43}" name="Column7501"/>
    <tableColumn id="7509" xr3:uid="{0FAD131B-4712-4365-9F54-5DE589437DA1}" name="Column7502"/>
    <tableColumn id="7510" xr3:uid="{E3FA9229-DD9D-476B-AF66-262A58EE9FC4}" name="Column7503"/>
    <tableColumn id="7511" xr3:uid="{7A8DC6BB-B3FC-4D2B-8514-9E187EF5AF12}" name="Column7504"/>
    <tableColumn id="7512" xr3:uid="{9E71FAFA-6552-4337-9BC5-2648E9A85905}" name="Column7505"/>
    <tableColumn id="7513" xr3:uid="{DD55919D-B9AB-4DDF-858C-2C6A642431B0}" name="Column7506"/>
    <tableColumn id="7514" xr3:uid="{4623E21C-365A-478B-988F-F3378C3B1A42}" name="Column7507"/>
    <tableColumn id="7515" xr3:uid="{B5D638BE-3B5F-42DA-B079-B32856BF4F4F}" name="Column7508"/>
    <tableColumn id="7516" xr3:uid="{A10E66F5-7CF8-4E7E-9153-62DB8D393D40}" name="Column7509"/>
    <tableColumn id="7517" xr3:uid="{2FABD5FD-9463-4CA2-ACB0-6A96C8DFADBE}" name="Column7510"/>
    <tableColumn id="7518" xr3:uid="{A08DD1B2-00E1-45E2-9855-76BDF30A4192}" name="Column7511"/>
    <tableColumn id="7519" xr3:uid="{E80D9F84-6EDB-4C61-86EC-CFF81E3B78C5}" name="Column7512"/>
    <tableColumn id="7520" xr3:uid="{CD3C8B67-77FC-4A77-AC9E-432B414CE4EB}" name="Column7513"/>
    <tableColumn id="7521" xr3:uid="{4D582714-1809-40CC-8EC9-31C067B6CC7C}" name="Column7514"/>
    <tableColumn id="7522" xr3:uid="{6F3E3AE9-DFB5-4EFB-ACCD-CDD51520DEDA}" name="Column7515"/>
    <tableColumn id="7523" xr3:uid="{96FF53A2-C35E-42E4-8698-20222FB4C8AE}" name="Column7516"/>
    <tableColumn id="7524" xr3:uid="{25E7202F-526A-442F-BB6E-8C2AB080C8D7}" name="Column7517"/>
    <tableColumn id="7525" xr3:uid="{2BF6C64A-4ADC-4C2D-8E7D-8B821714939B}" name="Column7518"/>
    <tableColumn id="7526" xr3:uid="{426E8C42-218C-4678-B5CD-C39CEFC1B3D6}" name="Column7519"/>
    <tableColumn id="7527" xr3:uid="{8C562644-22E4-4FE5-BAEC-CC3751897F6F}" name="Column7520"/>
    <tableColumn id="7528" xr3:uid="{44BF5932-2A6D-4F03-B829-75E44DD93234}" name="Column7521"/>
    <tableColumn id="7529" xr3:uid="{1F8FA99D-0BB5-4917-87BF-C2153864068A}" name="Column7522"/>
    <tableColumn id="7530" xr3:uid="{E0336267-319F-4536-A496-E7D7262A36A6}" name="Column7523"/>
    <tableColumn id="7531" xr3:uid="{7654A76C-C609-47A7-AB9E-6000C35227D6}" name="Column7524"/>
    <tableColumn id="7532" xr3:uid="{E0DB0192-7121-4917-B086-05C008F4989E}" name="Column7525"/>
    <tableColumn id="7533" xr3:uid="{CB03AFD6-4D33-4381-BDCA-44256C135938}" name="Column7526"/>
    <tableColumn id="7534" xr3:uid="{3CC3DAFB-727A-438B-9AA8-E320C51406B3}" name="Column7527"/>
    <tableColumn id="7535" xr3:uid="{8EECBCD0-D58D-46A5-B33C-A2AC0AB68213}" name="Column7528"/>
    <tableColumn id="7536" xr3:uid="{4EF0B956-5959-4C4D-AEDC-94815C364132}" name="Column7529"/>
    <tableColumn id="7537" xr3:uid="{AAAD0A45-EB58-452E-9B06-F7558DD68C5B}" name="Column7530"/>
    <tableColumn id="7538" xr3:uid="{1BCD8BD4-58AD-49A0-87A3-7DCE3FB96984}" name="Column7531"/>
    <tableColumn id="7539" xr3:uid="{AF16FCB3-06B2-415B-85EF-44E69AB27BC1}" name="Column7532"/>
    <tableColumn id="7540" xr3:uid="{AD63F584-6257-4003-88E8-DC701A3ED871}" name="Column7533"/>
    <tableColumn id="7541" xr3:uid="{B21171C2-37B3-4646-A334-9F45BDBAD62C}" name="Column7534"/>
    <tableColumn id="7542" xr3:uid="{D9CACF3F-14B8-44C1-8714-22BB7F4CA0C2}" name="Column7535"/>
    <tableColumn id="7543" xr3:uid="{9693D99B-7FBF-4B58-9EB7-D8D18DF37C35}" name="Column7536"/>
    <tableColumn id="7544" xr3:uid="{C4CA45F5-4748-4A0C-8985-00FA94784977}" name="Column7537"/>
    <tableColumn id="7545" xr3:uid="{8A73624E-83A1-4827-8590-C44E542EE50D}" name="Column7538"/>
    <tableColumn id="7546" xr3:uid="{55E717B9-5128-454D-98AF-50E4B3FC4D5C}" name="Column7539"/>
    <tableColumn id="7547" xr3:uid="{D8F56A32-D745-436D-A74B-B43537268751}" name="Column7540"/>
    <tableColumn id="7548" xr3:uid="{90995119-0D5B-414C-A191-C11ED9CBE6F2}" name="Column7541"/>
    <tableColumn id="7549" xr3:uid="{3BD93901-E6AF-4DED-B77A-B8FFEBB6B845}" name="Column7542"/>
    <tableColumn id="7550" xr3:uid="{EEB4010E-8723-4543-8137-CC1F9727F081}" name="Column7543"/>
    <tableColumn id="7551" xr3:uid="{FD633599-5B41-45BC-9440-1E6A174518A0}" name="Column7544"/>
    <tableColumn id="7552" xr3:uid="{7B35F05E-280C-4D01-B396-7025596780CA}" name="Column7545"/>
    <tableColumn id="7553" xr3:uid="{C0FAACFB-0BC3-4D3F-85BF-7412A1E44B1D}" name="Column7546"/>
    <tableColumn id="7554" xr3:uid="{33DE80A0-9A1D-45EA-B5EB-EA772301E7D5}" name="Column7547"/>
    <tableColumn id="7555" xr3:uid="{08420A3F-66AA-4F7F-92E4-ED74E0EEE584}" name="Column7548"/>
    <tableColumn id="7556" xr3:uid="{2AE0E26A-0336-4EC8-B15B-E4412D738AF7}" name="Column7549"/>
    <tableColumn id="7557" xr3:uid="{2C9ABE80-A954-4187-80D0-E6EF67C1FB74}" name="Column7550"/>
    <tableColumn id="7558" xr3:uid="{7B8C03EB-F1A1-4235-98F5-EE960214B980}" name="Column7551"/>
    <tableColumn id="7559" xr3:uid="{A0B102E0-A97F-40CB-86B9-842EE25B54B9}" name="Column7552"/>
    <tableColumn id="7560" xr3:uid="{C0D60CC3-84D8-4902-BF09-552006A68111}" name="Column7553"/>
    <tableColumn id="7561" xr3:uid="{AA48FC32-C42B-472A-B65D-E86F276B377D}" name="Column7554"/>
    <tableColumn id="7562" xr3:uid="{C933ABC5-797C-4999-A755-CCCCD2B158B9}" name="Column7555"/>
    <tableColumn id="7563" xr3:uid="{6DF27919-0A5D-465B-90CC-D28F5B9BC79D}" name="Column7556"/>
    <tableColumn id="7564" xr3:uid="{F1A798BD-CE8C-41B6-BE02-EAB916D495BD}" name="Column7557"/>
    <tableColumn id="7565" xr3:uid="{8E273599-6DA3-4DAC-85F1-8D612D291DF5}" name="Column7558"/>
    <tableColumn id="7566" xr3:uid="{7AC81D47-98E9-4F2F-AA79-5B33E8A5B14F}" name="Column7559"/>
    <tableColumn id="7567" xr3:uid="{D3B112F3-7868-432F-978A-E0CC221EBC43}" name="Column7560"/>
    <tableColumn id="7568" xr3:uid="{9B731637-2DC0-46E4-AD78-F4DF3973D6B4}" name="Column7561"/>
    <tableColumn id="7569" xr3:uid="{42EF31FE-B9D0-42B3-9C6B-96B1D73B7AD9}" name="Column7562"/>
    <tableColumn id="7570" xr3:uid="{D14CCB9D-5CBA-486E-8F84-426899F9F95B}" name="Column7563"/>
    <tableColumn id="7571" xr3:uid="{B7E07528-F222-480D-AF96-BE9576AEC9C6}" name="Column7564"/>
    <tableColumn id="7572" xr3:uid="{28016CB6-731F-4A9C-B19C-0E1FCDC7C2BF}" name="Column7565"/>
    <tableColumn id="7573" xr3:uid="{12D53342-9D2A-4223-8C51-CD9095067C70}" name="Column7566"/>
    <tableColumn id="7574" xr3:uid="{F4CDA5FE-CAA8-4712-8624-AC5576D2E9AC}" name="Column7567"/>
    <tableColumn id="7575" xr3:uid="{C16EF572-7063-4B6D-ABC2-32C08AB55075}" name="Column7568"/>
    <tableColumn id="7576" xr3:uid="{214EA86E-F801-489F-A1F9-9C74BD391034}" name="Column7569"/>
    <tableColumn id="7577" xr3:uid="{3CB88613-BDC4-45B9-9A2F-662FCA215CD0}" name="Column7570"/>
    <tableColumn id="7578" xr3:uid="{81C2C6CF-E8D8-4DA2-80AE-2C1FA0E7C966}" name="Column7571"/>
    <tableColumn id="7579" xr3:uid="{7A2BD58D-BE9F-4FCF-8585-8DF6A27E8AE6}" name="Column7572"/>
    <tableColumn id="7580" xr3:uid="{0C2048FB-7AB5-4756-A4F6-45901E44440E}" name="Column7573"/>
    <tableColumn id="7581" xr3:uid="{48F8C5E6-0BCE-4252-A38E-6A602A1B5EB1}" name="Column7574"/>
    <tableColumn id="7582" xr3:uid="{74976856-3A38-4E51-98FA-7DB92C74BFEC}" name="Column7575"/>
    <tableColumn id="7583" xr3:uid="{5052D3FC-FF17-4127-945A-EEE4C25DDBBD}" name="Column7576"/>
    <tableColumn id="7584" xr3:uid="{BDBDA9F7-E2DF-4E34-B5A5-C1A5FAABF910}" name="Column7577"/>
    <tableColumn id="7585" xr3:uid="{EB5A7906-1879-4075-B01F-564F193CAC67}" name="Column7578"/>
    <tableColumn id="7586" xr3:uid="{CA7A4C83-31C3-4F3F-829E-FB2829D77F44}" name="Column7579"/>
    <tableColumn id="7587" xr3:uid="{34827E68-4378-43C5-88A0-4A0DB7A801CE}" name="Column7580"/>
    <tableColumn id="7588" xr3:uid="{32333D95-CB9B-4AE2-9503-4AC7D8859DF1}" name="Column7581"/>
    <tableColumn id="7589" xr3:uid="{7330C3EC-9985-4127-A9C4-C5C60C12A2BA}" name="Column7582"/>
    <tableColumn id="7590" xr3:uid="{5D15D474-5A23-4F04-BFFB-C4E38D5A36AD}" name="Column7583"/>
    <tableColumn id="7591" xr3:uid="{61262AB3-BF91-4D71-9690-C0C9FF443B19}" name="Column7584"/>
    <tableColumn id="7592" xr3:uid="{19254A4F-E0CF-4743-9D37-5754BB433DA3}" name="Column7585"/>
    <tableColumn id="7593" xr3:uid="{C796CE5A-356C-4B6A-A947-B9407BC47D29}" name="Column7586"/>
    <tableColumn id="7594" xr3:uid="{78AA04AF-79CD-474F-969B-1042BDA9BE31}" name="Column7587"/>
    <tableColumn id="7595" xr3:uid="{40E52E05-BD97-450F-BA0E-CAC13D57D601}" name="Column7588"/>
    <tableColumn id="7596" xr3:uid="{0BE817AB-A7F2-4991-8284-752A1FFA7464}" name="Column7589"/>
    <tableColumn id="7597" xr3:uid="{040B27EB-6B35-4540-AE78-537354DE8412}" name="Column7590"/>
    <tableColumn id="7598" xr3:uid="{FA809398-538D-432D-920F-4881140F484E}" name="Column7591"/>
    <tableColumn id="7599" xr3:uid="{48010FF9-A7F6-480E-A012-F4B18B6C5729}" name="Column7592"/>
    <tableColumn id="7600" xr3:uid="{A737DAB4-B8BF-4246-B546-FF8EE393A989}" name="Column7593"/>
    <tableColumn id="7601" xr3:uid="{81802F45-386B-4F66-B364-56D8CFFFAF17}" name="Column7594"/>
    <tableColumn id="7602" xr3:uid="{36C75577-83E0-4251-81E9-4D0EE9F7D226}" name="Column7595"/>
    <tableColumn id="7603" xr3:uid="{46F81145-0F6C-4712-A2A7-8550E56FB2F7}" name="Column7596"/>
    <tableColumn id="7604" xr3:uid="{80DC8EDC-ED9A-4CC6-9E46-CB855D0A10E5}" name="Column7597"/>
    <tableColumn id="7605" xr3:uid="{A9E7A0F0-2652-49C3-AAFA-6B852492F3BC}" name="Column7598"/>
    <tableColumn id="7606" xr3:uid="{5ED0CF81-9633-4A44-B72F-37E786659B02}" name="Column7599"/>
    <tableColumn id="7607" xr3:uid="{FA02615B-CB13-4C8E-90C3-CCEA6A7EBC55}" name="Column7600"/>
    <tableColumn id="7608" xr3:uid="{89A7427B-8EA7-4C23-995B-3921ED6C567B}" name="Column7601"/>
    <tableColumn id="7609" xr3:uid="{871C26A5-20B6-4000-A787-9493D31BE4EB}" name="Column7602"/>
    <tableColumn id="7610" xr3:uid="{94A3C3DA-5B8C-49C1-8028-F2D53ECBA5BA}" name="Column7603"/>
    <tableColumn id="7611" xr3:uid="{504C1287-ED01-46EA-8EAC-61F14082ABB2}" name="Column7604"/>
    <tableColumn id="7612" xr3:uid="{E3D581F1-68FB-4715-8D2C-8247E5917A2E}" name="Column7605"/>
    <tableColumn id="7613" xr3:uid="{AB2EB3F0-6979-4846-AA67-7319CA43EB04}" name="Column7606"/>
    <tableColumn id="7614" xr3:uid="{80595E92-8870-4CAE-9E20-164AA62AFF04}" name="Column7607"/>
    <tableColumn id="7615" xr3:uid="{75B526C1-E4D9-4B03-BC48-43F40437AA79}" name="Column7608"/>
    <tableColumn id="7616" xr3:uid="{DBD99603-CE43-4ADE-B0BD-62A8541ECC77}" name="Column7609"/>
    <tableColumn id="7617" xr3:uid="{07DB3CDF-3A39-4591-9F27-33EDDE4A9F26}" name="Column7610"/>
    <tableColumn id="7618" xr3:uid="{85007218-398B-4857-8E12-A25C74A4C3EC}" name="Column7611"/>
    <tableColumn id="7619" xr3:uid="{E284255F-36EF-4A1B-A91D-C8276AF1A768}" name="Column7612"/>
    <tableColumn id="7620" xr3:uid="{196BEA08-F0F0-441D-A73B-CFFCFBED4B58}" name="Column7613"/>
    <tableColumn id="7621" xr3:uid="{76444C1D-1C6A-480A-96D9-C627D2175512}" name="Column7614"/>
    <tableColumn id="7622" xr3:uid="{0BE5AE2F-9FB3-402A-99B7-38D41AA3FCA1}" name="Column7615"/>
    <tableColumn id="7623" xr3:uid="{7460B117-221B-4F7E-ADC2-3EB9CDE3A870}" name="Column7616"/>
    <tableColumn id="7624" xr3:uid="{C48F9472-979B-4D4E-A2E6-7197FD008B8C}" name="Column7617"/>
    <tableColumn id="7625" xr3:uid="{6FA7DDD6-2BE6-47C5-8DE0-F4B97C4B7742}" name="Column7618"/>
    <tableColumn id="7626" xr3:uid="{24B63D9E-4C48-49AE-8F5A-CADD45D907C2}" name="Column7619"/>
    <tableColumn id="7627" xr3:uid="{397285F1-E7CC-420A-B519-87960AC1AEFD}" name="Column7620"/>
    <tableColumn id="7628" xr3:uid="{E9888697-582B-4CD9-9B8F-D07CCFC4331B}" name="Column7621"/>
    <tableColumn id="7629" xr3:uid="{CF9975FF-5E2C-4FDA-9B04-F94F95F22725}" name="Column7622"/>
    <tableColumn id="7630" xr3:uid="{ACBD2CCA-B1ED-4FE3-8340-82DB7A341D18}" name="Column7623"/>
    <tableColumn id="7631" xr3:uid="{756BD25F-DF07-4D8C-8406-53C61F6E567D}" name="Column7624"/>
    <tableColumn id="7632" xr3:uid="{B82AB431-5CB5-4703-BB59-ABFEBC62D9EB}" name="Column7625"/>
    <tableColumn id="7633" xr3:uid="{5F06826B-1D81-4664-B1F2-02E3E4DF51DC}" name="Column7626"/>
    <tableColumn id="7634" xr3:uid="{AD21CF67-078F-4A98-B71A-5C18DFCAAC29}" name="Column7627"/>
    <tableColumn id="7635" xr3:uid="{A90DDE16-D85F-4425-8B1D-8A047705C63A}" name="Column7628"/>
    <tableColumn id="7636" xr3:uid="{D6998C9E-692B-4C43-8635-C4425C4DD751}" name="Column7629"/>
    <tableColumn id="7637" xr3:uid="{E347292E-04B4-43D1-8559-A541E220E8E6}" name="Column7630"/>
    <tableColumn id="7638" xr3:uid="{25925B0C-8106-4354-B7F3-B373FD2D4B93}" name="Column7631"/>
    <tableColumn id="7639" xr3:uid="{61072CD8-1C74-422E-A4C0-ED5A30E66C3A}" name="Column7632"/>
    <tableColumn id="7640" xr3:uid="{555A497A-1079-446B-8351-438CC930A9E5}" name="Column7633"/>
    <tableColumn id="7641" xr3:uid="{AB6A1055-E67A-4C5D-B692-0CEC216C8A13}" name="Column7634"/>
    <tableColumn id="7642" xr3:uid="{B22CCD3A-F7BC-428A-BCD7-99712CD7E71C}" name="Column7635"/>
    <tableColumn id="7643" xr3:uid="{36136E31-19D5-4EBC-B8EA-203A441F24BD}" name="Column7636"/>
    <tableColumn id="7644" xr3:uid="{E27E573C-F70C-4793-879B-4EDE5304C6D5}" name="Column7637"/>
    <tableColumn id="7645" xr3:uid="{70F98359-CC9C-42C4-AE5D-4F4391913BE9}" name="Column7638"/>
    <tableColumn id="7646" xr3:uid="{55757708-BC30-4C81-8A05-C82CE1532747}" name="Column7639"/>
    <tableColumn id="7647" xr3:uid="{9B25A84E-60BE-4259-828D-333E5D7BD986}" name="Column7640"/>
    <tableColumn id="7648" xr3:uid="{1516423B-362E-494F-A283-FC8DC1EE76BF}" name="Column7641"/>
    <tableColumn id="7649" xr3:uid="{3BD05C55-9188-4A45-977B-7F4EA3F11E44}" name="Column7642"/>
    <tableColumn id="7650" xr3:uid="{390D43CE-FA6A-44AF-B735-B931F4D97707}" name="Column7643"/>
    <tableColumn id="7651" xr3:uid="{6F34566D-3286-48FA-A619-07B26F4533FD}" name="Column7644"/>
    <tableColumn id="7652" xr3:uid="{A6BC2996-C9F7-43C0-A1B9-019253CCA38A}" name="Column7645"/>
    <tableColumn id="7653" xr3:uid="{DAF056AC-D7B6-42D0-81B8-2D2667FE015B}" name="Column7646"/>
    <tableColumn id="7654" xr3:uid="{CEB8C4CF-C9DD-4CA8-B3E3-7B82FA5DAE00}" name="Column7647"/>
    <tableColumn id="7655" xr3:uid="{B67D779A-F841-4EB4-9465-6318C85BD63A}" name="Column7648"/>
    <tableColumn id="7656" xr3:uid="{9233733E-2475-4984-9E3C-C910E936B44E}" name="Column7649"/>
    <tableColumn id="7657" xr3:uid="{8133B7B0-C697-4489-8B2F-BE50D633527B}" name="Column7650"/>
    <tableColumn id="7658" xr3:uid="{E2D3FCBF-70B4-476D-9607-9A9B93CC3474}" name="Column7651"/>
    <tableColumn id="7659" xr3:uid="{770F65E5-3885-4478-87F6-6B525481C77B}" name="Column7652"/>
    <tableColumn id="7660" xr3:uid="{D8C1C3DC-7058-4D86-8873-13C6D76FF74D}" name="Column7653"/>
    <tableColumn id="7661" xr3:uid="{EEF3ACAC-F54A-4C3F-9759-DA87AC0576F4}" name="Column7654"/>
    <tableColumn id="7662" xr3:uid="{E40AB71C-8446-4463-B33D-4205ED389431}" name="Column7655"/>
    <tableColumn id="7663" xr3:uid="{8F61465A-5303-42DD-9C3C-940D61766992}" name="Column7656"/>
    <tableColumn id="7664" xr3:uid="{0A7982EA-CD6C-4558-B519-197983AC9240}" name="Column7657"/>
    <tableColumn id="7665" xr3:uid="{360A5A2C-5C60-4C7D-821A-E36903B4546D}" name="Column7658"/>
    <tableColumn id="7666" xr3:uid="{FA8B677B-CB59-4EEB-8EC8-80BF3E159287}" name="Column7659"/>
    <tableColumn id="7667" xr3:uid="{6FE7F72B-A12E-4B04-97A1-D3B1DD8E774C}" name="Column7660"/>
    <tableColumn id="7668" xr3:uid="{4B34EF5D-4329-47A7-A326-25C7865F88A5}" name="Column7661"/>
    <tableColumn id="7669" xr3:uid="{27DC5D59-FD45-4994-8987-0FEA215DFF26}" name="Column7662"/>
    <tableColumn id="7670" xr3:uid="{6690ECFD-A6C6-4965-8EB5-EE4A388379DF}" name="Column7663"/>
    <tableColumn id="7671" xr3:uid="{64394EC7-A197-4164-9447-13535CC68523}" name="Column7664"/>
    <tableColumn id="7672" xr3:uid="{A5CE0791-05D3-4C8F-9870-5CAB5D1FC284}" name="Column7665"/>
    <tableColumn id="7673" xr3:uid="{9B6838AD-15EF-47A6-946C-C7CF15FE7567}" name="Column7666"/>
    <tableColumn id="7674" xr3:uid="{68823F59-E6D9-42DF-B4A7-52EC6E55523B}" name="Column7667"/>
    <tableColumn id="7675" xr3:uid="{B93552A7-0B4D-4D6A-8AA5-210A24860447}" name="Column7668"/>
    <tableColumn id="7676" xr3:uid="{53F5B3C7-F7C4-4B77-A166-8A364F02F37D}" name="Column7669"/>
    <tableColumn id="7677" xr3:uid="{64699641-394B-468C-AA50-19F58FDECCE3}" name="Column7670"/>
    <tableColumn id="7678" xr3:uid="{BC24BDA3-68BE-4676-AD4A-BB8D46C839A5}" name="Column7671"/>
    <tableColumn id="7679" xr3:uid="{2EC338F1-A44F-46F4-88FE-9A6284C9DCBF}" name="Column7672"/>
    <tableColumn id="7680" xr3:uid="{87DA8D8C-BE45-40C8-9901-CC49932F7DDF}" name="Column7673"/>
    <tableColumn id="7681" xr3:uid="{C3C5F7DD-3750-4D93-B15F-20698263447E}" name="Column7674"/>
    <tableColumn id="7682" xr3:uid="{E620709A-36E9-49E7-AF59-2B0D0E092238}" name="Column7675"/>
    <tableColumn id="7683" xr3:uid="{5E95436A-C172-44B8-BB25-09D0E726316C}" name="Column7676"/>
    <tableColumn id="7684" xr3:uid="{C8CD9A8E-2623-4436-98E8-3AE2AD1F24B7}" name="Column7677"/>
    <tableColumn id="7685" xr3:uid="{3A4B89AC-9079-42A6-B96B-99C4ACF24E7A}" name="Column7678"/>
    <tableColumn id="7686" xr3:uid="{384E378C-6280-47BC-81A4-89980BB5DE70}" name="Column7679"/>
    <tableColumn id="7687" xr3:uid="{BB2F31C2-6AC1-4291-AA2B-CF5EA0E498DB}" name="Column7680"/>
    <tableColumn id="7688" xr3:uid="{95D63A28-885E-42C3-B4B8-47136FEE8A5E}" name="Column7681"/>
    <tableColumn id="7689" xr3:uid="{71D991A1-3E3A-42F7-98EB-FF71DA3FA778}" name="Column7682"/>
    <tableColumn id="7690" xr3:uid="{80ACB36E-01FF-41A0-A154-71E16745ACE6}" name="Column7683"/>
    <tableColumn id="7691" xr3:uid="{53CF46DC-3B11-420D-A90B-CCF9B89C3FB3}" name="Column7684"/>
    <tableColumn id="7692" xr3:uid="{89045DAB-1608-4191-B9EB-5794DAB3EFC0}" name="Column7685"/>
    <tableColumn id="7693" xr3:uid="{215F65CB-B00B-48C9-8E2F-6B1EA14C9733}" name="Column7686"/>
    <tableColumn id="7694" xr3:uid="{20F20E56-8D9B-42EA-8EB9-9341661A8E78}" name="Column7687"/>
    <tableColumn id="7695" xr3:uid="{B87157C8-D24E-4AAC-BB04-3EBD249CEA1C}" name="Column7688"/>
    <tableColumn id="7696" xr3:uid="{D99F8EB0-54B2-4136-A9EF-D59B06EAF8C6}" name="Column7689"/>
    <tableColumn id="7697" xr3:uid="{B7ACBAF7-CF0D-4FE2-8C25-53FF10D2C974}" name="Column7690"/>
    <tableColumn id="7698" xr3:uid="{225252C0-666E-4B19-9E53-372FB3815F2B}" name="Column7691"/>
    <tableColumn id="7699" xr3:uid="{F4381EAB-BA95-44CB-99C6-2558C722EADF}" name="Column7692"/>
    <tableColumn id="7700" xr3:uid="{2C691072-4B1C-436B-97C1-DC8F94099721}" name="Column7693"/>
    <tableColumn id="7701" xr3:uid="{A24EC3A5-84EC-4369-8F3C-56A936A44A90}" name="Column7694"/>
    <tableColumn id="7702" xr3:uid="{7DAC4ECB-0049-467E-A7DB-4632AA080B4D}" name="Column7695"/>
    <tableColumn id="7703" xr3:uid="{3BC3C784-EA64-4E35-990F-E4949F023A72}" name="Column7696"/>
    <tableColumn id="7704" xr3:uid="{2FAAEB83-BB0B-4E13-8563-BE51A723D2A0}" name="Column7697"/>
    <tableColumn id="7705" xr3:uid="{ACC7C2BC-B6C7-429C-8D0C-E7F18C9AC6CD}" name="Column7698"/>
    <tableColumn id="7706" xr3:uid="{2179256C-CD54-41D1-9BCB-202B30B44D01}" name="Column7699"/>
    <tableColumn id="7707" xr3:uid="{EB01963B-BAF0-468F-A556-6ABC6C116C95}" name="Column7700"/>
    <tableColumn id="7708" xr3:uid="{6672EF6C-00A3-48A0-A554-13FF035D5D35}" name="Column7701"/>
    <tableColumn id="7709" xr3:uid="{ECEFB1D8-E8A6-47FB-9E39-A7292533E3BE}" name="Column7702"/>
    <tableColumn id="7710" xr3:uid="{A3BC6BDC-9452-4ECF-896A-B3193A26018A}" name="Column7703"/>
    <tableColumn id="7711" xr3:uid="{CD3BFEDF-6E38-4226-A1DD-7062C8537E10}" name="Column7704"/>
    <tableColumn id="7712" xr3:uid="{A3EE7A61-200B-42B0-9E8A-D97250FA63CE}" name="Column7705"/>
    <tableColumn id="7713" xr3:uid="{32F6AF8A-228C-4717-A628-60DA715927BB}" name="Column7706"/>
    <tableColumn id="7714" xr3:uid="{3B27496A-9D02-4A49-ADAE-68DB8B495E9F}" name="Column7707"/>
    <tableColumn id="7715" xr3:uid="{CF423866-7FA1-47A3-9D0E-51DDDCF29A7E}" name="Column7708"/>
    <tableColumn id="7716" xr3:uid="{53AED09B-CA70-419A-AE98-F0F703A20D34}" name="Column7709"/>
    <tableColumn id="7717" xr3:uid="{3B042505-98F2-48B9-84AD-75EC628B41DA}" name="Column7710"/>
    <tableColumn id="7718" xr3:uid="{1F8515BC-EAF1-48CD-A925-7F7D6ED35DF7}" name="Column7711"/>
    <tableColumn id="7719" xr3:uid="{A24F0F1F-9DCF-489B-8831-651AE227B6CE}" name="Column7712"/>
    <tableColumn id="7720" xr3:uid="{C4134EFD-9609-4A1C-AD31-B8C71D7B5F76}" name="Column7713"/>
    <tableColumn id="7721" xr3:uid="{6D8CCC9D-3109-4F1B-A9E4-C201B1250CCD}" name="Column7714"/>
    <tableColumn id="7722" xr3:uid="{BFFEDC5D-4BED-4255-8AA8-4766B48E46E4}" name="Column7715"/>
    <tableColumn id="7723" xr3:uid="{F2D96D65-52C6-43F9-ADE0-429048A2D47E}" name="Column7716"/>
    <tableColumn id="7724" xr3:uid="{E37E8A55-5CBF-459B-B7DD-DAD45C4CEE60}" name="Column7717"/>
    <tableColumn id="7725" xr3:uid="{A3870D2A-9CFC-4774-8FA0-06CBD82746A6}" name="Column7718"/>
    <tableColumn id="7726" xr3:uid="{EE12BF81-7677-4148-95A7-E77FA7338C64}" name="Column7719"/>
    <tableColumn id="7727" xr3:uid="{8A8C47B0-2BEC-482A-BB62-75E8202C17BE}" name="Column7720"/>
    <tableColumn id="7728" xr3:uid="{5C9DDAE1-EE4D-4A6D-A5F3-93B000D1953C}" name="Column7721"/>
    <tableColumn id="7729" xr3:uid="{1CB58472-4AA5-4698-A4C8-FCC65ECACA8B}" name="Column7722"/>
    <tableColumn id="7730" xr3:uid="{F513B3EF-6C73-4237-B99F-A90E6658B73B}" name="Column7723"/>
    <tableColumn id="7731" xr3:uid="{E4788E87-3F9C-4722-ADFB-D9DC589C6230}" name="Column7724"/>
    <tableColumn id="7732" xr3:uid="{19F320FC-D06E-4399-BA76-27256BFA26A6}" name="Column7725"/>
    <tableColumn id="7733" xr3:uid="{CA1A5742-8799-4EF6-9456-ED1CF1471E3C}" name="Column7726"/>
    <tableColumn id="7734" xr3:uid="{69301E1F-738A-4A87-9AE9-ED6357C3B6AE}" name="Column7727"/>
    <tableColumn id="7735" xr3:uid="{BF913ECF-55A8-4FCC-9B47-EB5431EA6FBE}" name="Column7728"/>
    <tableColumn id="7736" xr3:uid="{9715305D-916C-43C1-85AB-A4B007BE1E06}" name="Column7729"/>
    <tableColumn id="7737" xr3:uid="{E35937C7-DEC8-406E-9629-DCDA84F19131}" name="Column7730"/>
    <tableColumn id="7738" xr3:uid="{2D8FB7E3-49E4-4958-B825-1D1571C540D6}" name="Column7731"/>
    <tableColumn id="7739" xr3:uid="{0DF8E702-7F02-4BF1-81C6-B663AE5A791D}" name="Column7732"/>
    <tableColumn id="7740" xr3:uid="{FDC0D87B-A1B2-414D-8235-9A00F0756933}" name="Column7733"/>
    <tableColumn id="7741" xr3:uid="{FEC516B4-2E1D-4573-86B0-77965A6C8F8B}" name="Column7734"/>
    <tableColumn id="7742" xr3:uid="{F1B2C2B7-577B-43CA-A7CE-DE23A1833763}" name="Column7735"/>
    <tableColumn id="7743" xr3:uid="{1C53B0AD-4896-4C85-B1DB-F974E3FDA8DA}" name="Column7736"/>
    <tableColumn id="7744" xr3:uid="{6DF4EF2F-361B-46AC-B85A-4A0069CE0BCA}" name="Column7737"/>
    <tableColumn id="7745" xr3:uid="{DC23B1D6-6B15-4703-89A3-4F2AB0370D8F}" name="Column7738"/>
    <tableColumn id="7746" xr3:uid="{CA805667-4D4B-417F-B0C9-466D3E03C8D3}" name="Column7739"/>
    <tableColumn id="7747" xr3:uid="{B14D7FE1-E4CA-42B1-9DC0-B64D6A8C98C7}" name="Column7740"/>
    <tableColumn id="7748" xr3:uid="{C287F572-DA5F-4526-9AE0-D75DF103B8A4}" name="Column7741"/>
    <tableColumn id="7749" xr3:uid="{A830A095-5496-468B-B214-7DA728B6E2B1}" name="Column7742"/>
    <tableColumn id="7750" xr3:uid="{5ADC8B67-12CC-4875-9C9C-55BE2E04F113}" name="Column7743"/>
    <tableColumn id="7751" xr3:uid="{BAC19EBA-531E-483C-9F16-055DF7B1DC45}" name="Column7744"/>
    <tableColumn id="7752" xr3:uid="{E0E92712-0CEE-41E7-9D55-1C5389E52106}" name="Column7745"/>
    <tableColumn id="7753" xr3:uid="{EC24A65D-2CD4-44BC-B4AD-D14079B382CA}" name="Column7746"/>
    <tableColumn id="7754" xr3:uid="{F4BA29F0-68E8-4E0A-8E27-869A9C908796}" name="Column7747"/>
    <tableColumn id="7755" xr3:uid="{A87A914B-2042-4AB6-9282-4950CB748634}" name="Column7748"/>
    <tableColumn id="7756" xr3:uid="{BAC9D193-F8CD-4FCB-BA88-CE9059EB2B25}" name="Column7749"/>
    <tableColumn id="7757" xr3:uid="{D7481498-297A-4C9B-A114-3BFD5C6FF8D7}" name="Column7750"/>
    <tableColumn id="7758" xr3:uid="{01162B7E-0AF6-4781-A8AA-4D17BE288437}" name="Column7751"/>
    <tableColumn id="7759" xr3:uid="{DC849826-9139-4C94-9B38-FD28D7ACD274}" name="Column7752"/>
    <tableColumn id="7760" xr3:uid="{036DBC9C-DAAE-448F-9E91-A6403C5070F5}" name="Column7753"/>
    <tableColumn id="7761" xr3:uid="{45345D8E-0601-4A1F-9C78-F25851FA3E2E}" name="Column7754"/>
    <tableColumn id="7762" xr3:uid="{2967E909-3769-4638-AEE1-BCCF91B3D7B4}" name="Column7755"/>
    <tableColumn id="7763" xr3:uid="{F3446D86-CC9D-4437-9E33-A667E6F2B00F}" name="Column7756"/>
    <tableColumn id="7764" xr3:uid="{F63E4359-7DEA-4D66-82FF-6AA553A258AD}" name="Column7757"/>
    <tableColumn id="7765" xr3:uid="{377026C5-BEB0-444E-972D-FA6CBFF00A88}" name="Column7758"/>
    <tableColumn id="7766" xr3:uid="{FF51300B-E823-436E-BF99-EE99D98974B1}" name="Column7759"/>
    <tableColumn id="7767" xr3:uid="{0999F80B-8EC0-470E-AF0A-367CF97D1CB9}" name="Column7760"/>
    <tableColumn id="7768" xr3:uid="{E78BBA47-4775-489C-A1F1-5D0345F2F769}" name="Column7761"/>
    <tableColumn id="7769" xr3:uid="{ED23C5A5-AAE6-41A3-BA84-20C2F6E09B43}" name="Column7762"/>
    <tableColumn id="7770" xr3:uid="{BA1377EB-94A1-4310-A7CF-949C92A93EF5}" name="Column7763"/>
    <tableColumn id="7771" xr3:uid="{047D61DD-8532-4AAC-A313-037947D95398}" name="Column7764"/>
    <tableColumn id="7772" xr3:uid="{45628FA7-F503-4FFD-8798-F50B4D692DD7}" name="Column7765"/>
    <tableColumn id="7773" xr3:uid="{BF0CD71D-F288-4086-80B2-267BF90DEDBC}" name="Column7766"/>
    <tableColumn id="7774" xr3:uid="{5C021BA6-F583-4ACD-A183-8D532B0A5499}" name="Column7767"/>
    <tableColumn id="7775" xr3:uid="{B7D1CEA7-BB29-49E7-B586-DFD86D99BD71}" name="Column7768"/>
    <tableColumn id="7776" xr3:uid="{D2C755E4-FF88-43C9-B9DB-82309F31957C}" name="Column7769"/>
    <tableColumn id="7777" xr3:uid="{5E633B61-AA15-468D-A64C-BD9DA4A7A65C}" name="Column7770"/>
    <tableColumn id="7778" xr3:uid="{24C08F4A-0BCF-4F7B-B7DA-E6784C6E7E46}" name="Column7771"/>
    <tableColumn id="7779" xr3:uid="{007EACB8-3267-4504-B997-C55A3B5C7960}" name="Column7772"/>
    <tableColumn id="7780" xr3:uid="{C79A4BC9-ED15-4874-8929-1B10EFA9FE47}" name="Column7773"/>
    <tableColumn id="7781" xr3:uid="{FEFEE27D-C72D-4686-97E0-5B9239FBF1BA}" name="Column7774"/>
    <tableColumn id="7782" xr3:uid="{9EA7D715-B799-4453-8963-6798DCE60525}" name="Column7775"/>
    <tableColumn id="7783" xr3:uid="{9098CBD5-E165-4992-97DA-51F1E4D247BE}" name="Column7776"/>
    <tableColumn id="7784" xr3:uid="{9EE0BDB0-77CA-4224-A2E3-5DF66CE5CE72}" name="Column7777"/>
    <tableColumn id="7785" xr3:uid="{487E585E-D661-4F98-B316-4F52A40F9874}" name="Column7778"/>
    <tableColumn id="7786" xr3:uid="{18440F28-F69C-4BC6-85F5-3FEAB286AD76}" name="Column7779"/>
    <tableColumn id="7787" xr3:uid="{A076EB2C-65BB-4DA5-B5E1-04F48E441C7F}" name="Column7780"/>
    <tableColumn id="7788" xr3:uid="{8E7917EC-A03C-4063-9760-33CCAEE620F2}" name="Column7781"/>
    <tableColumn id="7789" xr3:uid="{E73B7780-F1D9-4A98-8187-6EBE71653045}" name="Column7782"/>
    <tableColumn id="7790" xr3:uid="{D25DCA78-0501-4448-8D1F-A4F7842FE402}" name="Column7783"/>
    <tableColumn id="7791" xr3:uid="{6B4E2083-8CDF-4559-B79F-C2A91FF7F20D}" name="Column7784"/>
    <tableColumn id="7792" xr3:uid="{0E9C6BA3-96D2-4675-9677-00703EF71C3E}" name="Column7785"/>
    <tableColumn id="7793" xr3:uid="{EB4C92A5-3A23-4D7D-A027-A57852FFB195}" name="Column7786"/>
    <tableColumn id="7794" xr3:uid="{D7B27160-4750-42C0-BCB2-812041BDA89D}" name="Column7787"/>
    <tableColumn id="7795" xr3:uid="{D434DBEF-8F17-47A7-B763-D9C552264CC5}" name="Column7788"/>
    <tableColumn id="7796" xr3:uid="{E14FA88E-305D-4EAC-A9D9-C71B0618DF77}" name="Column7789"/>
    <tableColumn id="7797" xr3:uid="{385284CD-B179-4F0A-A8CD-74285CE5D942}" name="Column7790"/>
    <tableColumn id="7798" xr3:uid="{FC190E62-FA76-4545-9E9B-F7EA100A7484}" name="Column7791"/>
    <tableColumn id="7799" xr3:uid="{3DFB48F7-44F4-4F0D-991C-7F2D43F2ACD3}" name="Column7792"/>
    <tableColumn id="7800" xr3:uid="{DC939B59-F21B-4BE1-86A1-FA43DCB6259E}" name="Column7793"/>
    <tableColumn id="7801" xr3:uid="{820BE90B-8A84-4D66-AF5E-075D3B6A250D}" name="Column7794"/>
    <tableColumn id="7802" xr3:uid="{EA8DB472-C0FD-4004-AB64-E6EC4051DA50}" name="Column7795"/>
    <tableColumn id="7803" xr3:uid="{CA27159C-F4FF-428A-BA3F-BE5C8DB20FFE}" name="Column7796"/>
    <tableColumn id="7804" xr3:uid="{5F5FDCD7-CA79-4DB6-8F60-BF0D2CB74890}" name="Column7797"/>
    <tableColumn id="7805" xr3:uid="{2AC576F0-69AF-4EBA-A198-2244EFFE45C1}" name="Column7798"/>
    <tableColumn id="7806" xr3:uid="{D50E1725-1BF3-454E-9D19-C30935056D7D}" name="Column7799"/>
    <tableColumn id="7807" xr3:uid="{E17779F1-B268-4EAE-A6E2-407FA71262B8}" name="Column7800"/>
    <tableColumn id="7808" xr3:uid="{DEC14C82-789B-4962-A4B3-5D35105F9B6E}" name="Column7801"/>
    <tableColumn id="7809" xr3:uid="{5EE5BB90-ED66-4CAD-873D-827ABDF8C78A}" name="Column7802"/>
    <tableColumn id="7810" xr3:uid="{1D98A511-17A1-4555-8F3C-FBB867478CDF}" name="Column7803"/>
    <tableColumn id="7811" xr3:uid="{1E4773E2-9EF5-41E5-938A-5C7954DF1A68}" name="Column7804"/>
    <tableColumn id="7812" xr3:uid="{61F53016-7A79-41D7-AF8D-EF1D50E9FC30}" name="Column7805"/>
    <tableColumn id="7813" xr3:uid="{BCD41457-5B8D-47A4-AF87-7ED37AEF83F8}" name="Column7806"/>
    <tableColumn id="7814" xr3:uid="{643B836E-6C0A-4FF3-A277-213533C1C6CC}" name="Column7807"/>
    <tableColumn id="7815" xr3:uid="{5F4BC439-8A79-42A4-9C27-6F782798FBC5}" name="Column7808"/>
    <tableColumn id="7816" xr3:uid="{A5ADB063-0773-482B-8ADE-728B377FAB57}" name="Column7809"/>
    <tableColumn id="7817" xr3:uid="{E4518492-13C7-4F20-8644-9C70B903ECDB}" name="Column7810"/>
    <tableColumn id="7818" xr3:uid="{7FCE6BA1-392B-46FA-B8E6-FEC778A9CD55}" name="Column7811"/>
    <tableColumn id="7819" xr3:uid="{5CFE87BF-0058-430E-BC3C-01BB2A95C4A9}" name="Column7812"/>
    <tableColumn id="7820" xr3:uid="{AB1D163E-23C1-48C3-838A-5CAD1A028E17}" name="Column7813"/>
    <tableColumn id="7821" xr3:uid="{E45637DD-72EE-42C6-8CAE-C9B1ABECD0B2}" name="Column7814"/>
    <tableColumn id="7822" xr3:uid="{0F37D37B-2992-4AB2-84AC-04AA90D82FF5}" name="Column7815"/>
    <tableColumn id="7823" xr3:uid="{C92765F9-C20C-476A-8B6B-9739935C8DC0}" name="Column7816"/>
    <tableColumn id="7824" xr3:uid="{458584C5-7A92-4F8E-96D9-6F32F8945A54}" name="Column7817"/>
    <tableColumn id="7825" xr3:uid="{715A7CFA-FDBE-46B0-9255-2B70FA91B30F}" name="Column7818"/>
    <tableColumn id="7826" xr3:uid="{CB311A23-28CC-4C26-A411-FB650E32E2EF}" name="Column7819"/>
    <tableColumn id="7827" xr3:uid="{73930E0B-C938-4F4B-95E9-8764E6251238}" name="Column7820"/>
    <tableColumn id="7828" xr3:uid="{AE6F0DD8-89DF-42F6-A5C0-05BB58EF4F6C}" name="Column7821"/>
    <tableColumn id="7829" xr3:uid="{D2DA685D-D87B-45F6-A295-AA58DA91BBDF}" name="Column7822"/>
    <tableColumn id="7830" xr3:uid="{F235F899-72E0-4CC1-9024-8A51D12027DF}" name="Column7823"/>
    <tableColumn id="7831" xr3:uid="{32F5B342-DC56-4EC6-9EDD-CE0BC20691D9}" name="Column7824"/>
    <tableColumn id="7832" xr3:uid="{D612959E-4379-4C93-A699-7758965E77D6}" name="Column7825"/>
    <tableColumn id="7833" xr3:uid="{08499873-6455-45EB-BEBB-AD8A7B620832}" name="Column7826"/>
    <tableColumn id="7834" xr3:uid="{A761F12A-33A4-4A3D-85E2-DE13F7105172}" name="Column7827"/>
    <tableColumn id="7835" xr3:uid="{54B2CE63-9F02-465B-A94C-B7DC875B5D55}" name="Column7828"/>
    <tableColumn id="7836" xr3:uid="{50795F67-B7D1-4BCD-AE15-21848539457C}" name="Column7829"/>
    <tableColumn id="7837" xr3:uid="{5D427442-5C99-43FB-9C51-46CACA717100}" name="Column7830"/>
    <tableColumn id="7838" xr3:uid="{8E03E730-7413-486C-A1DB-2E917C13427B}" name="Column7831"/>
    <tableColumn id="7839" xr3:uid="{98D3E621-1740-4B9D-A3CF-E7DBAC4AED71}" name="Column7832"/>
    <tableColumn id="7840" xr3:uid="{E0751ABC-9D68-43E8-8836-7961F0334D4F}" name="Column7833"/>
    <tableColumn id="7841" xr3:uid="{088C87E2-FE9C-4686-B28B-EDAAACA6A031}" name="Column7834"/>
    <tableColumn id="7842" xr3:uid="{F4BDE776-A32B-4F85-B37C-F8E69AAEAD35}" name="Column7835"/>
    <tableColumn id="7843" xr3:uid="{004990E8-31BD-4833-88AA-BE4C6AE0CD86}" name="Column7836"/>
    <tableColumn id="7844" xr3:uid="{9ADC06C3-2F0F-4A0D-B694-4B5AC293BA7F}" name="Column7837"/>
    <tableColumn id="7845" xr3:uid="{86A1AF54-D6CF-467D-9908-A22FEEE2F5DE}" name="Column7838"/>
    <tableColumn id="7846" xr3:uid="{54EF6AED-F1AD-4A21-BDF9-F055160E7E82}" name="Column7839"/>
    <tableColumn id="7847" xr3:uid="{4A48803F-BD4A-4254-A49F-72C35267587B}" name="Column7840"/>
    <tableColumn id="7848" xr3:uid="{1CA6DAD0-FEAF-4A3E-A75A-9C3EF4A84F0E}" name="Column7841"/>
    <tableColumn id="7849" xr3:uid="{8448FD39-E2ED-462F-A632-91C5DD64E812}" name="Column7842"/>
    <tableColumn id="7850" xr3:uid="{4762298A-CCA4-456B-A873-51FDCB5D86DD}" name="Column7843"/>
    <tableColumn id="7851" xr3:uid="{04E4A5BC-46E4-4EBA-88CC-B6383A721D49}" name="Column7844"/>
    <tableColumn id="7852" xr3:uid="{1897D278-C92C-4BCA-A5F8-E588323DAB08}" name="Column7845"/>
    <tableColumn id="7853" xr3:uid="{CB3DFF6B-FC64-46C7-95D2-E131A7057FFA}" name="Column7846"/>
    <tableColumn id="7854" xr3:uid="{F1A6B1FF-D34F-42AB-A24A-AE482BC34A8F}" name="Column7847"/>
    <tableColumn id="7855" xr3:uid="{A95069EA-CE7B-4CBD-AF14-4EDFC8B02BED}" name="Column7848"/>
    <tableColumn id="7856" xr3:uid="{4E31F45F-6CB3-4EA4-A9C6-F09EA375E9F3}" name="Column7849"/>
    <tableColumn id="7857" xr3:uid="{8EEE2E5E-07B2-4331-8059-346F168E372B}" name="Column7850"/>
    <tableColumn id="7858" xr3:uid="{65EC300D-7ADA-428C-A54F-0FECEFFDEF16}" name="Column7851"/>
    <tableColumn id="7859" xr3:uid="{C6A1FE54-F113-42C1-B667-138678D1A4F7}" name="Column7852"/>
    <tableColumn id="7860" xr3:uid="{88BC1BA5-4984-422B-ACFA-085E67FCEE50}" name="Column7853"/>
    <tableColumn id="7861" xr3:uid="{0410A2AC-107B-4F10-93F7-67215843BD42}" name="Column7854"/>
    <tableColumn id="7862" xr3:uid="{9AF571E7-386C-4BFC-B044-8BEFC8B87A37}" name="Column7855"/>
    <tableColumn id="7863" xr3:uid="{281DDDB7-A4BE-411F-9B78-95336DD9CFB9}" name="Column7856"/>
    <tableColumn id="7864" xr3:uid="{E30E8458-435B-4246-9BAE-8E0328868E47}" name="Column7857"/>
    <tableColumn id="7865" xr3:uid="{B11434A2-1955-40C7-8EF3-F9EF15BFAA92}" name="Column7858"/>
    <tableColumn id="7866" xr3:uid="{61985FBD-3EBC-4EB3-931A-96E15EDFA761}" name="Column7859"/>
    <tableColumn id="7867" xr3:uid="{4A69B82C-2A51-4FA0-B623-028F2478AB4B}" name="Column7860"/>
    <tableColumn id="7868" xr3:uid="{2321AA83-CE92-46DA-A509-3CD9A1A71EA4}" name="Column7861"/>
    <tableColumn id="7869" xr3:uid="{F6F091E1-019F-4BEC-997A-4549F6C1C623}" name="Column7862"/>
    <tableColumn id="7870" xr3:uid="{C6FF6E5E-BACA-4B39-99BC-BC890F018A28}" name="Column7863"/>
    <tableColumn id="7871" xr3:uid="{CEDE3193-4AD9-4001-AB84-736264CACA6B}" name="Column7864"/>
    <tableColumn id="7872" xr3:uid="{FAD5223E-12DB-4A91-9087-A021ADB7F8E9}" name="Column7865"/>
    <tableColumn id="7873" xr3:uid="{B45DF7C3-B11D-472A-93CB-0BE469C34566}" name="Column7866"/>
    <tableColumn id="7874" xr3:uid="{00A4116A-BAA7-4C66-8379-FF8B753D92D1}" name="Column7867"/>
    <tableColumn id="7875" xr3:uid="{7411DAEF-A3F0-4CE9-B0A6-DEEEED6E712C}" name="Column7868"/>
    <tableColumn id="7876" xr3:uid="{0E99992E-25F9-4D02-AD69-D610481C928D}" name="Column7869"/>
    <tableColumn id="7877" xr3:uid="{D1277E6E-F36E-4535-81E1-8BC0113F93BA}" name="Column7870"/>
    <tableColumn id="7878" xr3:uid="{E11C7B73-5B65-4F80-A1CA-9E457420863C}" name="Column7871"/>
    <tableColumn id="7879" xr3:uid="{6174A445-3D09-40D8-B509-66B7BA19E6F8}" name="Column7872"/>
    <tableColumn id="7880" xr3:uid="{11E9891C-E5A5-4BF0-B8FE-9401EA1FA2D0}" name="Column7873"/>
    <tableColumn id="7881" xr3:uid="{7800940E-9963-4C09-9AF8-663ADFE86697}" name="Column7874"/>
    <tableColumn id="7882" xr3:uid="{96CA3AA2-9BB6-429D-AB98-E540993263A0}" name="Column7875"/>
    <tableColumn id="7883" xr3:uid="{74D31138-3A82-4130-A6CC-38AA29983498}" name="Column7876"/>
    <tableColumn id="7884" xr3:uid="{BCE346A3-3D19-4CB3-9FCA-5A5DB01F8540}" name="Column7877"/>
    <tableColumn id="7885" xr3:uid="{242BBED4-B202-4AD1-998A-A066713E62F0}" name="Column7878"/>
    <tableColumn id="7886" xr3:uid="{1E882BE2-3736-4446-925F-EFAA593E443C}" name="Column7879"/>
    <tableColumn id="7887" xr3:uid="{F6F03CF3-132F-4F90-940D-E471CA7EF7F9}" name="Column7880"/>
    <tableColumn id="7888" xr3:uid="{0E00F280-775B-4087-8A8B-4BBB045F2F07}" name="Column7881"/>
    <tableColumn id="7889" xr3:uid="{E139393F-A3BA-4AD0-BC45-CB6B0DF2798F}" name="Column7882"/>
    <tableColumn id="7890" xr3:uid="{A54CD4DF-1EBF-476A-A218-31A96D85D465}" name="Column7883"/>
    <tableColumn id="7891" xr3:uid="{B45DAD3C-4DE1-466D-AEBD-BEBBFF0E4ABA}" name="Column7884"/>
    <tableColumn id="7892" xr3:uid="{999C917C-C26A-4CD9-8806-22EF7234C9C3}" name="Column7885"/>
    <tableColumn id="7893" xr3:uid="{38D8DFEA-54EE-4D27-8352-82808CA26991}" name="Column7886"/>
    <tableColumn id="7894" xr3:uid="{FB4613B3-0431-4832-92F1-D5823E8D13A9}" name="Column7887"/>
    <tableColumn id="7895" xr3:uid="{D266FD9C-E41D-422C-B8AC-E9571E684500}" name="Column7888"/>
    <tableColumn id="7896" xr3:uid="{AA67ABB5-83DF-48F0-9F84-EF9E8DD2A066}" name="Column7889"/>
    <tableColumn id="7897" xr3:uid="{51DA2989-3837-42D5-816F-378DF51F3964}" name="Column7890"/>
    <tableColumn id="7898" xr3:uid="{2499674C-2C2E-4365-B696-8C012EEFF1C2}" name="Column7891"/>
    <tableColumn id="7899" xr3:uid="{01F4B466-D3A8-4F47-BC8E-B4936E3E4466}" name="Column7892"/>
    <tableColumn id="7900" xr3:uid="{505A9029-6F8A-4CE7-AD93-0D22E0AB6B9B}" name="Column7893"/>
    <tableColumn id="7901" xr3:uid="{220E22F7-0E60-4B3A-8AD4-4FB79A958FD4}" name="Column7894"/>
    <tableColumn id="7902" xr3:uid="{A614D04F-3E6B-4BFA-9350-C6CD988A8B0A}" name="Column7895"/>
    <tableColumn id="7903" xr3:uid="{01CFC1A9-6CAA-4FA0-BDFB-358FB5456BCB}" name="Column7896"/>
    <tableColumn id="7904" xr3:uid="{C7763D27-2AED-4949-A0BF-50F7AAB6FC63}" name="Column7897"/>
    <tableColumn id="7905" xr3:uid="{80699DCC-7AFD-4434-B354-2CED9841DD8E}" name="Column7898"/>
    <tableColumn id="7906" xr3:uid="{9EBF19C1-B3A6-4E10-8026-2DA44F5E6D42}" name="Column7899"/>
    <tableColumn id="7907" xr3:uid="{4D088907-4B24-44AE-9EDF-A59CEB74BEA3}" name="Column7900"/>
    <tableColumn id="7908" xr3:uid="{7E3F5827-F99C-440B-96AE-BEC06DC2379C}" name="Column7901"/>
    <tableColumn id="7909" xr3:uid="{7C709ADC-2F74-4F01-8052-948D4ACC95CE}" name="Column7902"/>
    <tableColumn id="7910" xr3:uid="{99EDDB3F-9A13-4E02-98F6-B33F8CD628AA}" name="Column7903"/>
    <tableColumn id="7911" xr3:uid="{5B6ED39C-C3F1-4591-A984-E2328F66DC45}" name="Column7904"/>
    <tableColumn id="7912" xr3:uid="{520B4340-563D-48E9-BF89-30129D2EA27A}" name="Column7905"/>
    <tableColumn id="7913" xr3:uid="{3A5A3E27-F73D-4815-8624-4782CD77502C}" name="Column7906"/>
    <tableColumn id="7914" xr3:uid="{4FAED47D-CF66-4532-A7C7-E4BAAF48BC55}" name="Column7907"/>
    <tableColumn id="7915" xr3:uid="{B71B6515-9802-4984-AAE1-007FDFB2F564}" name="Column7908"/>
    <tableColumn id="7916" xr3:uid="{63A5CEAF-9323-4DE9-9D4C-C7B646403286}" name="Column7909"/>
    <tableColumn id="7917" xr3:uid="{827E15A7-183B-48F9-A27F-A4DB4DDEBF46}" name="Column7910"/>
    <tableColumn id="7918" xr3:uid="{B20762E4-4BD9-43AE-A262-C943D25C7363}" name="Column7911"/>
    <tableColumn id="7919" xr3:uid="{F5A809C8-6EA1-4BAC-AD14-CBB3E5F3D3BF}" name="Column7912"/>
    <tableColumn id="7920" xr3:uid="{9875FE59-8EC7-4978-A93A-93020C3DE995}" name="Column7913"/>
    <tableColumn id="7921" xr3:uid="{DD0803D7-B041-4F84-B4B4-94159005C0AF}" name="Column7914"/>
    <tableColumn id="7922" xr3:uid="{6A342740-4BBA-4C59-BBAF-A02EC646BEE4}" name="Column7915"/>
    <tableColumn id="7923" xr3:uid="{876F3B1D-93E3-4DC9-AB5B-81E67BF9FE0A}" name="Column7916"/>
    <tableColumn id="7924" xr3:uid="{90FA561E-3E4C-49B2-B467-FAD3438069EC}" name="Column7917"/>
    <tableColumn id="7925" xr3:uid="{80756F75-7B47-42B5-845B-E91F5BDBA6A5}" name="Column7918"/>
    <tableColumn id="7926" xr3:uid="{32C0BFC5-2A7B-4DBF-A391-2F269766E121}" name="Column7919"/>
    <tableColumn id="7927" xr3:uid="{13E27829-70AD-4A35-9DBC-33116BF7C19C}" name="Column7920"/>
    <tableColumn id="7928" xr3:uid="{BEA1A8B1-E748-4038-B1AF-DB1021FC22A3}" name="Column7921"/>
    <tableColumn id="7929" xr3:uid="{F0F636A0-F5C1-4F27-9F3E-54F31F9D32A2}" name="Column7922"/>
    <tableColumn id="7930" xr3:uid="{F2FF66D8-ED2F-4F5E-8F64-60374C56EE50}" name="Column7923"/>
    <tableColumn id="7931" xr3:uid="{5147D2D2-552A-4F13-9804-E7C6C43E909D}" name="Column7924"/>
    <tableColumn id="7932" xr3:uid="{2B302DC8-F0BC-4467-A103-3A2D1370C58D}" name="Column7925"/>
    <tableColumn id="7933" xr3:uid="{1807F010-70FE-4E94-9599-286769DC7E61}" name="Column7926"/>
    <tableColumn id="7934" xr3:uid="{1D27C1CA-F54A-462E-BFB0-86E65D2A522C}" name="Column7927"/>
    <tableColumn id="7935" xr3:uid="{A3E3E65A-AFC2-4D5D-80AF-3EC4F6F4E239}" name="Column7928"/>
    <tableColumn id="7936" xr3:uid="{B3F18D5A-1D47-4BAB-A06A-D0B5EFCDDF30}" name="Column7929"/>
    <tableColumn id="7937" xr3:uid="{AD8B77EC-A89E-4354-B33F-A18FFB2CDD4B}" name="Column7930"/>
    <tableColumn id="7938" xr3:uid="{D1459CF6-DB01-446F-86D6-93E00BF7BC73}" name="Column7931"/>
    <tableColumn id="7939" xr3:uid="{AADC4D94-0A3F-4D26-A751-9541A90344ED}" name="Column7932"/>
    <tableColumn id="7940" xr3:uid="{F71079B7-FD2D-4B4F-9DFC-53EE2E25D7A2}" name="Column7933"/>
    <tableColumn id="7941" xr3:uid="{89D0C541-177E-4274-90AA-B3BB7BFEE533}" name="Column7934"/>
    <tableColumn id="7942" xr3:uid="{E0A40433-A8FD-4CEB-ABD1-B2216F7AD559}" name="Column7935"/>
    <tableColumn id="7943" xr3:uid="{A56A14C5-0377-4384-B27A-8C000F03B049}" name="Column7936"/>
    <tableColumn id="7944" xr3:uid="{05A36016-8A32-40EC-BA5F-08EA2C544084}" name="Column7937"/>
    <tableColumn id="7945" xr3:uid="{9E2045AD-543C-4390-B9E4-E6F47958EF2F}" name="Column7938"/>
    <tableColumn id="7946" xr3:uid="{C429A0EF-52BD-41B6-A92F-DDCA5BB6649D}" name="Column7939"/>
    <tableColumn id="7947" xr3:uid="{567B98AB-314B-4AC0-B19B-9D75AF9B9106}" name="Column7940"/>
    <tableColumn id="7948" xr3:uid="{564B803E-1572-4B10-8FC9-DA2672A2BD00}" name="Column7941"/>
    <tableColumn id="7949" xr3:uid="{D0E6EA86-D8CF-44AC-B3E2-EA664394585E}" name="Column7942"/>
    <tableColumn id="7950" xr3:uid="{785607C6-1AD8-4FAE-8531-F51011D42B44}" name="Column7943"/>
    <tableColumn id="7951" xr3:uid="{6EC73D47-AD03-4626-B0CB-C7FFF1278364}" name="Column7944"/>
    <tableColumn id="7952" xr3:uid="{8E5FDC24-FCF0-4884-9A98-DC661DFD36FD}" name="Column7945"/>
    <tableColumn id="7953" xr3:uid="{58971FE9-0CF9-4544-B78C-4D289CA38490}" name="Column7946"/>
    <tableColumn id="7954" xr3:uid="{14B7C0A8-17BB-43A8-94DD-42765653553D}" name="Column7947"/>
    <tableColumn id="7955" xr3:uid="{11FA9F68-9D0C-42C6-A651-07153929FAB0}" name="Column7948"/>
    <tableColumn id="7956" xr3:uid="{ACC38B08-3229-4D9B-8618-75972860493E}" name="Column7949"/>
    <tableColumn id="7957" xr3:uid="{A9A9FD8F-DB9A-48FA-A634-9D2497FE076C}" name="Column7950"/>
    <tableColumn id="7958" xr3:uid="{712863AE-E120-457D-8E01-C976A80A52C0}" name="Column7951"/>
    <tableColumn id="7959" xr3:uid="{1D0A7D61-5E88-4963-BD2D-B34769149C50}" name="Column7952"/>
    <tableColumn id="7960" xr3:uid="{318987ED-3FCB-4AD2-A116-F94BB7C27E4F}" name="Column7953"/>
    <tableColumn id="7961" xr3:uid="{3CD1CEA3-97FA-4E9A-A0AC-35FD7C20EB74}" name="Column7954"/>
    <tableColumn id="7962" xr3:uid="{8315E1AD-6136-4730-AE50-7065AF27F8A6}" name="Column7955"/>
    <tableColumn id="7963" xr3:uid="{89ECE660-7D8A-4C79-A0EB-BD9DE99FC2EE}" name="Column7956"/>
    <tableColumn id="7964" xr3:uid="{3A1A952E-88D0-4526-8EB9-7D1269F000F7}" name="Column7957"/>
    <tableColumn id="7965" xr3:uid="{612B3733-6CFA-4A54-B715-8E970EF2A262}" name="Column7958"/>
    <tableColumn id="7966" xr3:uid="{D927E019-1A9C-4D0F-AB51-DD7EFCC42B55}" name="Column7959"/>
    <tableColumn id="7967" xr3:uid="{98343925-8762-4A43-9718-39ED77D2B412}" name="Column7960"/>
    <tableColumn id="7968" xr3:uid="{75E86941-A07B-46A0-A2E7-C66683B276D1}" name="Column7961"/>
    <tableColumn id="7969" xr3:uid="{C1D95BF1-F125-467C-9190-1BC68FF0C568}" name="Column7962"/>
    <tableColumn id="7970" xr3:uid="{99CC967E-78AE-45B0-9673-5C8993A5D292}" name="Column7963"/>
    <tableColumn id="7971" xr3:uid="{AE0D85AF-1C48-45F7-82BE-EF0B2BCE63C3}" name="Column7964"/>
    <tableColumn id="7972" xr3:uid="{33C4BE29-6E39-4760-AF6E-BE2469700DD4}" name="Column7965"/>
    <tableColumn id="7973" xr3:uid="{1700CC28-AE8E-4F93-BD15-4A17C5D66DD3}" name="Column7966"/>
    <tableColumn id="7974" xr3:uid="{0E8946C0-862D-4545-830B-B72C78FAE958}" name="Column7967"/>
    <tableColumn id="7975" xr3:uid="{FCE19EFA-DE15-4B4E-A318-4CAB438EBD82}" name="Column7968"/>
    <tableColumn id="7976" xr3:uid="{7C61F5C8-FCE5-4188-B52B-BA5DC98A3304}" name="Column7969"/>
    <tableColumn id="7977" xr3:uid="{84529DB2-2CD2-4DE6-A818-BEFFBBE9A13F}" name="Column7970"/>
    <tableColumn id="7978" xr3:uid="{513C0D6B-27AD-4B1B-A977-FFBB36332E8B}" name="Column7971"/>
    <tableColumn id="7979" xr3:uid="{8114CFC1-655F-40F0-B69E-698C04A7F2A7}" name="Column7972"/>
    <tableColumn id="7980" xr3:uid="{240D3F47-155F-45EF-BCDB-B54DD65DC30A}" name="Column7973"/>
    <tableColumn id="7981" xr3:uid="{E3579AB7-1DBA-4950-B69C-2715CF6CEE9B}" name="Column7974"/>
    <tableColumn id="7982" xr3:uid="{D189CFFC-49EA-4C2D-A7DB-0CE3B7BAB6BF}" name="Column7975"/>
    <tableColumn id="7983" xr3:uid="{ADD389DE-E3C6-4C8D-9A8F-CDFD23170C7E}" name="Column7976"/>
    <tableColumn id="7984" xr3:uid="{1CCBBE98-4607-47F6-914C-8B7B4785D0CB}" name="Column7977"/>
    <tableColumn id="7985" xr3:uid="{E0C327F2-C1FE-40E7-89E7-916DA1A1D330}" name="Column7978"/>
    <tableColumn id="7986" xr3:uid="{5F703E64-81AF-4614-9C2C-37524921ED34}" name="Column7979"/>
    <tableColumn id="7987" xr3:uid="{54AE3D07-3433-4D4A-9C8E-DC65A494FE61}" name="Column7980"/>
    <tableColumn id="7988" xr3:uid="{AFF0488E-42F5-4BC2-89B0-CE143F6CED2B}" name="Column7981"/>
    <tableColumn id="7989" xr3:uid="{A95A0204-97CE-44CE-BAC9-820D7659C910}" name="Column7982"/>
    <tableColumn id="7990" xr3:uid="{E7D67F8E-BC00-4329-83F3-F841F7582AB0}" name="Column7983"/>
    <tableColumn id="7991" xr3:uid="{C5D017D4-5372-47F4-915C-AB3E84C926E6}" name="Column7984"/>
    <tableColumn id="7992" xr3:uid="{CB03B03D-6530-40D3-9C6E-41B4AF296E39}" name="Column7985"/>
    <tableColumn id="7993" xr3:uid="{18395414-E285-4C82-A521-B803DC78BF6E}" name="Column7986"/>
    <tableColumn id="7994" xr3:uid="{BEABBB09-A6F5-4720-A7FD-F824DCE92834}" name="Column7987"/>
    <tableColumn id="7995" xr3:uid="{63D2B3B0-1E9D-43B7-BC95-BA4C940C87D8}" name="Column7988"/>
    <tableColumn id="7996" xr3:uid="{63AA71F9-EF98-4AC2-9106-B1340CB9FDA8}" name="Column7989"/>
    <tableColumn id="7997" xr3:uid="{EAC19C87-320D-448A-BBCB-F9B8FA5E494F}" name="Column7990"/>
    <tableColumn id="7998" xr3:uid="{AA257985-0905-4E46-A543-57403FCE1472}" name="Column7991"/>
    <tableColumn id="7999" xr3:uid="{8DB61CF3-ADBA-45A7-A335-E956A3518EE7}" name="Column7992"/>
    <tableColumn id="8000" xr3:uid="{48542CC8-62FE-44C3-8ADF-17D1075917D6}" name="Column7993"/>
    <tableColumn id="8001" xr3:uid="{C2B46055-DCD1-4A1B-AB52-827C2FF2056B}" name="Column7994"/>
    <tableColumn id="8002" xr3:uid="{A6B3BB2C-6D3A-44B3-A37D-F2B6BC402414}" name="Column7995"/>
    <tableColumn id="8003" xr3:uid="{9B7364EE-9D75-4491-AFF1-CBE9BB7D3DBD}" name="Column7996"/>
    <tableColumn id="8004" xr3:uid="{562C24A4-0A4D-4ECD-960C-8C8B78D43586}" name="Column7997"/>
    <tableColumn id="8005" xr3:uid="{69BB034F-FB43-4485-9BE2-CE30B060BFBF}" name="Column7998"/>
    <tableColumn id="8006" xr3:uid="{51EBD323-D1A7-4888-A714-30F61A25D577}" name="Column7999"/>
    <tableColumn id="8007" xr3:uid="{D9D51C39-77B5-4053-9D1F-FF30D8BA10D4}" name="Column8000"/>
    <tableColumn id="8008" xr3:uid="{4CA76ED2-DE2E-454D-AA60-08A5379BBE43}" name="Column8001"/>
    <tableColumn id="8009" xr3:uid="{9DE3C53A-613F-4FF6-872D-8FCAED30A7B9}" name="Column8002"/>
    <tableColumn id="8010" xr3:uid="{9E1D2FFA-3787-410D-B503-6499E87AD0FB}" name="Column8003"/>
    <tableColumn id="8011" xr3:uid="{26F7BDB5-125F-4773-A327-7923A24D9E52}" name="Column8004"/>
    <tableColumn id="8012" xr3:uid="{880BD957-1CFA-4C2D-A2B7-0F338BB3D451}" name="Column8005"/>
    <tableColumn id="8013" xr3:uid="{282F795F-0853-4B03-B3B1-C426B0D66F2B}" name="Column8006"/>
    <tableColumn id="8014" xr3:uid="{B1AA8C28-68A3-496B-A8DB-264B6BABFAA7}" name="Column8007"/>
    <tableColumn id="8015" xr3:uid="{A428F9E9-7AB9-4596-A088-BE1E1A8B941D}" name="Column8008"/>
    <tableColumn id="8016" xr3:uid="{C5E631C0-9718-4294-BB6B-1D9FBDFAF0B3}" name="Column8009"/>
    <tableColumn id="8017" xr3:uid="{D60FF52C-303C-4956-8C35-71EEA4B9F85D}" name="Column8010"/>
    <tableColumn id="8018" xr3:uid="{664D524B-8D8D-41D5-B403-04F0E776D51E}" name="Column8011"/>
    <tableColumn id="8019" xr3:uid="{3BDED53B-A18C-40DD-91C0-9AD71FE9BC23}" name="Column8012"/>
    <tableColumn id="8020" xr3:uid="{2B768D03-AFA4-497C-AE32-3350A8CD204C}" name="Column8013"/>
    <tableColumn id="8021" xr3:uid="{418F0B3A-95E7-45C5-B737-A50DA4F8387F}" name="Column8014"/>
    <tableColumn id="8022" xr3:uid="{5012DB43-77A8-4AC4-B207-7617E02E7DCB}" name="Column8015"/>
    <tableColumn id="8023" xr3:uid="{198B9888-7325-456C-B789-F09DF54F302C}" name="Column8016"/>
    <tableColumn id="8024" xr3:uid="{0A735451-F693-4959-B620-66A7B7A9AB23}" name="Column8017"/>
    <tableColumn id="8025" xr3:uid="{F1DDC013-021D-4B94-AB2B-C263E624316F}" name="Column8018"/>
    <tableColumn id="8026" xr3:uid="{380C055F-4E6E-4966-8525-F3169952486B}" name="Column8019"/>
    <tableColumn id="8027" xr3:uid="{472DD925-07A2-474B-ACF9-0B0916860801}" name="Column8020"/>
    <tableColumn id="8028" xr3:uid="{A727843B-59D1-4008-A0FD-2843C3A0DB89}" name="Column8021"/>
    <tableColumn id="8029" xr3:uid="{635DAD1C-3A98-4DFA-BDD5-4AAC64BB9C3D}" name="Column8022"/>
    <tableColumn id="8030" xr3:uid="{0760B870-EC07-414E-8927-A03FB5B068B1}" name="Column8023"/>
    <tableColumn id="8031" xr3:uid="{62659A6A-6542-4332-8E94-0B378C4189EC}" name="Column8024"/>
    <tableColumn id="8032" xr3:uid="{FD67DF3B-7455-40FA-8AEC-D33D6EDD347F}" name="Column8025"/>
    <tableColumn id="8033" xr3:uid="{E8D16887-7ED8-49FA-BCBC-72625D4E2733}" name="Column8026"/>
    <tableColumn id="8034" xr3:uid="{639CB787-6906-4BC9-9FDF-CBDF7C57E3C0}" name="Column8027"/>
    <tableColumn id="8035" xr3:uid="{5FEEB64B-4B60-4002-8F07-5EB75A5FFF13}" name="Column8028"/>
    <tableColumn id="8036" xr3:uid="{4F5BCFB2-E216-429A-BDB6-F8E2F24E6BE0}" name="Column8029"/>
    <tableColumn id="8037" xr3:uid="{369CD45C-D261-48B8-812C-2C87FCA0054D}" name="Column8030"/>
    <tableColumn id="8038" xr3:uid="{72E166E1-C677-4F73-AA2A-2B13E64ED36C}" name="Column8031"/>
    <tableColumn id="8039" xr3:uid="{4E06B77D-6539-4D1C-93E4-0388DB21BFC3}" name="Column8032"/>
    <tableColumn id="8040" xr3:uid="{702CCE86-7717-4B58-AB44-79D979BBA77B}" name="Column8033"/>
    <tableColumn id="8041" xr3:uid="{66A681FA-592D-4D3D-9B7D-96FD7E30AFA3}" name="Column8034"/>
    <tableColumn id="8042" xr3:uid="{80CE288C-9523-4602-9202-D78DD7F24B03}" name="Column8035"/>
    <tableColumn id="8043" xr3:uid="{337C4104-DEFC-4683-A5C8-7A3F5B1595C6}" name="Column8036"/>
    <tableColumn id="8044" xr3:uid="{FBFE53C1-D527-4125-BBF8-2C04FF8709E6}" name="Column8037"/>
    <tableColumn id="8045" xr3:uid="{D6BD07F5-85A2-48EE-B8B9-834B6030AE21}" name="Column8038"/>
    <tableColumn id="8046" xr3:uid="{AA3DE1D2-EA10-44E0-8596-3B96E42B167C}" name="Column8039"/>
    <tableColumn id="8047" xr3:uid="{6574274B-ABA5-461E-92D1-5A6BB0F6846D}" name="Column8040"/>
    <tableColumn id="8048" xr3:uid="{9EE66821-5961-4173-8B08-27D7282F1B39}" name="Column8041"/>
    <tableColumn id="8049" xr3:uid="{C3A5AF40-D37A-404E-BB69-E88B3963F347}" name="Column8042"/>
    <tableColumn id="8050" xr3:uid="{34067524-69D3-45AA-93D4-D29FCB976025}" name="Column8043"/>
    <tableColumn id="8051" xr3:uid="{89E42724-5D4A-4F5C-A3A4-9ED3238AE97C}" name="Column8044"/>
    <tableColumn id="8052" xr3:uid="{E6CE442B-0F5C-4C8A-B1F4-B1F70FBB2C3E}" name="Column8045"/>
    <tableColumn id="8053" xr3:uid="{0CD0A814-9218-4E63-BE28-6DC615EBF9EB}" name="Column8046"/>
    <tableColumn id="8054" xr3:uid="{D14C5B25-7C79-4A94-8B59-AA5572CC370C}" name="Column8047"/>
    <tableColumn id="8055" xr3:uid="{8B4C70C2-9C3A-4115-8621-81B621B16B03}" name="Column8048"/>
    <tableColumn id="8056" xr3:uid="{6C7E2069-86BE-4037-A61E-A398464E5ED3}" name="Column8049"/>
    <tableColumn id="8057" xr3:uid="{76D22BEA-6DEE-4CFB-9A45-0C158F002963}" name="Column8050"/>
    <tableColumn id="8058" xr3:uid="{633A38FB-FC09-4C97-9EAB-85EE603BD054}" name="Column8051"/>
    <tableColumn id="8059" xr3:uid="{96CE2CD2-B03D-4A1C-B3D4-425281551756}" name="Column8052"/>
    <tableColumn id="8060" xr3:uid="{1FE7ED72-4EAA-4D29-A950-41FC52B06A73}" name="Column8053"/>
    <tableColumn id="8061" xr3:uid="{CA005EAD-EA23-4E3C-BB04-680F444EF3CE}" name="Column8054"/>
    <tableColumn id="8062" xr3:uid="{DCF45C7B-A9BD-414A-A1AC-E4F9AD853E81}" name="Column8055"/>
    <tableColumn id="8063" xr3:uid="{12CEEE9C-D4A3-4F92-81D1-34F7C2AA2F3D}" name="Column8056"/>
    <tableColumn id="8064" xr3:uid="{49AEE1D9-D07B-4956-9955-B1F4DAD6F8B0}" name="Column8057"/>
    <tableColumn id="8065" xr3:uid="{02D3B170-D00E-47E8-A6F1-033C84AD116B}" name="Column8058"/>
    <tableColumn id="8066" xr3:uid="{C6657E58-3C7E-46D4-9159-450695A59D7C}" name="Column8059"/>
    <tableColumn id="8067" xr3:uid="{E87A0B01-D6F0-4E0D-96AA-254F1E2FA304}" name="Column8060"/>
    <tableColumn id="8068" xr3:uid="{F248BCC1-328B-42A6-8E8F-AA26F2F32CF9}" name="Column8061"/>
    <tableColumn id="8069" xr3:uid="{3E638ECC-A625-4C92-BB28-5B24A67C62ED}" name="Column8062"/>
    <tableColumn id="8070" xr3:uid="{FB9B12CB-9C2D-498B-9305-10AAB0208F6B}" name="Column8063"/>
    <tableColumn id="8071" xr3:uid="{A6A32BC5-402D-4D1D-9128-E508843C6B21}" name="Column8064"/>
    <tableColumn id="8072" xr3:uid="{1008CC09-96F8-4C24-9521-17DE99C2A80A}" name="Column8065"/>
    <tableColumn id="8073" xr3:uid="{E119BA8F-9F49-4334-87CF-3A3C8D4386C3}" name="Column8066"/>
    <tableColumn id="8074" xr3:uid="{7CE539A9-4F9D-4539-A0B6-689CA696E1E4}" name="Column8067"/>
    <tableColumn id="8075" xr3:uid="{3247CD49-01E6-4E16-BB49-E22258523228}" name="Column8068"/>
    <tableColumn id="8076" xr3:uid="{BE0E15C0-DEA4-4779-862D-1FC14DED2C64}" name="Column8069"/>
    <tableColumn id="8077" xr3:uid="{725B1057-69BB-44F8-B850-984EEEFDE7D8}" name="Column8070"/>
    <tableColumn id="8078" xr3:uid="{7D54F800-98E0-4667-BD3A-D85DF3578E0D}" name="Column8071"/>
    <tableColumn id="8079" xr3:uid="{14F56E0A-5688-4495-86A3-9D7AEC95D89B}" name="Column8072"/>
    <tableColumn id="8080" xr3:uid="{C2F23A77-8AD2-4761-99D9-5B66B6C63F5A}" name="Column8073"/>
    <tableColumn id="8081" xr3:uid="{6E154858-94DF-4DA2-B509-02E3CDF0FDA2}" name="Column8074"/>
    <tableColumn id="8082" xr3:uid="{073F8DAE-F2A3-424D-960F-8B8657A6BB37}" name="Column8075"/>
    <tableColumn id="8083" xr3:uid="{43649B62-014A-4ADF-9788-29BA77CA7699}" name="Column8076"/>
    <tableColumn id="8084" xr3:uid="{97B498B2-F46B-4B39-8A22-730470D9CB14}" name="Column8077"/>
    <tableColumn id="8085" xr3:uid="{62857A14-93BB-4D65-B3B9-50A0AC6D0674}" name="Column8078"/>
    <tableColumn id="8086" xr3:uid="{21A77A34-3293-4478-BDBD-736D17C4C92B}" name="Column8079"/>
    <tableColumn id="8087" xr3:uid="{1A036ABA-6CA6-4BE5-BE26-A50950D871D1}" name="Column8080"/>
    <tableColumn id="8088" xr3:uid="{9AE94320-FC49-4B2D-BEE4-A36FA86FF66B}" name="Column8081"/>
    <tableColumn id="8089" xr3:uid="{AA0CA747-0B6F-4531-88A7-4B316E1221FA}" name="Column8082"/>
    <tableColumn id="8090" xr3:uid="{8519D079-A637-4078-A2E0-8F00BCE3AF72}" name="Column8083"/>
    <tableColumn id="8091" xr3:uid="{A38C7733-0F18-4463-8A98-CD0749096E6F}" name="Column8084"/>
    <tableColumn id="8092" xr3:uid="{437D1E30-553F-4DCF-AB24-DC8933C90223}" name="Column8085"/>
    <tableColumn id="8093" xr3:uid="{8C0D2CEB-986F-4527-B28D-22F2365718C9}" name="Column8086"/>
    <tableColumn id="8094" xr3:uid="{587A917C-8544-4344-A7D1-1E9725E9E94C}" name="Column8087"/>
    <tableColumn id="8095" xr3:uid="{F5572115-18DF-4F1E-BC7D-E050E4EEB333}" name="Column8088"/>
    <tableColumn id="8096" xr3:uid="{42521DD5-BD58-42B6-97DE-EDB222BE9663}" name="Column8089"/>
    <tableColumn id="8097" xr3:uid="{D8E1BA24-7D88-4F02-8D5E-F8C1D16F8B3A}" name="Column8090"/>
    <tableColumn id="8098" xr3:uid="{424CFF50-9A04-40AE-9765-D8073B1FEB86}" name="Column8091"/>
    <tableColumn id="8099" xr3:uid="{3D038EE5-22A5-4EE8-859F-CBF2E4D5A54E}" name="Column8092"/>
    <tableColumn id="8100" xr3:uid="{71913F17-8BBE-455E-9D15-3C1EE9B18B9F}" name="Column8093"/>
    <tableColumn id="8101" xr3:uid="{F79728AE-5448-4732-88F8-F232C72A8B2F}" name="Column8094"/>
    <tableColumn id="8102" xr3:uid="{BCB3CC47-0780-4A58-B73A-E57CEBBF919E}" name="Column8095"/>
    <tableColumn id="8103" xr3:uid="{C449F475-8D0A-408C-A88C-5A2AE3081427}" name="Column8096"/>
    <tableColumn id="8104" xr3:uid="{E22BF0A2-69D0-4DFE-902F-CD6FFE6EFE9A}" name="Column8097"/>
    <tableColumn id="8105" xr3:uid="{9936CB3F-1491-4F16-B8C4-2FC08B463F0F}" name="Column8098"/>
    <tableColumn id="8106" xr3:uid="{7D404783-3285-4B92-A89B-32A9DEDED11A}" name="Column8099"/>
    <tableColumn id="8107" xr3:uid="{B62C376E-8CA9-4FCF-8436-DA9923433D9F}" name="Column8100"/>
    <tableColumn id="8108" xr3:uid="{8325A880-C21F-438D-8936-7A8A5ED1A67B}" name="Column8101"/>
    <tableColumn id="8109" xr3:uid="{042A2A43-76E8-4A29-9313-59730B3DAD9B}" name="Column8102"/>
    <tableColumn id="8110" xr3:uid="{7BA7E8B6-D6F3-4FAC-866E-D53B22581D66}" name="Column8103"/>
    <tableColumn id="8111" xr3:uid="{75CE3491-377C-42FB-9B99-84B59E4920D2}" name="Column8104"/>
    <tableColumn id="8112" xr3:uid="{1C81E11F-EC46-474A-87EC-AD7C01E215B6}" name="Column8105"/>
    <tableColumn id="8113" xr3:uid="{FDEDB71B-F36F-4998-B10C-C503C25FFC6A}" name="Column8106"/>
    <tableColumn id="8114" xr3:uid="{D073029A-8865-43C2-A55F-226B8FFB1465}" name="Column8107"/>
    <tableColumn id="8115" xr3:uid="{B551C5AE-BAAA-4496-9BD9-801BC39B781C}" name="Column8108"/>
    <tableColumn id="8116" xr3:uid="{CEB08744-E3E7-41FD-8982-52663DE19E83}" name="Column8109"/>
    <tableColumn id="8117" xr3:uid="{566D2F22-BA2D-4532-B5F6-A5B08570EB4B}" name="Column8110"/>
    <tableColumn id="8118" xr3:uid="{268D4E63-07A7-442B-965B-A61E767A744E}" name="Column8111"/>
    <tableColumn id="8119" xr3:uid="{62A100FA-BEAE-407F-BBEB-C445AA18FB49}" name="Column8112"/>
    <tableColumn id="8120" xr3:uid="{16BD31C1-4044-46F1-B5AC-AAA4077C4606}" name="Column8113"/>
    <tableColumn id="8121" xr3:uid="{BC67A53B-225D-4E49-9EE8-70D94067249F}" name="Column8114"/>
    <tableColumn id="8122" xr3:uid="{B791DE8C-02E2-48B7-832B-743DBB3B602C}" name="Column8115"/>
    <tableColumn id="8123" xr3:uid="{E7645BE1-C905-44E9-8A51-7F905D245D4D}" name="Column8116"/>
    <tableColumn id="8124" xr3:uid="{4FF6B50E-188B-4AED-93F4-F5589C1DC3C4}" name="Column8117"/>
    <tableColumn id="8125" xr3:uid="{F5FE4E27-AC12-47F1-ABF2-2AF3B99DED16}" name="Column8118"/>
    <tableColumn id="8126" xr3:uid="{CB6398A2-E5E1-42AC-B527-949398640BBF}" name="Column8119"/>
    <tableColumn id="8127" xr3:uid="{1614FF1D-5112-47F6-868C-346D8EB21D57}" name="Column8120"/>
    <tableColumn id="8128" xr3:uid="{36A257E9-1688-461E-A1E3-6E4DD8E8FE99}" name="Column8121"/>
    <tableColumn id="8129" xr3:uid="{49DE291A-1167-41DF-AAC4-6ED29A164AB3}" name="Column8122"/>
    <tableColumn id="8130" xr3:uid="{95CD3276-2AA6-4153-9A0A-3164CA42D5E7}" name="Column8123"/>
    <tableColumn id="8131" xr3:uid="{3C51F617-7494-4D0B-B772-9D23FAA6615A}" name="Column8124"/>
    <tableColumn id="8132" xr3:uid="{5A96476E-F403-4A66-87B4-F5DE9E11B9A1}" name="Column8125"/>
    <tableColumn id="8133" xr3:uid="{AD1F91F2-E22D-444F-A0A0-2731B63AA9DA}" name="Column8126"/>
    <tableColumn id="8134" xr3:uid="{42B376AA-8977-45F0-A7B5-371C3F9AB4CF}" name="Column8127"/>
    <tableColumn id="8135" xr3:uid="{CC31ABEB-4586-4D81-8160-7A7C7F089E0E}" name="Column8128"/>
    <tableColumn id="8136" xr3:uid="{C56A3537-F178-4F00-B91A-11B40604EBA1}" name="Column8129"/>
    <tableColumn id="8137" xr3:uid="{4FFD3F76-95F7-4428-B39C-C98D1AB6001C}" name="Column8130"/>
    <tableColumn id="8138" xr3:uid="{DC4AD9C6-C645-4C5A-AFCC-4AF614C21651}" name="Column8131"/>
    <tableColumn id="8139" xr3:uid="{6DDE50D1-64AE-4F69-8DF1-6D41060B7F92}" name="Column8132"/>
    <tableColumn id="8140" xr3:uid="{4EA6539F-EC5F-44B9-A145-ED582DA59544}" name="Column8133"/>
    <tableColumn id="8141" xr3:uid="{1776B34E-C9B4-43A7-AB5D-FBAD296D952E}" name="Column8134"/>
    <tableColumn id="8142" xr3:uid="{0EA38CDC-3DAB-4278-BC46-0E1BBD41F2D7}" name="Column8135"/>
    <tableColumn id="8143" xr3:uid="{AEF69CBA-BF23-4591-8BA2-2F38FDB5FB1E}" name="Column8136"/>
    <tableColumn id="8144" xr3:uid="{5E9E2FE0-5D3D-47C6-A881-5DB2F6980F1B}" name="Column8137"/>
    <tableColumn id="8145" xr3:uid="{DAE579A3-FE28-4DCD-AB3C-68E6B71FE601}" name="Column8138"/>
    <tableColumn id="8146" xr3:uid="{E435BE0C-54EF-4173-A676-F7B8CC37C59D}" name="Column8139"/>
    <tableColumn id="8147" xr3:uid="{00EC9E71-366D-43F8-87E3-7A709BD9671A}" name="Column8140"/>
    <tableColumn id="8148" xr3:uid="{DC9FA8E6-2536-4B35-8431-2288211F2570}" name="Column8141"/>
    <tableColumn id="8149" xr3:uid="{2AC00BF5-6D91-41C3-A6EF-AF7EAC8DFB7F}" name="Column8142"/>
    <tableColumn id="8150" xr3:uid="{BA754B1F-FA67-49C7-AD61-2216A2836A6B}" name="Column8143"/>
    <tableColumn id="8151" xr3:uid="{7A95F5B6-EBF9-4FB4-9752-DA9DB39F78BC}" name="Column8144"/>
    <tableColumn id="8152" xr3:uid="{5E6CAB74-D7D0-4ECC-910F-BB3CA0018F7D}" name="Column8145"/>
    <tableColumn id="8153" xr3:uid="{D40304F8-4998-4800-BC92-3B7E6968C863}" name="Column8146"/>
    <tableColumn id="8154" xr3:uid="{73073C40-5BD0-4FFD-887F-40A3E73AAC64}" name="Column8147"/>
    <tableColumn id="8155" xr3:uid="{DAC26BD8-C63D-413C-94CD-DED248B4F8D2}" name="Column8148"/>
    <tableColumn id="8156" xr3:uid="{8CDDA480-4168-4499-8658-75AB60A2BAB3}" name="Column8149"/>
    <tableColumn id="8157" xr3:uid="{27BCCA70-1396-4DB4-A585-2FD74F6B9D84}" name="Column8150"/>
    <tableColumn id="8158" xr3:uid="{1D0C1131-6250-4A4F-9BC6-DF05DF17C44D}" name="Column8151"/>
    <tableColumn id="8159" xr3:uid="{76AB9B59-2523-4B34-81C0-908456CCF089}" name="Column8152"/>
    <tableColumn id="8160" xr3:uid="{E0EEC789-34BD-4E58-B207-93E353C38A27}" name="Column8153"/>
    <tableColumn id="8161" xr3:uid="{061BDF87-650F-41EF-9878-5C9E3F043560}" name="Column8154"/>
    <tableColumn id="8162" xr3:uid="{51F31A68-5DE1-4FC2-A965-FA45D64E5979}" name="Column8155"/>
    <tableColumn id="8163" xr3:uid="{AFF09D51-DD3C-448A-AD88-AC534E972CFF}" name="Column8156"/>
    <tableColumn id="8164" xr3:uid="{FA5B0746-5854-45E6-B9F6-8AB21FD03195}" name="Column8157"/>
    <tableColumn id="8165" xr3:uid="{75A6B582-446B-4AEE-B3AF-300C33C53416}" name="Column8158"/>
    <tableColumn id="8166" xr3:uid="{8FB4DC6B-9407-41DF-AEF7-23C2ECBD5D06}" name="Column8159"/>
    <tableColumn id="8167" xr3:uid="{97746B97-73F6-452B-859C-28C954C30BE8}" name="Column8160"/>
    <tableColumn id="8168" xr3:uid="{9B2FE754-73F8-4A98-8ACD-D414B53988B9}" name="Column8161"/>
    <tableColumn id="8169" xr3:uid="{6E947B07-596B-4703-BFDC-07341691755D}" name="Column8162"/>
    <tableColumn id="8170" xr3:uid="{6AE7ADC4-C288-43B5-8646-90013788FF39}" name="Column8163"/>
    <tableColumn id="8171" xr3:uid="{2F433938-59B6-45B3-A8CC-20FC4DDFFB68}" name="Column8164"/>
    <tableColumn id="8172" xr3:uid="{49421339-A349-47B1-B937-682D75F26C23}" name="Column8165"/>
    <tableColumn id="8173" xr3:uid="{B1047D2E-047E-4D97-B5A0-61536D10E5A5}" name="Column8166"/>
    <tableColumn id="8174" xr3:uid="{C72F0274-B3F5-4158-B606-D02DC497A4A1}" name="Column8167"/>
    <tableColumn id="8175" xr3:uid="{1F763B38-7F3D-4556-9AF2-84493CF6E3CF}" name="Column8168"/>
    <tableColumn id="8176" xr3:uid="{D3B967DC-1875-459F-9659-AEF75DC850F8}" name="Column8169"/>
    <tableColumn id="8177" xr3:uid="{B5F37C7D-AA1C-4735-AFC9-46CE8165ABAD}" name="Column8170"/>
    <tableColumn id="8178" xr3:uid="{C5AB6300-CE53-4994-B9C8-2D0EBAAAC731}" name="Column8171"/>
    <tableColumn id="8179" xr3:uid="{5679002C-FD49-4634-8256-E568593E452F}" name="Column8172"/>
    <tableColumn id="8180" xr3:uid="{C50CCAFB-D36E-4BD3-8818-CCBFB7317447}" name="Column8173"/>
    <tableColumn id="8181" xr3:uid="{7671A5AA-2716-46E3-8585-816048C1FDAB}" name="Column8174"/>
    <tableColumn id="8182" xr3:uid="{73E6301B-1A64-4824-9D52-622EAEC70045}" name="Column8175"/>
    <tableColumn id="8183" xr3:uid="{EC9FAFBB-CF05-4C08-B2A8-FDAE45BCAAF2}" name="Column8176"/>
    <tableColumn id="8184" xr3:uid="{35A86314-C276-43D1-93DE-04F79968B845}" name="Column8177"/>
    <tableColumn id="8185" xr3:uid="{8F3540FB-FCAB-46DB-AF79-1EAA73FC37E9}" name="Column8178"/>
    <tableColumn id="8186" xr3:uid="{2432EB8E-F5EA-4B94-BF1C-5B0E7CC7BF05}" name="Column8179"/>
    <tableColumn id="8187" xr3:uid="{18043975-729A-4277-BBF8-D3ACEA0D4297}" name="Column8180"/>
    <tableColumn id="8188" xr3:uid="{9DF67E0A-B39C-4BF8-BD8F-A6FA6ED3F79D}" name="Column8181"/>
    <tableColumn id="8189" xr3:uid="{970D89D7-1EF7-403F-AF4F-4B884436E0FA}" name="Column8182"/>
    <tableColumn id="8190" xr3:uid="{8037B3BB-06EC-4126-B501-A356234E0CA9}" name="Column8183"/>
    <tableColumn id="8191" xr3:uid="{C24E8DA1-715D-4F70-A93D-34B3840DC337}" name="Column8184"/>
    <tableColumn id="8192" xr3:uid="{3D727CD4-64B7-4EF0-87CA-3A15FBEA8A90}" name="Column8185"/>
    <tableColumn id="8193" xr3:uid="{16B93C96-F523-4F7A-8CCD-8EFB1D735B11}" name="Column8186"/>
    <tableColumn id="8194" xr3:uid="{527A371C-DD7C-4E17-8A79-6F0780BE04AE}" name="Column8187"/>
    <tableColumn id="8195" xr3:uid="{1EECC1D0-450D-42E8-81A6-34BC09C1A813}" name="Column8188"/>
    <tableColumn id="8196" xr3:uid="{CBF55C6D-FF28-4B74-AD56-E5F0213E2805}" name="Column8189"/>
    <tableColumn id="8197" xr3:uid="{3F3079ED-ABB8-4FC5-B7E5-2B94FA660ACF}" name="Column8190"/>
    <tableColumn id="8198" xr3:uid="{E604D858-8E3D-44F5-906F-A3C7A8EC45F9}" name="Column8191"/>
    <tableColumn id="8199" xr3:uid="{EA768040-5241-4AB9-8005-DD86A01D68AB}" name="Column8192"/>
    <tableColumn id="8200" xr3:uid="{FC3F7164-C74C-4971-99ED-D735A0798C6F}" name="Column8193"/>
    <tableColumn id="8201" xr3:uid="{24F7611A-62A4-43F6-A9F5-7885CDDB5B6D}" name="Column8194"/>
    <tableColumn id="8202" xr3:uid="{CBDC84A3-8265-463A-B044-8FF83E303D7E}" name="Column8195"/>
    <tableColumn id="8203" xr3:uid="{ADA9EFF0-D54D-4305-8374-42BBA80272DF}" name="Column8196"/>
    <tableColumn id="8204" xr3:uid="{47F90222-C589-4313-9726-01D979F7C97C}" name="Column8197"/>
    <tableColumn id="8205" xr3:uid="{BB353B5C-52C8-48E7-AE7F-6F640C2408C7}" name="Column8198"/>
    <tableColumn id="8206" xr3:uid="{F82C9BBD-A94B-4529-A376-A6C3DDD0CFE5}" name="Column8199"/>
    <tableColumn id="8207" xr3:uid="{2D6F64EE-E5BE-4C68-8D46-BAFCF724FA20}" name="Column8200"/>
    <tableColumn id="8208" xr3:uid="{75279032-62B6-4BCC-872C-5A57B8A9E1A6}" name="Column8201"/>
    <tableColumn id="8209" xr3:uid="{583E1C48-2847-48F2-AFE9-819E8A43370C}" name="Column8202"/>
    <tableColumn id="8210" xr3:uid="{16AC8503-06F5-4C6B-A787-CD34FC8F7148}" name="Column8203"/>
    <tableColumn id="8211" xr3:uid="{30E976B6-5B20-4F0A-9E0D-B0CB7DE4B716}" name="Column8204"/>
    <tableColumn id="8212" xr3:uid="{1F1ABD4C-E510-46BE-9BE5-C04CD0AF6442}" name="Column8205"/>
    <tableColumn id="8213" xr3:uid="{0EB66D61-DC05-4265-8292-F0D43E59D48D}" name="Column8206"/>
    <tableColumn id="8214" xr3:uid="{FA34057E-93B7-4095-8AF0-025994CF481E}" name="Column8207"/>
    <tableColumn id="8215" xr3:uid="{D7C1A9D2-64A7-4DBD-B39F-5F022CC6DF99}" name="Column8208"/>
    <tableColumn id="8216" xr3:uid="{307182C4-43CC-448F-939A-F77F7BF1B2DF}" name="Column8209"/>
    <tableColumn id="8217" xr3:uid="{1C121D71-7CF6-461E-A95A-F0A0651A0ED2}" name="Column8210"/>
    <tableColumn id="8218" xr3:uid="{9A6D080A-8F94-43D4-8761-6FDE0C5A2E2E}" name="Column8211"/>
    <tableColumn id="8219" xr3:uid="{2C30A1DD-35A6-4A59-88DC-6B9B472B361C}" name="Column8212"/>
    <tableColumn id="8220" xr3:uid="{44BCE5F2-64DD-4083-9F98-AC4D91AC0A61}" name="Column8213"/>
    <tableColumn id="8221" xr3:uid="{354355FC-4ABC-4E6C-B640-6C3D85BF7DF0}" name="Column8214"/>
    <tableColumn id="8222" xr3:uid="{35365702-3836-4111-8377-A23F643775D6}" name="Column8215"/>
    <tableColumn id="8223" xr3:uid="{B691EDA1-5887-4C87-9844-4B2E695BFD83}" name="Column8216"/>
    <tableColumn id="8224" xr3:uid="{DB2DEB41-669B-4D92-89A2-B20AB2CBDD05}" name="Column8217"/>
    <tableColumn id="8225" xr3:uid="{4CC31705-A0DA-4218-AA91-48A1A8E92F68}" name="Column8218"/>
    <tableColumn id="8226" xr3:uid="{FDD410D8-5E16-4D3C-A750-60F210E02C57}" name="Column8219"/>
    <tableColumn id="8227" xr3:uid="{CE92500F-D51F-4A1E-9D87-C36D87564FDE}" name="Column8220"/>
    <tableColumn id="8228" xr3:uid="{D4CC81E6-A963-43B6-8530-2517F05568D9}" name="Column8221"/>
    <tableColumn id="8229" xr3:uid="{C3C05162-AE31-4CD3-95BB-0E3086E4E53A}" name="Column8222"/>
    <tableColumn id="8230" xr3:uid="{3118C152-62BD-4F22-8A88-9DA436323C67}" name="Column8223"/>
    <tableColumn id="8231" xr3:uid="{60FF02F8-C6EB-4212-94BB-EE4EA9D0ABD5}" name="Column8224"/>
    <tableColumn id="8232" xr3:uid="{CB62E30E-4161-4458-A647-0E26B73BBF54}" name="Column8225"/>
    <tableColumn id="8233" xr3:uid="{65BB5A6C-943E-458E-BFA9-05327FC9CE98}" name="Column8226"/>
    <tableColumn id="8234" xr3:uid="{8BC473AC-AAE4-4606-937D-7174E04B5937}" name="Column8227"/>
    <tableColumn id="8235" xr3:uid="{D7FDEBB5-4C56-4CD4-9691-0ED7D9B15650}" name="Column8228"/>
    <tableColumn id="8236" xr3:uid="{C64A8A6C-BD87-4A04-A096-C3FE06694A6F}" name="Column8229"/>
    <tableColumn id="8237" xr3:uid="{9D4B51F9-E3D2-4B89-88B8-497D2CD5F017}" name="Column8230"/>
    <tableColumn id="8238" xr3:uid="{880DA825-EDCF-4112-8B7E-F9105B0CE391}" name="Column8231"/>
    <tableColumn id="8239" xr3:uid="{12C11D68-171C-4E8B-994E-C500CAF2003A}" name="Column8232"/>
    <tableColumn id="8240" xr3:uid="{F09609AC-C3D7-4B19-BCF3-8F5E6A54B943}" name="Column8233"/>
    <tableColumn id="8241" xr3:uid="{1E31C60F-0EDB-4115-A475-CC546B67E3A3}" name="Column8234"/>
    <tableColumn id="8242" xr3:uid="{0F492F60-C22E-4DE9-986A-76FF43A0EAE2}" name="Column8235"/>
    <tableColumn id="8243" xr3:uid="{6877E529-8448-49CB-AA7F-210A883B11F7}" name="Column8236"/>
    <tableColumn id="8244" xr3:uid="{BF54654F-1874-4028-AD66-2D55C4DE5201}" name="Column8237"/>
    <tableColumn id="8245" xr3:uid="{11434C42-C21E-4E25-BD87-AD9E1093B1FC}" name="Column8238"/>
    <tableColumn id="8246" xr3:uid="{19C2D929-0379-4F89-B795-57700DA65327}" name="Column8239"/>
    <tableColumn id="8247" xr3:uid="{C4D27FA6-1DF5-4F17-81E7-DCAA4FDFB093}" name="Column8240"/>
    <tableColumn id="8248" xr3:uid="{49528BEF-842B-4049-A0E4-D829A54F3B9E}" name="Column8241"/>
    <tableColumn id="8249" xr3:uid="{AF355B3B-466E-4F03-A0FC-00FFAFF02D58}" name="Column8242"/>
    <tableColumn id="8250" xr3:uid="{21013A34-B108-452B-90E9-69B8B70C5B0C}" name="Column8243"/>
    <tableColumn id="8251" xr3:uid="{E891977B-7B0C-4E0B-81AF-B2810836D2DE}" name="Column8244"/>
    <tableColumn id="8252" xr3:uid="{485FA5FA-45EF-4651-BAE6-73593E78093F}" name="Column8245"/>
    <tableColumn id="8253" xr3:uid="{178A19AA-11F5-4C94-8EAC-9482486ABE51}" name="Column8246"/>
    <tableColumn id="8254" xr3:uid="{82966411-7D81-4E8A-93E4-C7B03BF0BFED}" name="Column8247"/>
    <tableColumn id="8255" xr3:uid="{4A3C9DB6-86FD-4072-96A9-DF033DCF5F75}" name="Column8248"/>
    <tableColumn id="8256" xr3:uid="{099D3C6E-5C5C-480C-A780-D508D0D3CC70}" name="Column8249"/>
    <tableColumn id="8257" xr3:uid="{4F5709F7-A786-4889-8ED5-247491339D17}" name="Column8250"/>
    <tableColumn id="8258" xr3:uid="{82F1CC2A-625D-4F43-86D8-147ACE57A936}" name="Column8251"/>
    <tableColumn id="8259" xr3:uid="{C5F0D3A1-DEA8-4786-AFAA-5BE69400841C}" name="Column8252"/>
    <tableColumn id="8260" xr3:uid="{DC46A1B1-AE7B-459C-A888-19195F5F38F8}" name="Column8253"/>
    <tableColumn id="8261" xr3:uid="{5D77F466-99E4-404E-B0D9-41006AC53B8A}" name="Column8254"/>
    <tableColumn id="8262" xr3:uid="{72FCAFF5-6321-44DB-9A65-60CCEEE9939F}" name="Column8255"/>
    <tableColumn id="8263" xr3:uid="{B7E431DD-8058-4B2E-BB24-05040F84AF98}" name="Column8256"/>
    <tableColumn id="8264" xr3:uid="{F2BEDB8F-F761-49AB-A2A6-ACF64F3473FF}" name="Column8257"/>
    <tableColumn id="8265" xr3:uid="{46A3EFA5-904E-42E0-8845-31674BB4DAA8}" name="Column8258"/>
    <tableColumn id="8266" xr3:uid="{4FB78852-6E55-42BE-816E-9ADECF1B4594}" name="Column8259"/>
    <tableColumn id="8267" xr3:uid="{785E37FF-7330-46CB-B1AD-ADAE08A93630}" name="Column8260"/>
    <tableColumn id="8268" xr3:uid="{42216204-D57E-4927-9072-3F7CD2771E94}" name="Column8261"/>
    <tableColumn id="8269" xr3:uid="{2C5B8C28-AD34-4583-993A-A642F988DBDD}" name="Column8262"/>
    <tableColumn id="8270" xr3:uid="{E9A03BED-7FD9-43CC-8A78-A06CB4809ECB}" name="Column8263"/>
    <tableColumn id="8271" xr3:uid="{0FF9BA66-2EDE-4624-937A-943B0C598DE9}" name="Column8264"/>
    <tableColumn id="8272" xr3:uid="{030C047F-6AB2-4581-8E5A-1650AEED109C}" name="Column8265"/>
    <tableColumn id="8273" xr3:uid="{0DA62A1B-F655-4C8B-AC33-FD4B237E014F}" name="Column8266"/>
    <tableColumn id="8274" xr3:uid="{765B41CF-D047-4002-ABF6-C2C4D7BE2AFF}" name="Column8267"/>
    <tableColumn id="8275" xr3:uid="{AB127395-5A40-4659-9999-A84D217F7CEC}" name="Column8268"/>
    <tableColumn id="8276" xr3:uid="{9537E8C7-3276-4A97-9F1B-A10CD87E5C6B}" name="Column8269"/>
    <tableColumn id="8277" xr3:uid="{F177AA68-F995-4E6D-815E-94AA32E742FF}" name="Column8270"/>
    <tableColumn id="8278" xr3:uid="{C94C0720-F767-48F0-B6DE-F32B4C57F61E}" name="Column8271"/>
    <tableColumn id="8279" xr3:uid="{A49DCA08-A6B8-4015-9782-AD997242F391}" name="Column8272"/>
    <tableColumn id="8280" xr3:uid="{3252D1C7-705E-4638-AD0F-0DA381850139}" name="Column8273"/>
    <tableColumn id="8281" xr3:uid="{B15D2688-9D65-484A-BD37-4237C02F9B88}" name="Column8274"/>
    <tableColumn id="8282" xr3:uid="{C31FD77E-9245-4B68-8054-21B296669F59}" name="Column8275"/>
    <tableColumn id="8283" xr3:uid="{72BA230E-C482-4D2A-BC6E-DA9DF3129E38}" name="Column8276"/>
    <tableColumn id="8284" xr3:uid="{96611332-B007-48AA-BE54-00F7E6E3DA68}" name="Column8277"/>
    <tableColumn id="8285" xr3:uid="{5E1CA253-745F-46AF-8F08-40A87BDA7475}" name="Column8278"/>
    <tableColumn id="8286" xr3:uid="{C3964327-4A95-452C-9CFB-F56335E3EFE2}" name="Column8279"/>
    <tableColumn id="8287" xr3:uid="{A3A72605-59D3-48BB-881D-B8739BA8BB20}" name="Column8280"/>
    <tableColumn id="8288" xr3:uid="{A5190D8F-84B3-4850-91BA-A6B38CA6D8AF}" name="Column8281"/>
    <tableColumn id="8289" xr3:uid="{1242A5E9-807E-4DC9-AD90-8387590F121A}" name="Column8282"/>
    <tableColumn id="8290" xr3:uid="{34D10C8C-1E90-4FCC-81D3-56EAFF637D0F}" name="Column8283"/>
    <tableColumn id="8291" xr3:uid="{FB727040-F004-4388-BD2E-C15B9C2DD9AA}" name="Column8284"/>
    <tableColumn id="8292" xr3:uid="{F820A45B-9ED8-4EB7-BDAB-BE673F0CA0D8}" name="Column8285"/>
    <tableColumn id="8293" xr3:uid="{576160BA-BD77-42F8-942A-72D30966D103}" name="Column8286"/>
    <tableColumn id="8294" xr3:uid="{C0DA9A55-3D66-4AF3-A996-EC72B8DD334D}" name="Column8287"/>
    <tableColumn id="8295" xr3:uid="{4AED4CB0-CC6D-47E7-BD03-BDA2EFBCE799}" name="Column8288"/>
    <tableColumn id="8296" xr3:uid="{18575B9C-30A4-405B-BB56-84CE67B7B996}" name="Column8289"/>
    <tableColumn id="8297" xr3:uid="{74233D0D-43E5-4EE1-BDF8-A783B2C1EC30}" name="Column8290"/>
    <tableColumn id="8298" xr3:uid="{752A65C0-EC9B-47CC-9435-A679EB56066E}" name="Column8291"/>
    <tableColumn id="8299" xr3:uid="{9AFF9CEE-615C-4B1D-BE3D-A7BA4E89EAB6}" name="Column8292"/>
    <tableColumn id="8300" xr3:uid="{A233825D-E5EC-4F05-8984-ED53754DA14E}" name="Column8293"/>
    <tableColumn id="8301" xr3:uid="{1781FA09-9877-4028-9D45-9DF50D0DFF58}" name="Column8294"/>
    <tableColumn id="8302" xr3:uid="{3D6B864B-937E-4704-8AF2-39620B30166B}" name="Column8295"/>
    <tableColumn id="8303" xr3:uid="{4B890D64-88D5-4836-804D-D56EE58EAFCC}" name="Column8296"/>
    <tableColumn id="8304" xr3:uid="{8247128F-764B-400F-8B4A-9D4BC63DF642}" name="Column8297"/>
    <tableColumn id="8305" xr3:uid="{413B54A9-EF1F-4B18-8FD6-604DA7A7B8AA}" name="Column8298"/>
    <tableColumn id="8306" xr3:uid="{5332FFA2-E2D9-40AD-B11C-992AD07446ED}" name="Column8299"/>
    <tableColumn id="8307" xr3:uid="{37C053EA-17BE-48DB-9288-50CE40AD1322}" name="Column8300"/>
    <tableColumn id="8308" xr3:uid="{98C6BB32-3F0C-4E7B-96DD-565DAAC5E372}" name="Column8301"/>
    <tableColumn id="8309" xr3:uid="{359E3E15-5939-4B31-9E47-0C45EFB7EDDE}" name="Column8302"/>
    <tableColumn id="8310" xr3:uid="{86ACD72A-7432-4551-A418-C9181D5E26E2}" name="Column8303"/>
    <tableColumn id="8311" xr3:uid="{8067DB86-BFDA-49AF-96F6-D2041F164693}" name="Column8304"/>
    <tableColumn id="8312" xr3:uid="{B3AB1282-6DC1-4DE9-B04A-0832929414CF}" name="Column8305"/>
    <tableColumn id="8313" xr3:uid="{66712378-A7F2-444D-B62E-4B3E7081BE39}" name="Column8306"/>
    <tableColumn id="8314" xr3:uid="{57E2871E-CC9C-4AC6-AD73-84B87423CC82}" name="Column8307"/>
    <tableColumn id="8315" xr3:uid="{D1B0E91A-0436-4F06-B8B6-2BA1E647FA4F}" name="Column8308"/>
    <tableColumn id="8316" xr3:uid="{63ACE86B-D4C0-425E-A88A-05CC5DF4D7D3}" name="Column8309"/>
    <tableColumn id="8317" xr3:uid="{003FE9D2-1CDB-488F-B20B-35E4C88A669F}" name="Column8310"/>
    <tableColumn id="8318" xr3:uid="{5CC3D101-EF76-4F57-B9A7-4E33C4EE66F8}" name="Column8311"/>
    <tableColumn id="8319" xr3:uid="{0986C94D-D5F3-48D4-B0C0-D2A3C08CBB4B}" name="Column8312"/>
    <tableColumn id="8320" xr3:uid="{C957C1AA-0D08-4493-AAD8-3EED741E2F3E}" name="Column8313"/>
    <tableColumn id="8321" xr3:uid="{7A956E46-793B-4480-B7EF-90F71BB63CDA}" name="Column8314"/>
    <tableColumn id="8322" xr3:uid="{3FA9DACE-A7D3-4569-9F4A-0A9A66F05009}" name="Column8315"/>
    <tableColumn id="8323" xr3:uid="{140440D0-B8DF-4705-B1D1-670FD830A281}" name="Column8316"/>
    <tableColumn id="8324" xr3:uid="{6ECCA37E-B678-49F8-A0AD-7D6B5493A140}" name="Column8317"/>
    <tableColumn id="8325" xr3:uid="{D2976424-CAC9-41BF-A513-1DE31D70ADD6}" name="Column8318"/>
    <tableColumn id="8326" xr3:uid="{A04148C2-4C50-4AA6-9654-7E672F96DB29}" name="Column8319"/>
    <tableColumn id="8327" xr3:uid="{9F9848CB-AB09-411F-9B8A-781C9E1472AD}" name="Column8320"/>
    <tableColumn id="8328" xr3:uid="{F85E2A85-0C55-48EC-AD7B-1CFBA932E715}" name="Column8321"/>
    <tableColumn id="8329" xr3:uid="{4CF75C14-5CDA-41B0-B21E-6AF15BF27096}" name="Column8322"/>
    <tableColumn id="8330" xr3:uid="{BFA32A86-7055-47DC-8701-6F0BE58E0103}" name="Column8323"/>
    <tableColumn id="8331" xr3:uid="{70CD3DEC-8301-4F7D-8565-60B85E9C45B3}" name="Column8324"/>
    <tableColumn id="8332" xr3:uid="{6F483C57-D057-491D-8175-4860EF948955}" name="Column8325"/>
    <tableColumn id="8333" xr3:uid="{9DAAE6C9-6EE2-495F-A55C-B089722D7E48}" name="Column8326"/>
    <tableColumn id="8334" xr3:uid="{B5EA242E-E13E-4DEE-9A9B-E4A98D23F51E}" name="Column8327"/>
    <tableColumn id="8335" xr3:uid="{FACDEDE3-E260-499D-ACCA-08083F366B8E}" name="Column8328"/>
    <tableColumn id="8336" xr3:uid="{58F140D6-04F5-418F-AA95-BBF99DABBBCF}" name="Column8329"/>
    <tableColumn id="8337" xr3:uid="{FF1DA5DA-4DE8-4C8C-BE33-080C0704995A}" name="Column8330"/>
    <tableColumn id="8338" xr3:uid="{65F17EBF-A160-4893-AF74-B95B75D342F1}" name="Column8331"/>
    <tableColumn id="8339" xr3:uid="{51D1A7ED-8934-442B-A400-936EBC535FEC}" name="Column8332"/>
    <tableColumn id="8340" xr3:uid="{2CAAFC96-6509-4DBD-9A0C-E245AB78BFD2}" name="Column8333"/>
    <tableColumn id="8341" xr3:uid="{504E59CA-0F81-4043-8AA5-4F8AA8E60FFE}" name="Column8334"/>
    <tableColumn id="8342" xr3:uid="{0D57C366-207F-48A6-AE2F-E63C3AA31608}" name="Column8335"/>
    <tableColumn id="8343" xr3:uid="{92D986A4-1E01-4645-A5B1-6D5B770C2007}" name="Column8336"/>
    <tableColumn id="8344" xr3:uid="{B0F633BD-2224-43E6-9132-426139621014}" name="Column8337"/>
    <tableColumn id="8345" xr3:uid="{3CF6836E-689C-468D-9890-2502E79B2152}" name="Column8338"/>
    <tableColumn id="8346" xr3:uid="{9131781A-B989-4FB6-B7C4-1B05BCA74062}" name="Column8339"/>
    <tableColumn id="8347" xr3:uid="{794F42B3-8BE3-494C-BCA2-C39D8786ACA0}" name="Column8340"/>
    <tableColumn id="8348" xr3:uid="{9E6FDC51-579E-4697-B106-8D6844BAAA23}" name="Column8341"/>
    <tableColumn id="8349" xr3:uid="{2680A55E-6E96-4686-A9CC-1AD20B3F2D76}" name="Column8342"/>
    <tableColumn id="8350" xr3:uid="{1CBC0898-EBBC-4E96-9D5B-78B59A09A467}" name="Column8343"/>
    <tableColumn id="8351" xr3:uid="{0E566101-3850-4E54-AA92-F4099DD13A21}" name="Column8344"/>
    <tableColumn id="8352" xr3:uid="{7EBB8CBA-1DD6-43AF-BF9B-8E4BFBF4F991}" name="Column8345"/>
    <tableColumn id="8353" xr3:uid="{9DB297B9-2BC0-4C7E-A743-5BBD560B7BCC}" name="Column8346"/>
    <tableColumn id="8354" xr3:uid="{030382D8-1435-4E9E-A63A-109462D848AC}" name="Column8347"/>
    <tableColumn id="8355" xr3:uid="{AF329BAD-8C54-4948-A615-7DCF3D297088}" name="Column8348"/>
    <tableColumn id="8356" xr3:uid="{B2546BDC-AFC8-4484-91B5-9AABB952CDD1}" name="Column8349"/>
    <tableColumn id="8357" xr3:uid="{B9962A08-8960-459C-B6E7-E6F3B8FEC854}" name="Column8350"/>
    <tableColumn id="8358" xr3:uid="{81A8AACE-222D-42CF-B6B9-E38B8E9ABB5B}" name="Column8351"/>
    <tableColumn id="8359" xr3:uid="{A2840664-4579-4D69-AC4E-DB5B25FE303D}" name="Column8352"/>
    <tableColumn id="8360" xr3:uid="{22FC3239-A8F7-4A9B-9F79-E04535C0E85C}" name="Column8353"/>
    <tableColumn id="8361" xr3:uid="{92BDD607-030E-4162-B6BB-7974F50C17F0}" name="Column8354"/>
    <tableColumn id="8362" xr3:uid="{AB390AF4-101F-44F6-99FC-0D127C36C7D8}" name="Column8355"/>
    <tableColumn id="8363" xr3:uid="{2A35BFE8-3AF7-46C1-8312-A3EF93DD61B5}" name="Column8356"/>
    <tableColumn id="8364" xr3:uid="{DAEE57E7-8767-438E-A1EA-0676440CF208}" name="Column8357"/>
    <tableColumn id="8365" xr3:uid="{84A6EB36-B0A9-4F4B-9696-15DEC433E4F2}" name="Column8358"/>
    <tableColumn id="8366" xr3:uid="{E0D492E9-8415-48CA-9403-E5272DDE80E2}" name="Column8359"/>
    <tableColumn id="8367" xr3:uid="{F7747B92-1757-4B12-8151-C0FEE5F6A4D1}" name="Column8360"/>
    <tableColumn id="8368" xr3:uid="{23F7DF75-2272-466B-BE2A-FBAEE15A910A}" name="Column8361"/>
    <tableColumn id="8369" xr3:uid="{9FBBD06C-6078-4E53-8645-1EFF659A44BD}" name="Column8362"/>
    <tableColumn id="8370" xr3:uid="{3027D34E-EF48-4A8E-82B1-4C0DB2EFF73A}" name="Column8363"/>
    <tableColumn id="8371" xr3:uid="{6743A3F4-BC2C-4C92-BEDD-DF125902E866}" name="Column8364"/>
    <tableColumn id="8372" xr3:uid="{FA4AA3F2-1881-403D-BC4D-EA982D2033B4}" name="Column8365"/>
    <tableColumn id="8373" xr3:uid="{0268DF8F-9AF3-4523-87FB-3F4A1C3D7F5C}" name="Column8366"/>
    <tableColumn id="8374" xr3:uid="{57CC4029-628A-4680-9EDF-F30D186A4B27}" name="Column8367"/>
    <tableColumn id="8375" xr3:uid="{84F99177-937B-47A3-8490-351BCCDF2B73}" name="Column8368"/>
    <tableColumn id="8376" xr3:uid="{5D3C42B4-D15F-45D1-A831-71F622B8ED76}" name="Column8369"/>
    <tableColumn id="8377" xr3:uid="{FC472C07-14C5-47FF-85A9-0484CE359FA4}" name="Column8370"/>
    <tableColumn id="8378" xr3:uid="{40558206-179A-44E4-8F28-54C1F68D15A0}" name="Column8371"/>
    <tableColumn id="8379" xr3:uid="{A4024519-6441-43A8-8CD2-ACECC6638EFC}" name="Column8372"/>
    <tableColumn id="8380" xr3:uid="{F964608D-77F6-4C1A-92E3-54DD4F9ED4FA}" name="Column8373"/>
    <tableColumn id="8381" xr3:uid="{6BCD13DC-9E81-4843-AF3C-ED218CFF8F8C}" name="Column8374"/>
    <tableColumn id="8382" xr3:uid="{61B43636-B63D-4664-8AEE-328A514A91AB}" name="Column8375"/>
    <tableColumn id="8383" xr3:uid="{C01A85B6-3923-4AF0-80B4-176C468DB18A}" name="Column8376"/>
    <tableColumn id="8384" xr3:uid="{1B8CEFBC-3A9F-4971-81D0-BB51DF2A4833}" name="Column8377"/>
    <tableColumn id="8385" xr3:uid="{169A50CF-C886-441F-BDD7-28F759AAF96C}" name="Column8378"/>
    <tableColumn id="8386" xr3:uid="{D2D2DFAE-7F77-4686-9500-DC95EC194D5C}" name="Column8379"/>
    <tableColumn id="8387" xr3:uid="{CE519C35-EFE8-4251-87D1-9F5CDBB75AF3}" name="Column8380"/>
    <tableColumn id="8388" xr3:uid="{013D22EB-8323-4DCF-AC71-F4F3148A53BD}" name="Column8381"/>
    <tableColumn id="8389" xr3:uid="{B3B44A5D-168B-4AC3-8B31-5F60445DB1C6}" name="Column8382"/>
    <tableColumn id="8390" xr3:uid="{2B771222-9618-4B0A-AA4F-80768CC00409}" name="Column8383"/>
    <tableColumn id="8391" xr3:uid="{12855EAC-B409-4293-A4BD-1BC280F15BD5}" name="Column8384"/>
    <tableColumn id="8392" xr3:uid="{D9C89309-CEF0-4066-A504-3F77A30F6FFD}" name="Column8385"/>
    <tableColumn id="8393" xr3:uid="{EE288828-7420-46B2-8CC2-2CABDFA8AE29}" name="Column8386"/>
    <tableColumn id="8394" xr3:uid="{580D63B0-0591-4D38-B1F1-84154AF1ABE6}" name="Column8387"/>
    <tableColumn id="8395" xr3:uid="{D6CB5F70-7ED5-4C8B-9C58-A20F9557CBF1}" name="Column8388"/>
    <tableColumn id="8396" xr3:uid="{906F899F-2A3A-485F-AB72-4F881667346D}" name="Column8389"/>
    <tableColumn id="8397" xr3:uid="{BE85BEE7-B650-4670-B583-7A0263F62C31}" name="Column8390"/>
    <tableColumn id="8398" xr3:uid="{CD447B61-B824-4A99-8990-2D982281E055}" name="Column8391"/>
    <tableColumn id="8399" xr3:uid="{F6557DEF-C1EB-4A55-BE6A-E800F5BDD57E}" name="Column8392"/>
    <tableColumn id="8400" xr3:uid="{AF88856F-3F16-40A3-8D71-26FDD3D4430F}" name="Column8393"/>
    <tableColumn id="8401" xr3:uid="{2D9A711D-1E32-47AA-B59E-C88B542B5D28}" name="Column8394"/>
    <tableColumn id="8402" xr3:uid="{7F252DA7-BDAD-479C-BBDC-0D7EB565227D}" name="Column8395"/>
    <tableColumn id="8403" xr3:uid="{E0B4FB2E-DFAF-493C-9E69-81CA1A6C5837}" name="Column8396"/>
    <tableColumn id="8404" xr3:uid="{9A803DE1-F550-4E1F-87C9-BBE05AAE73F4}" name="Column8397"/>
    <tableColumn id="8405" xr3:uid="{D840FD10-B3A9-4669-99BD-6F393E54F0F8}" name="Column8398"/>
    <tableColumn id="8406" xr3:uid="{89DD9A23-4B60-4213-81F6-BBD7FBC6BCE7}" name="Column8399"/>
    <tableColumn id="8407" xr3:uid="{9EF19675-6EBD-4913-82AF-1A5571579E13}" name="Column8400"/>
    <tableColumn id="8408" xr3:uid="{BEC5E826-5E5B-40B5-8390-62AAADCFE530}" name="Column8401"/>
    <tableColumn id="8409" xr3:uid="{67E7BCD5-D537-4402-BDCF-8E4D743FE714}" name="Column8402"/>
    <tableColumn id="8410" xr3:uid="{9A7A6A36-B9D7-4D77-920E-DD82EF55F744}" name="Column8403"/>
    <tableColumn id="8411" xr3:uid="{978C9407-FB20-4CB6-BAE2-69C04383158C}" name="Column8404"/>
    <tableColumn id="8412" xr3:uid="{E1D65A01-AD49-4D8A-8430-60EF6F1475A3}" name="Column8405"/>
    <tableColumn id="8413" xr3:uid="{659B054A-E5E8-4145-8992-67BDE3BC9572}" name="Column8406"/>
    <tableColumn id="8414" xr3:uid="{30EAED72-DF72-4EB0-95AB-4ED5A2F88179}" name="Column8407"/>
    <tableColumn id="8415" xr3:uid="{5E7B7AE6-3061-4BF4-A943-78801F1A1538}" name="Column8408"/>
    <tableColumn id="8416" xr3:uid="{39B59BDE-5B4C-42EA-9CD6-B225C52FAA49}" name="Column8409"/>
    <tableColumn id="8417" xr3:uid="{9D4C59B9-B6AA-473A-87B8-EEEAE18D847A}" name="Column8410"/>
    <tableColumn id="8418" xr3:uid="{5C29FDBF-DB42-4317-9CEA-D0A0F14B40D8}" name="Column8411"/>
    <tableColumn id="8419" xr3:uid="{69305FE3-D1C2-43AC-AAC5-AA3731451565}" name="Column8412"/>
    <tableColumn id="8420" xr3:uid="{D717DC6B-4362-4FE9-AC7C-3632F7977FB2}" name="Column8413"/>
    <tableColumn id="8421" xr3:uid="{A2E1D3A6-4F76-4F20-833C-F1D8C6AD0747}" name="Column8414"/>
    <tableColumn id="8422" xr3:uid="{F096C86D-629F-40BC-9A60-CD3166FEEA37}" name="Column8415"/>
    <tableColumn id="8423" xr3:uid="{45D9AE5A-0FAF-409C-BE9F-4BD0F5F14E2D}" name="Column8416"/>
    <tableColumn id="8424" xr3:uid="{60CBB72A-E58B-4A92-8CF8-A944E9F2E9AA}" name="Column8417"/>
    <tableColumn id="8425" xr3:uid="{880519B4-5251-4434-B2A9-12C4777D4628}" name="Column8418"/>
    <tableColumn id="8426" xr3:uid="{8E110536-ED83-4689-8DAE-C44FB35259CA}" name="Column8419"/>
    <tableColumn id="8427" xr3:uid="{1BFD4E69-3FB1-4CD9-B97B-A40DCFCFCB4F}" name="Column8420"/>
    <tableColumn id="8428" xr3:uid="{28676FF5-5F01-4F0D-8304-30B7C0382FD6}" name="Column8421"/>
    <tableColumn id="8429" xr3:uid="{6F38AC3A-47DC-4D34-A3BF-A7C551618321}" name="Column8422"/>
    <tableColumn id="8430" xr3:uid="{B53BC1E3-A0CB-476A-AC5D-0BBF7197D331}" name="Column8423"/>
    <tableColumn id="8431" xr3:uid="{CD3594BB-010E-4FEC-A326-21403E8214C8}" name="Column8424"/>
    <tableColumn id="8432" xr3:uid="{1183EE32-9DB7-4882-807B-85C3729FC9C9}" name="Column8425"/>
    <tableColumn id="8433" xr3:uid="{14B5ED32-2E89-42AD-9F6E-F209F0D9699F}" name="Column8426"/>
    <tableColumn id="8434" xr3:uid="{E581828F-4BBC-4748-852B-3C5D7974CF83}" name="Column8427"/>
    <tableColumn id="8435" xr3:uid="{FB2E47A1-451A-4224-8B2D-047B5633C893}" name="Column8428"/>
    <tableColumn id="8436" xr3:uid="{5CA6D1D5-EEB6-4605-A77F-D93A40B02F80}" name="Column8429"/>
    <tableColumn id="8437" xr3:uid="{ECC9284D-BE83-4747-A232-D00D6E7108B2}" name="Column8430"/>
    <tableColumn id="8438" xr3:uid="{A55E46EE-3F74-4ECC-BD59-45287E30564B}" name="Column8431"/>
    <tableColumn id="8439" xr3:uid="{F0DBDCDF-5C42-43A8-B214-E2B427AC72C5}" name="Column8432"/>
    <tableColumn id="8440" xr3:uid="{F4812889-7F47-43B1-BB0F-5DD0319E140B}" name="Column8433"/>
    <tableColumn id="8441" xr3:uid="{49D30F73-505F-4C71-83CA-7AA441BF5078}" name="Column8434"/>
    <tableColumn id="8442" xr3:uid="{78F8C5BD-DC9D-408D-85D8-A7B445A3DCE1}" name="Column8435"/>
    <tableColumn id="8443" xr3:uid="{34A0419A-0C21-4E3B-AF7B-C2D6DAE8B506}" name="Column8436"/>
    <tableColumn id="8444" xr3:uid="{FCC740E1-441F-48A8-BD3E-0134B87AAA00}" name="Column8437"/>
    <tableColumn id="8445" xr3:uid="{DB5979BD-E251-47FC-BA13-3629AEA6F9F4}" name="Column8438"/>
    <tableColumn id="8446" xr3:uid="{BCC8F360-33E9-4629-B468-07F9730006C8}" name="Column8439"/>
    <tableColumn id="8447" xr3:uid="{90286AC2-8AC6-4F05-A00D-E665A7062B0B}" name="Column8440"/>
    <tableColumn id="8448" xr3:uid="{EA18B016-AE1B-4FC5-A8BC-4F155D0A241B}" name="Column8441"/>
    <tableColumn id="8449" xr3:uid="{DD0550B8-2F9D-491D-B78B-6C7A09B1F25D}" name="Column8442"/>
    <tableColumn id="8450" xr3:uid="{14F809AA-14F6-427D-BC50-369897BEACDF}" name="Column8443"/>
    <tableColumn id="8451" xr3:uid="{CB39CC0B-F20E-4620-B03A-48403B8233BA}" name="Column8444"/>
    <tableColumn id="8452" xr3:uid="{29363B0D-0CFE-476D-95AC-459D0872BA2D}" name="Column8445"/>
    <tableColumn id="8453" xr3:uid="{BB188731-8534-4D4C-9232-4DF8DD5EE328}" name="Column8446"/>
    <tableColumn id="8454" xr3:uid="{06CDE7C6-D372-4B92-843A-EE02FCAD7F52}" name="Column8447"/>
    <tableColumn id="8455" xr3:uid="{49E167D8-92E1-417C-AFCA-8920AA085FCF}" name="Column8448"/>
    <tableColumn id="8456" xr3:uid="{FEAEDA72-E01A-42F1-AC39-9EE5034E332C}" name="Column8449"/>
    <tableColumn id="8457" xr3:uid="{E2C4E6DA-D88E-4E71-9FFB-1CA6F9A42AEF}" name="Column8450"/>
    <tableColumn id="8458" xr3:uid="{B39B11CB-96CC-400D-B1EA-2E1FE9196EFC}" name="Column8451"/>
    <tableColumn id="8459" xr3:uid="{E80BE95E-C4C2-46BE-AB0B-F376F16E26F6}" name="Column8452"/>
    <tableColumn id="8460" xr3:uid="{29045DCF-2895-41A5-BE1F-13EBCBE66576}" name="Column8453"/>
    <tableColumn id="8461" xr3:uid="{B8228965-B4F5-4FD4-90B6-DE04003F6A93}" name="Column8454"/>
    <tableColumn id="8462" xr3:uid="{D12E489A-8A3B-4668-AE06-CC1640442D95}" name="Column8455"/>
    <tableColumn id="8463" xr3:uid="{0F12AD8F-E6DB-467F-BC0E-E2CA3DB50057}" name="Column8456"/>
    <tableColumn id="8464" xr3:uid="{EA741238-F9AE-4F1E-8AC0-218178FE407B}" name="Column8457"/>
    <tableColumn id="8465" xr3:uid="{04DCC19B-94F0-4EAB-92F4-015B405B76BF}" name="Column8458"/>
    <tableColumn id="8466" xr3:uid="{E7E3E4AA-3C19-4CB2-8ED5-3B2E80224CD7}" name="Column8459"/>
    <tableColumn id="8467" xr3:uid="{7AC64E4E-A897-489A-B900-32CDD2CEEC18}" name="Column8460"/>
    <tableColumn id="8468" xr3:uid="{68AA30D3-1237-4827-AE13-D1FA054706C2}" name="Column8461"/>
    <tableColumn id="8469" xr3:uid="{E13A9889-747F-4649-9538-1DDB3E1FD3F5}" name="Column8462"/>
    <tableColumn id="8470" xr3:uid="{7A9AC54C-DDF6-4305-846D-B275B6A1EEFB}" name="Column8463"/>
    <tableColumn id="8471" xr3:uid="{B8D734BD-6DA7-4441-B376-4F97BD8AF8F6}" name="Column8464"/>
    <tableColumn id="8472" xr3:uid="{527DE7B2-542D-4719-BF4F-6F3708E2257F}" name="Column8465"/>
    <tableColumn id="8473" xr3:uid="{DEFD4A01-B357-47C6-820C-13B2881EF579}" name="Column8466"/>
    <tableColumn id="8474" xr3:uid="{C3BAC7F6-C457-4F1A-AB08-730601199AF6}" name="Column8467"/>
    <tableColumn id="8475" xr3:uid="{A7C8EADD-955B-45B8-92A7-1D9D9EF84697}" name="Column8468"/>
    <tableColumn id="8476" xr3:uid="{F6B22526-F43B-4E6F-82D5-0BDE05190D9C}" name="Column8469"/>
    <tableColumn id="8477" xr3:uid="{80305285-CC09-4CFA-A10C-447F6C6FAD33}" name="Column8470"/>
    <tableColumn id="8478" xr3:uid="{663B82FE-88A7-44E4-8D82-6D38F2941E3A}" name="Column8471"/>
    <tableColumn id="8479" xr3:uid="{B2A77859-A5D8-4274-8019-68DE8CF69CF5}" name="Column8472"/>
    <tableColumn id="8480" xr3:uid="{DF76743A-94A3-40D9-9A9B-84ACB2449868}" name="Column8473"/>
    <tableColumn id="8481" xr3:uid="{24B1241B-601A-4705-B568-9591965E100D}" name="Column8474"/>
    <tableColumn id="8482" xr3:uid="{465239F2-EF4C-4B07-8AD2-3CBCFEFD1D7C}" name="Column8475"/>
    <tableColumn id="8483" xr3:uid="{EA9E2C8B-0C3F-4CB8-A75E-2071F4B0827D}" name="Column8476"/>
    <tableColumn id="8484" xr3:uid="{B36EBF45-C115-4D45-AA2D-6D69F08287C9}" name="Column8477"/>
    <tableColumn id="8485" xr3:uid="{7700E315-E437-4B03-B04A-4308E79729D1}" name="Column8478"/>
    <tableColumn id="8486" xr3:uid="{8EC74347-A6CB-4EE8-813F-14CD56C9B11E}" name="Column8479"/>
    <tableColumn id="8487" xr3:uid="{FBE085A0-2730-476C-8C2C-688EBFCBC99C}" name="Column8480"/>
    <tableColumn id="8488" xr3:uid="{FD2026B7-B71E-4ACA-971A-C2B59A50F1CF}" name="Column8481"/>
    <tableColumn id="8489" xr3:uid="{A886F59A-C09C-4D23-833D-EB0522050B0B}" name="Column8482"/>
    <tableColumn id="8490" xr3:uid="{FD23327A-4513-4F3E-BF39-F26AE84450BB}" name="Column8483"/>
    <tableColumn id="8491" xr3:uid="{E55239F1-F923-4CA1-8D58-504824ECE7C3}" name="Column8484"/>
    <tableColumn id="8492" xr3:uid="{6843E7C2-B852-4C30-BA3A-EE76A0D7E69F}" name="Column8485"/>
    <tableColumn id="8493" xr3:uid="{D7A0770D-2173-42BB-98DD-A749B1D76287}" name="Column8486"/>
    <tableColumn id="8494" xr3:uid="{3F1D5DAB-DA85-4ACC-8743-48DFD8CA64E3}" name="Column8487"/>
    <tableColumn id="8495" xr3:uid="{80C54FCA-66F7-47B7-B254-E6A963AC0215}" name="Column8488"/>
    <tableColumn id="8496" xr3:uid="{F0E860B6-AEB3-4B21-8803-68EDC7D8AE4C}" name="Column8489"/>
    <tableColumn id="8497" xr3:uid="{467F53F5-6781-4442-812B-D90D8C661B7A}" name="Column8490"/>
    <tableColumn id="8498" xr3:uid="{9E5F8D3B-31BF-4D61-9FFF-39E9E7ADA622}" name="Column8491"/>
    <tableColumn id="8499" xr3:uid="{52331564-20D7-451B-8132-4F5026D5E64E}" name="Column8492"/>
    <tableColumn id="8500" xr3:uid="{5F6D79DF-E4A0-4DD2-A651-FB42EEB981D0}" name="Column8493"/>
    <tableColumn id="8501" xr3:uid="{939D2F6E-715B-4473-8AB8-84F82055F685}" name="Column8494"/>
    <tableColumn id="8502" xr3:uid="{91D836A6-09B5-4126-97EE-07FA3546BE05}" name="Column8495"/>
    <tableColumn id="8503" xr3:uid="{B9AB9504-1A01-4708-B467-F36C2872F574}" name="Column8496"/>
    <tableColumn id="8504" xr3:uid="{3BD9FA87-DCBC-4F3E-B0EC-73F9FDDE26E2}" name="Column8497"/>
    <tableColumn id="8505" xr3:uid="{C59AA472-D1F7-4B0B-BFC4-1FBD64EDA732}" name="Column8498"/>
    <tableColumn id="8506" xr3:uid="{3FE3BECB-4F0E-462E-B265-E7D5D3432F7A}" name="Column8499"/>
    <tableColumn id="8507" xr3:uid="{01D87685-28C2-4675-893F-903E3255FB0E}" name="Column8500"/>
    <tableColumn id="8508" xr3:uid="{7BC715EF-1EAB-4B9A-AA99-08EDDF5A08E7}" name="Column8501"/>
    <tableColumn id="8509" xr3:uid="{35F41A43-C889-4B01-B603-531739E6BB33}" name="Column8502"/>
    <tableColumn id="8510" xr3:uid="{5C481BE6-4AD2-4B22-A538-44882D780914}" name="Column8503"/>
    <tableColumn id="8511" xr3:uid="{512E116B-C0B4-4C9A-98BF-654759F178B3}" name="Column8504"/>
    <tableColumn id="8512" xr3:uid="{BEFC546D-28AB-4E5E-807F-FBC4C16560A6}" name="Column8505"/>
    <tableColumn id="8513" xr3:uid="{955184D2-940A-454C-AAE2-0E2647A64EFA}" name="Column8506"/>
    <tableColumn id="8514" xr3:uid="{B12236CE-1878-4519-81AC-F7E7283A0992}" name="Column8507"/>
    <tableColumn id="8515" xr3:uid="{F2FEA501-B9B6-4E48-A05A-EFBF9175E3C3}" name="Column8508"/>
    <tableColumn id="8516" xr3:uid="{36AD00F2-2D5D-42F8-9707-D3B8638AED84}" name="Column8509"/>
    <tableColumn id="8517" xr3:uid="{D57635FC-E313-4191-A561-586AD8AE2680}" name="Column8510"/>
    <tableColumn id="8518" xr3:uid="{8E22DD68-87EC-4042-8ACA-1AB29A436AB3}" name="Column8511"/>
    <tableColumn id="8519" xr3:uid="{A5EA9E86-AD52-46F2-AD5B-22DF0081AACC}" name="Column8512"/>
    <tableColumn id="8520" xr3:uid="{10E3316F-C7E1-4A57-9ECF-262E08947410}" name="Column8513"/>
    <tableColumn id="8521" xr3:uid="{5FD67165-1473-4057-BDF3-B169E05B9FCB}" name="Column8514"/>
    <tableColumn id="8522" xr3:uid="{FDCEE352-2A4A-4C10-8363-0EDBF051E292}" name="Column8515"/>
    <tableColumn id="8523" xr3:uid="{87431F81-8C8D-438C-9B5D-1FE506A42538}" name="Column8516"/>
    <tableColumn id="8524" xr3:uid="{B06F4EEA-50D3-4CB1-9821-CF875C967838}" name="Column8517"/>
    <tableColumn id="8525" xr3:uid="{B9E7840E-655A-42E8-BB13-AC5B33A09CC1}" name="Column8518"/>
    <tableColumn id="8526" xr3:uid="{BBB2C660-D42D-4144-A6C9-8309746E2666}" name="Column8519"/>
    <tableColumn id="8527" xr3:uid="{CC361040-022A-49D5-8799-3A49C7B431FC}" name="Column8520"/>
    <tableColumn id="8528" xr3:uid="{16A7CFC2-D2D5-40E5-8F45-51A83285DB61}" name="Column8521"/>
    <tableColumn id="8529" xr3:uid="{736DA91D-DC79-4908-9EF9-30098E31825F}" name="Column8522"/>
    <tableColumn id="8530" xr3:uid="{5C9591AB-8E2E-4E82-BC92-A81C08D3261B}" name="Column8523"/>
    <tableColumn id="8531" xr3:uid="{6C19EC23-F965-48B1-B317-BE935D80BEA2}" name="Column8524"/>
    <tableColumn id="8532" xr3:uid="{34DCB6F7-A5E7-41B3-8B35-6E1BD062E6C7}" name="Column8525"/>
    <tableColumn id="8533" xr3:uid="{2F064C45-5E2D-4670-8A14-863A25B633C1}" name="Column8526"/>
    <tableColumn id="8534" xr3:uid="{E1BBEEB7-8BD5-469D-8FDE-EE3D5F73779A}" name="Column8527"/>
    <tableColumn id="8535" xr3:uid="{6C66A055-411A-4195-AAB3-8282AB7E33B8}" name="Column8528"/>
    <tableColumn id="8536" xr3:uid="{34ABE99F-14B3-4699-9F01-3D94A0FD3CDE}" name="Column8529"/>
    <tableColumn id="8537" xr3:uid="{4D6678B2-023B-4FA1-BB57-1098507C4C4C}" name="Column8530"/>
    <tableColumn id="8538" xr3:uid="{60DA83F5-7B17-499B-9580-13C4C381D3A4}" name="Column8531"/>
    <tableColumn id="8539" xr3:uid="{E14817AA-8885-4BE0-AEAC-A7DA5EAF286E}" name="Column8532"/>
    <tableColumn id="8540" xr3:uid="{36D00677-4C36-435C-A88D-551928E3C072}" name="Column8533"/>
    <tableColumn id="8541" xr3:uid="{F5D2776A-0161-484D-B184-CF55CED3EA46}" name="Column8534"/>
    <tableColumn id="8542" xr3:uid="{2B7172B7-91A7-4AB8-AF24-4B82F376817F}" name="Column8535"/>
    <tableColumn id="8543" xr3:uid="{DE8AB1BA-04E2-4B1A-8FBE-6682E63533DD}" name="Column8536"/>
    <tableColumn id="8544" xr3:uid="{012D3808-0EF5-4414-8C60-BB5F64C963ED}" name="Column8537"/>
    <tableColumn id="8545" xr3:uid="{00B07A52-B0FC-4B16-BE4D-54B07A08AA5B}" name="Column8538"/>
    <tableColumn id="8546" xr3:uid="{3BBCC32E-3103-4DEE-8F99-6D1D21F0F33D}" name="Column8539"/>
    <tableColumn id="8547" xr3:uid="{576CE8B6-A3D2-4647-934C-2645C9D234CF}" name="Column8540"/>
    <tableColumn id="8548" xr3:uid="{45B5FCDB-7928-4D00-AA87-2A56408FBB60}" name="Column8541"/>
    <tableColumn id="8549" xr3:uid="{FE8075C9-7B9A-4766-9BDD-FB74392F9C0F}" name="Column8542"/>
    <tableColumn id="8550" xr3:uid="{0DB9B3CD-65BE-4E1A-9876-CCBD2644DA16}" name="Column8543"/>
    <tableColumn id="8551" xr3:uid="{1360C2E0-849B-443B-A2B7-0F508DAB4FFB}" name="Column8544"/>
    <tableColumn id="8552" xr3:uid="{C7560613-B254-4553-BC53-10B60E8E55DF}" name="Column8545"/>
    <tableColumn id="8553" xr3:uid="{07F1634E-2D79-466F-B26C-DCDB08258E11}" name="Column8546"/>
    <tableColumn id="8554" xr3:uid="{C4BDD0B9-F689-4CFF-8C18-393A4DD02127}" name="Column8547"/>
    <tableColumn id="8555" xr3:uid="{CACBE880-77C9-46ED-9496-CBC4FCE596F3}" name="Column8548"/>
    <tableColumn id="8556" xr3:uid="{C5E56CB6-9E2E-4BD8-A9BB-EAE58B467F34}" name="Column8549"/>
    <tableColumn id="8557" xr3:uid="{61F2D446-2496-4B6D-9210-F81E2E782C71}" name="Column8550"/>
    <tableColumn id="8558" xr3:uid="{0ADC8C1F-7E3C-4A2D-B2C4-BAC96C047E77}" name="Column8551"/>
    <tableColumn id="8559" xr3:uid="{C93DDCC3-D909-44EC-92EC-82C4FE46D4AF}" name="Column8552"/>
    <tableColumn id="8560" xr3:uid="{41976DFA-F306-46CA-BE8A-65D7472735A5}" name="Column8553"/>
    <tableColumn id="8561" xr3:uid="{B4C583A5-7116-4108-B18C-BC7ECAE2A3E3}" name="Column8554"/>
    <tableColumn id="8562" xr3:uid="{BF3D20F1-962E-4D41-ADEB-058E2CFD7969}" name="Column8555"/>
    <tableColumn id="8563" xr3:uid="{FA70A14F-D5CA-45E1-A44B-6338B892928F}" name="Column8556"/>
    <tableColumn id="8564" xr3:uid="{5BF492C9-7CB8-4486-A225-A21C25832489}" name="Column8557"/>
    <tableColumn id="8565" xr3:uid="{16ADE133-CF09-46DE-ABCC-F7F26091D211}" name="Column8558"/>
    <tableColumn id="8566" xr3:uid="{95DCA6D8-99A8-4EB0-8E85-9BB875EF53A9}" name="Column8559"/>
    <tableColumn id="8567" xr3:uid="{78F6E88E-29A5-447E-8F48-A8B74AAB69C6}" name="Column8560"/>
    <tableColumn id="8568" xr3:uid="{DF2E4E8D-482D-4D74-B917-9C575C30A5A9}" name="Column8561"/>
    <tableColumn id="8569" xr3:uid="{75A34BE3-022D-4DBC-8AD9-9537BBA0CF08}" name="Column8562"/>
    <tableColumn id="8570" xr3:uid="{F8D6FC51-6D59-4121-9D27-DFFF9190AEFB}" name="Column8563"/>
    <tableColumn id="8571" xr3:uid="{5AF29622-7C99-4E74-9C30-CF89CB187E21}" name="Column8564"/>
    <tableColumn id="8572" xr3:uid="{0DE59B36-155C-413F-97BD-BF1C908336DE}" name="Column8565"/>
    <tableColumn id="8573" xr3:uid="{D89D6354-5F3F-4E00-AA33-58FBD8B8DDE6}" name="Column8566"/>
    <tableColumn id="8574" xr3:uid="{B1DBD16D-2AA8-46EF-BD74-0BBA600D8333}" name="Column8567"/>
    <tableColumn id="8575" xr3:uid="{674646BA-7877-4143-BC98-B0BEA36B3A2E}" name="Column8568"/>
    <tableColumn id="8576" xr3:uid="{725BA212-8DB2-450F-8828-6610DB038447}" name="Column8569"/>
    <tableColumn id="8577" xr3:uid="{1662698A-7A7E-4240-8B39-025D857D1E77}" name="Column8570"/>
    <tableColumn id="8578" xr3:uid="{F867A499-F874-4134-B9E9-54D3D91D4AF7}" name="Column8571"/>
    <tableColumn id="8579" xr3:uid="{5FD1C5F6-BFA6-4830-BD62-1EEA269051BF}" name="Column8572"/>
    <tableColumn id="8580" xr3:uid="{1A8F390F-2A01-418B-8664-BB1E34B2A208}" name="Column8573"/>
    <tableColumn id="8581" xr3:uid="{54CBA546-668B-4CE1-9D86-C3D7743970E1}" name="Column8574"/>
    <tableColumn id="8582" xr3:uid="{9C87E85C-5393-4761-B133-082B1279F19A}" name="Column8575"/>
    <tableColumn id="8583" xr3:uid="{1420D3BC-6E9E-4BEE-9874-E993D21B0B12}" name="Column8576"/>
    <tableColumn id="8584" xr3:uid="{01C78930-CE44-40C4-9722-A2122E659825}" name="Column8577"/>
    <tableColumn id="8585" xr3:uid="{80384CE6-0BF0-4F7E-BCDD-6AE07F6A0701}" name="Column8578"/>
    <tableColumn id="8586" xr3:uid="{C1D686AB-DF3C-4C87-B7E0-C3CFCB5E83D5}" name="Column8579"/>
    <tableColumn id="8587" xr3:uid="{A07E400C-783B-4B99-A39E-03F99AA36CFE}" name="Column8580"/>
    <tableColumn id="8588" xr3:uid="{1E88D774-DE67-419E-A1C9-839E6D3E6441}" name="Column8581"/>
    <tableColumn id="8589" xr3:uid="{0300F47E-E804-4F23-9E7A-B2276771047E}" name="Column8582"/>
    <tableColumn id="8590" xr3:uid="{27D62D3E-919F-4BF9-A597-F054CA3D850D}" name="Column8583"/>
    <tableColumn id="8591" xr3:uid="{609E0BB9-1F0B-427D-A65D-11B7C155B83A}" name="Column8584"/>
    <tableColumn id="8592" xr3:uid="{5EF1F820-3140-4AF2-A846-ECB34D0066A2}" name="Column8585"/>
    <tableColumn id="8593" xr3:uid="{ECE27357-D193-436D-A595-F3D3870D23FC}" name="Column8586"/>
    <tableColumn id="8594" xr3:uid="{0B751C40-2E2D-499B-80EF-1932E494B6E2}" name="Column8587"/>
    <tableColumn id="8595" xr3:uid="{5B82B47E-DA5B-4ADB-9FBB-22C1D066999E}" name="Column8588"/>
    <tableColumn id="8596" xr3:uid="{FF16724A-CC7A-4710-A6F3-2BBDBF444D8B}" name="Column8589"/>
    <tableColumn id="8597" xr3:uid="{59843DF4-CFBC-46A2-9FE6-F2C2121E0C14}" name="Column8590"/>
    <tableColumn id="8598" xr3:uid="{FAC8BD87-49EE-4D6E-A2A5-454E44936DED}" name="Column8591"/>
    <tableColumn id="8599" xr3:uid="{F0812CFD-CC65-4890-B906-C398C7D25634}" name="Column8592"/>
    <tableColumn id="8600" xr3:uid="{17E919A6-9902-4CE1-B6B6-449FBFD69491}" name="Column8593"/>
    <tableColumn id="8601" xr3:uid="{F3F08B20-26B6-4812-865D-CEB4F2170B31}" name="Column8594"/>
    <tableColumn id="8602" xr3:uid="{2E1EDD6B-CFDD-442E-9E5A-1E07D2DBC677}" name="Column8595"/>
    <tableColumn id="8603" xr3:uid="{D78E19A7-DCA4-4F26-9226-191E504A35F1}" name="Column8596"/>
    <tableColumn id="8604" xr3:uid="{D6D768FF-8069-41B8-AA59-A97E3FD1E796}" name="Column8597"/>
    <tableColumn id="8605" xr3:uid="{9496B221-DBA1-42F7-83A1-6D8CAC82921D}" name="Column8598"/>
    <tableColumn id="8606" xr3:uid="{F09DB55D-41FC-4C1E-9E31-C87896382C47}" name="Column8599"/>
    <tableColumn id="8607" xr3:uid="{872FDA7D-416F-4306-AA9F-7D571DFD555E}" name="Column8600"/>
    <tableColumn id="8608" xr3:uid="{9984D9CD-D952-46DA-B5A2-A92C254A982B}" name="Column8601"/>
    <tableColumn id="8609" xr3:uid="{171C5733-184D-4E37-8947-8F6E6FE00753}" name="Column8602"/>
    <tableColumn id="8610" xr3:uid="{B616587D-EBD0-4840-8264-B41F8FADD686}" name="Column8603"/>
    <tableColumn id="8611" xr3:uid="{F7D3C58A-EA2F-47D7-965C-9EE48FCE4F9F}" name="Column8604"/>
    <tableColumn id="8612" xr3:uid="{57CA9C7E-9F57-4339-B938-BA556D5F0999}" name="Column8605"/>
    <tableColumn id="8613" xr3:uid="{8C4E1EA2-45CF-4DC5-B9FD-C2853FB58148}" name="Column8606"/>
    <tableColumn id="8614" xr3:uid="{225042F3-C452-4EBD-BBF1-E74E76024D4A}" name="Column8607"/>
    <tableColumn id="8615" xr3:uid="{2CE41329-0A35-408B-A0EC-613FE52378EC}" name="Column8608"/>
    <tableColumn id="8616" xr3:uid="{3B27E74E-EBD1-42A7-8EC6-EEF84C33259B}" name="Column8609"/>
    <tableColumn id="8617" xr3:uid="{DC86737F-653C-45FD-81A8-1A1E5FCE2987}" name="Column8610"/>
    <tableColumn id="8618" xr3:uid="{BA54E3A6-190B-45EB-BFAA-0E04215C54BA}" name="Column8611"/>
    <tableColumn id="8619" xr3:uid="{8B12C69C-E0E4-47CD-B4E3-A87D8B394E6A}" name="Column8612"/>
    <tableColumn id="8620" xr3:uid="{72E5F3F6-D54E-4D35-837A-DC6E3277FCB7}" name="Column8613"/>
    <tableColumn id="8621" xr3:uid="{51D14DB7-3111-43F4-A0AB-8D50378EB0B0}" name="Column8614"/>
    <tableColumn id="8622" xr3:uid="{377CB1E7-18FD-4AEA-AC02-65152C0BAB0E}" name="Column8615"/>
    <tableColumn id="8623" xr3:uid="{816E81F2-4305-4248-B070-7C9F750FDFD0}" name="Column8616"/>
    <tableColumn id="8624" xr3:uid="{2CABE82B-17D7-4FD6-A4C1-C5C366993A49}" name="Column8617"/>
    <tableColumn id="8625" xr3:uid="{7419B021-CAC6-482D-8FC7-BF4A908E536D}" name="Column8618"/>
    <tableColumn id="8626" xr3:uid="{3BD62843-3E92-405D-9B34-C964F0A36573}" name="Column8619"/>
    <tableColumn id="8627" xr3:uid="{26D72176-332C-45E7-A4C0-8C0C43785E6D}" name="Column8620"/>
    <tableColumn id="8628" xr3:uid="{B69DB596-AE4C-491A-AC3E-B57103DC02C4}" name="Column8621"/>
    <tableColumn id="8629" xr3:uid="{EA7F32FB-5BB1-4533-AB6D-94A7F81953D1}" name="Column8622"/>
    <tableColumn id="8630" xr3:uid="{E88828E0-E031-48ED-8F4D-23A65EEA8CB1}" name="Column8623"/>
    <tableColumn id="8631" xr3:uid="{E4C29511-B4A9-4CFD-B703-22E2ADDA9F5A}" name="Column8624"/>
    <tableColumn id="8632" xr3:uid="{DC593644-845C-4716-ADDB-9B3EC878565F}" name="Column8625"/>
    <tableColumn id="8633" xr3:uid="{32F1910C-1398-4F69-A6FF-E50896F98EDD}" name="Column8626"/>
    <tableColumn id="8634" xr3:uid="{90765FF6-7EC3-48CB-8C4D-A1D97E6EB833}" name="Column8627"/>
    <tableColumn id="8635" xr3:uid="{0BEA9A66-0209-4CD2-9779-A4B6A9461008}" name="Column8628"/>
    <tableColumn id="8636" xr3:uid="{728B0554-15E2-4356-A057-7CA2A104F0B9}" name="Column8629"/>
    <tableColumn id="8637" xr3:uid="{FF55F271-7463-4BF2-AC2B-1F1FE61AB18B}" name="Column8630"/>
    <tableColumn id="8638" xr3:uid="{B2441C84-39E4-4F9D-A24A-2545154B9873}" name="Column8631"/>
    <tableColumn id="8639" xr3:uid="{3D86FE44-9514-48D8-9D0C-A1F8103ADBFD}" name="Column8632"/>
    <tableColumn id="8640" xr3:uid="{2609F9E2-6571-4775-B0C8-1D4FDBE65C5F}" name="Column8633"/>
    <tableColumn id="8641" xr3:uid="{BB62A499-EF78-4528-B7E4-D8CFBF2CC443}" name="Column8634"/>
    <tableColumn id="8642" xr3:uid="{23A4F242-6C32-40A8-BCB3-DB0ECC4AAC25}" name="Column8635"/>
    <tableColumn id="8643" xr3:uid="{58CF5510-B7D2-46A3-A472-E660BD4ED785}" name="Column8636"/>
    <tableColumn id="8644" xr3:uid="{A55CC069-19E1-4ED8-801D-56EC8D99EFC7}" name="Column8637"/>
    <tableColumn id="8645" xr3:uid="{0518580C-7926-41BF-94D2-204E256DE49F}" name="Column8638"/>
    <tableColumn id="8646" xr3:uid="{86CFE2AC-2BC9-4558-919F-C7FB563410AC}" name="Column8639"/>
    <tableColumn id="8647" xr3:uid="{125E0D4E-1625-4E00-91EE-021487C19F5E}" name="Column8640"/>
    <tableColumn id="8648" xr3:uid="{DB104ED4-F5D4-4438-9303-44BE7125C317}" name="Column8641"/>
    <tableColumn id="8649" xr3:uid="{905347A2-3875-4EC7-99C9-8C66A1DEA375}" name="Column8642"/>
    <tableColumn id="8650" xr3:uid="{32F3C990-3A84-4F15-861A-13D27B2B7347}" name="Column8643"/>
    <tableColumn id="8651" xr3:uid="{82DB970C-FDEE-4980-8C03-36EF25B4A735}" name="Column8644"/>
    <tableColumn id="8652" xr3:uid="{CF306054-32A0-4669-820D-4E6F6FD81C32}" name="Column8645"/>
    <tableColumn id="8653" xr3:uid="{DAED7162-B20D-44D5-B570-28179000A3F7}" name="Column8646"/>
    <tableColumn id="8654" xr3:uid="{69924614-0605-4EC1-A8DA-D1ACEFC44EFD}" name="Column8647"/>
    <tableColumn id="8655" xr3:uid="{8BFE1516-3C54-470A-A362-7B8E56CB87B3}" name="Column8648"/>
    <tableColumn id="8656" xr3:uid="{DC9F14F3-CC35-492A-94BD-C18916255938}" name="Column8649"/>
    <tableColumn id="8657" xr3:uid="{F180F12B-CAB6-4D06-AC13-D602E7A4140C}" name="Column8650"/>
    <tableColumn id="8658" xr3:uid="{4CF4C829-02E4-40B3-8463-B5A87A329D06}" name="Column8651"/>
    <tableColumn id="8659" xr3:uid="{9FD9038A-AF89-4CCE-98A3-41EAF4DBAA8A}" name="Column8652"/>
    <tableColumn id="8660" xr3:uid="{A4C86A37-FF42-4BF6-94CD-5DCD0C264C84}" name="Column8653"/>
    <tableColumn id="8661" xr3:uid="{0DD083AB-4DA7-43F6-B282-008F8C13A2B6}" name="Column8654"/>
    <tableColumn id="8662" xr3:uid="{64906926-A6B7-4D4D-99EB-840452323053}" name="Column8655"/>
    <tableColumn id="8663" xr3:uid="{6A987CE8-CD79-4B3F-B283-3E53D2F6A501}" name="Column8656"/>
    <tableColumn id="8664" xr3:uid="{8E7E57A8-BC79-468A-9740-F2599E171F3B}" name="Column8657"/>
    <tableColumn id="8665" xr3:uid="{198833F0-6B89-4531-B3A8-A9F7E2AF7081}" name="Column8658"/>
    <tableColumn id="8666" xr3:uid="{4E71CF40-124C-49E9-A012-895FAD7BA8E4}" name="Column8659"/>
    <tableColumn id="8667" xr3:uid="{202A3372-EB6C-4A8A-B7FA-8FD1B5BC2E66}" name="Column8660"/>
    <tableColumn id="8668" xr3:uid="{B67B33D8-BCC7-4CAB-A3BC-3F7AE0DFB071}" name="Column8661"/>
    <tableColumn id="8669" xr3:uid="{D682CA9A-4F9F-41CC-A03C-7FBC77DFB5DC}" name="Column8662"/>
    <tableColumn id="8670" xr3:uid="{008B7159-F1F8-427D-B7E2-15837B40B7B5}" name="Column8663"/>
    <tableColumn id="8671" xr3:uid="{1E19CBF2-2056-4CE4-BE47-5B18C1DC32A7}" name="Column8664"/>
    <tableColumn id="8672" xr3:uid="{3BE2FC37-5942-4652-B2B2-887573F1CF58}" name="Column8665"/>
    <tableColumn id="8673" xr3:uid="{DAAD0007-B37A-4C00-AD6F-54B37C2F286D}" name="Column8666"/>
    <tableColumn id="8674" xr3:uid="{851CCD53-C995-477C-98E8-550496C70127}" name="Column8667"/>
    <tableColumn id="8675" xr3:uid="{973FABD4-DD62-4DE2-8F6C-9EDCFF7E8D26}" name="Column8668"/>
    <tableColumn id="8676" xr3:uid="{129B7C6B-EDD6-458C-AE77-436635C49307}" name="Column8669"/>
    <tableColumn id="8677" xr3:uid="{96588700-4E5B-4EE3-AFB7-5149FA7A757B}" name="Column8670"/>
    <tableColumn id="8678" xr3:uid="{B5E204AC-CB7D-44CD-B0C4-AE81E823A220}" name="Column8671"/>
    <tableColumn id="8679" xr3:uid="{7CCCE821-D509-48D1-86A7-5C240F060F59}" name="Column8672"/>
    <tableColumn id="8680" xr3:uid="{58A96DED-F93F-4AB2-A6A5-D8723922CDAC}" name="Column8673"/>
    <tableColumn id="8681" xr3:uid="{54D32DF3-CB2C-45B4-AF8E-E4D052DB1748}" name="Column8674"/>
    <tableColumn id="8682" xr3:uid="{60C27891-75DA-4D52-AD57-B43AB5FBE98F}" name="Column8675"/>
    <tableColumn id="8683" xr3:uid="{1A2950E6-14A1-45D9-8B3A-061D858EC7E7}" name="Column8676"/>
    <tableColumn id="8684" xr3:uid="{9B0BFA8D-2DAF-4185-B3E5-637D8DD76525}" name="Column8677"/>
    <tableColumn id="8685" xr3:uid="{E8A02F5B-3F54-4D4E-B736-7CD7F2798240}" name="Column8678"/>
    <tableColumn id="8686" xr3:uid="{54367B57-D5A9-4DB5-B04C-4E9A8736E31C}" name="Column8679"/>
    <tableColumn id="8687" xr3:uid="{745DF6B1-876B-4A09-BEFA-E59A5581809C}" name="Column8680"/>
    <tableColumn id="8688" xr3:uid="{F540BC1B-D8BD-49E3-B7F2-0003434C46C5}" name="Column8681"/>
    <tableColumn id="8689" xr3:uid="{EC1B8A7A-2A77-469D-B7F7-B01440750E55}" name="Column8682"/>
    <tableColumn id="8690" xr3:uid="{C203ACF6-64BF-4937-8D93-00F81DBF0C3A}" name="Column8683"/>
    <tableColumn id="8691" xr3:uid="{29F2C4EC-12BC-4B4A-884A-D2A4FAAE2CBB}" name="Column8684"/>
    <tableColumn id="8692" xr3:uid="{BC496E9B-8BDE-4778-B709-A0EF7EE484FC}" name="Column8685"/>
    <tableColumn id="8693" xr3:uid="{50764700-97A6-4685-9C4C-A69F59062B37}" name="Column8686"/>
    <tableColumn id="8694" xr3:uid="{FDCF370B-4665-418D-A50C-54ABC81A4790}" name="Column8687"/>
    <tableColumn id="8695" xr3:uid="{9F6BB0A2-4632-4EAC-B65F-2738D797A0F1}" name="Column8688"/>
    <tableColumn id="8696" xr3:uid="{8264B85E-BC57-483C-9F30-DA1A0F2F3AE1}" name="Column8689"/>
    <tableColumn id="8697" xr3:uid="{E899FCE3-E9D5-41FD-9665-A1C47376B85C}" name="Column8690"/>
    <tableColumn id="8698" xr3:uid="{BB37A636-370C-4D61-A6F1-3658D800DEA7}" name="Column8691"/>
    <tableColumn id="8699" xr3:uid="{032AF122-AB7E-4053-A9E2-D6D5DB7AADC6}" name="Column8692"/>
    <tableColumn id="8700" xr3:uid="{DA7E91E6-C173-476D-8879-8688885F5F1C}" name="Column8693"/>
    <tableColumn id="8701" xr3:uid="{7D9A61AE-48D0-407F-8E2F-3EC42A34B5EE}" name="Column8694"/>
    <tableColumn id="8702" xr3:uid="{91B876C8-0027-49EB-871B-75D153D59675}" name="Column8695"/>
    <tableColumn id="8703" xr3:uid="{A01F9F5B-C2FF-4FA8-B292-4E8D82A62246}" name="Column8696"/>
    <tableColumn id="8704" xr3:uid="{E286DAA2-FFDD-445C-A7E3-2E0E6CE5B6A8}" name="Column8697"/>
    <tableColumn id="8705" xr3:uid="{AC844260-FC61-4E30-B6AE-01EC55A99FEC}" name="Column8698"/>
    <tableColumn id="8706" xr3:uid="{48EC7D44-E193-4E8D-9085-12B49F5B2DC6}" name="Column8699"/>
    <tableColumn id="8707" xr3:uid="{1851D43E-ECAE-496E-8FDA-6DE5B5B29BE8}" name="Column8700"/>
    <tableColumn id="8708" xr3:uid="{ADAF535A-2AE7-4931-9F57-7094BA45FB42}" name="Column8701"/>
    <tableColumn id="8709" xr3:uid="{B40622F7-B59B-4911-BEB7-0596271B07A6}" name="Column8702"/>
    <tableColumn id="8710" xr3:uid="{FFC0213A-A316-488B-8804-C1643BDE4737}" name="Column8703"/>
    <tableColumn id="8711" xr3:uid="{A2A85F1C-1DBF-4E78-83C5-F5D09C5AEEEC}" name="Column8704"/>
    <tableColumn id="8712" xr3:uid="{CAF67683-E263-42AD-B362-5A9B8992AD55}" name="Column8705"/>
    <tableColumn id="8713" xr3:uid="{35A0E8F5-A509-42BC-8A1F-4BAF1965FFD0}" name="Column8706"/>
    <tableColumn id="8714" xr3:uid="{A6223AF1-D3FE-4012-A295-B9764E8E809C}" name="Column8707"/>
    <tableColumn id="8715" xr3:uid="{53608A47-3509-4133-8766-9870F923D44F}" name="Column8708"/>
    <tableColumn id="8716" xr3:uid="{4FFB7EF2-6E80-4FFD-B134-6435052D775C}" name="Column8709"/>
    <tableColumn id="8717" xr3:uid="{C9E82B87-56E4-4045-83FE-B9FB88B8D872}" name="Column8710"/>
    <tableColumn id="8718" xr3:uid="{3E8C3A49-4A78-4E9E-A0FD-D9292AFC1581}" name="Column8711"/>
    <tableColumn id="8719" xr3:uid="{17485673-5176-4B6D-BC16-69C1B55DCB18}" name="Column8712"/>
    <tableColumn id="8720" xr3:uid="{4E09374A-2D61-42E8-9B61-A3CB92E96145}" name="Column8713"/>
    <tableColumn id="8721" xr3:uid="{B70429F7-34FE-4C16-BA00-338643D173BE}" name="Column8714"/>
    <tableColumn id="8722" xr3:uid="{FE37F673-72A4-4B24-B367-3F4FB6B16283}" name="Column8715"/>
    <tableColumn id="8723" xr3:uid="{48A573E9-C0BA-4AC7-9F8B-3CA8734534C7}" name="Column8716"/>
    <tableColumn id="8724" xr3:uid="{32D57711-A4ED-406B-9206-9292F2D01A7A}" name="Column8717"/>
    <tableColumn id="8725" xr3:uid="{CE9EB955-5C3B-499F-BA11-BB1C6F27D92D}" name="Column8718"/>
    <tableColumn id="8726" xr3:uid="{9CD6CC50-8E3B-4C27-92FA-CBF85B1FD139}" name="Column8719"/>
    <tableColumn id="8727" xr3:uid="{06742C74-D2A6-43AC-A76B-B9B9B378B47A}" name="Column8720"/>
    <tableColumn id="8728" xr3:uid="{281F294A-4AD3-44CB-A080-E62379FE296B}" name="Column8721"/>
    <tableColumn id="8729" xr3:uid="{673ECE73-C189-4234-8B6E-0EE4C011AB42}" name="Column8722"/>
    <tableColumn id="8730" xr3:uid="{A602315B-803D-4088-A52F-39038B2BE647}" name="Column8723"/>
    <tableColumn id="8731" xr3:uid="{CF03B52C-4D92-4543-882D-2E2486B8CDB2}" name="Column8724"/>
    <tableColumn id="8732" xr3:uid="{50F350EF-8AFC-4414-9CDE-7ABB50F97CEF}" name="Column8725"/>
    <tableColumn id="8733" xr3:uid="{EFA850CB-19D5-4A18-976C-3BF4B4573DF3}" name="Column8726"/>
    <tableColumn id="8734" xr3:uid="{DDC29628-6174-40E9-A2B3-8CC3E5DE9046}" name="Column8727"/>
    <tableColumn id="8735" xr3:uid="{67993848-5541-4745-A4C3-6D106F199CCC}" name="Column8728"/>
    <tableColumn id="8736" xr3:uid="{E1560513-F68A-48F3-A962-1C4AA28E3BA2}" name="Column8729"/>
    <tableColumn id="8737" xr3:uid="{375A59E1-CEA1-48D0-868D-1C90E8F74553}" name="Column8730"/>
    <tableColumn id="8738" xr3:uid="{58E78E8F-45BA-438C-8532-AE9C4B4778DE}" name="Column8731"/>
    <tableColumn id="8739" xr3:uid="{713CB5E3-AFBF-46EE-B1B5-8B99F71D7AB5}" name="Column8732"/>
    <tableColumn id="8740" xr3:uid="{138C2D69-E10C-46A2-A4DB-B8F86278B450}" name="Column8733"/>
    <tableColumn id="8741" xr3:uid="{A3701B09-4426-4CF4-9EC9-08D4E876DC18}" name="Column8734"/>
    <tableColumn id="8742" xr3:uid="{E8AEBA5F-635C-49F6-8FFD-D1C8DA55315E}" name="Column8735"/>
    <tableColumn id="8743" xr3:uid="{A81BA3EE-E2C5-4E92-BB3A-6F0FC4417DB3}" name="Column8736"/>
    <tableColumn id="8744" xr3:uid="{2DE75E15-C6C8-4105-BD3C-C129C1C5BE45}" name="Column8737"/>
    <tableColumn id="8745" xr3:uid="{4411A24D-3DD0-485B-82DB-4F1FB272AEBB}" name="Column8738"/>
    <tableColumn id="8746" xr3:uid="{66FFC21D-F9DB-4EB9-9ABD-0E0E4B43F602}" name="Column8739"/>
    <tableColumn id="8747" xr3:uid="{7F6CBC5D-A10E-46C1-9761-AD5643191381}" name="Column8740"/>
    <tableColumn id="8748" xr3:uid="{5044A035-3A47-4FA8-97BD-8BDB0BCC2747}" name="Column8741"/>
    <tableColumn id="8749" xr3:uid="{2007A211-F5DF-4FD3-A8E1-5B283FBCAD7D}" name="Column8742"/>
    <tableColumn id="8750" xr3:uid="{8D270E80-2FFD-4112-AE6B-F10546BDE966}" name="Column8743"/>
    <tableColumn id="8751" xr3:uid="{A1B6E762-E11D-4D4B-8438-A08D2D67722A}" name="Column8744"/>
    <tableColumn id="8752" xr3:uid="{58BE2319-02CF-4DB9-B7E4-59D04ECBD7D4}" name="Column8745"/>
    <tableColumn id="8753" xr3:uid="{AE69CE3C-4279-43D6-BC63-8928FAEA4821}" name="Column8746"/>
    <tableColumn id="8754" xr3:uid="{7268084F-3658-486B-A275-DCFD399524B3}" name="Column8747"/>
    <tableColumn id="8755" xr3:uid="{90A6361E-1E4E-469F-9A03-8EFFCDD4AA77}" name="Column8748"/>
    <tableColumn id="8756" xr3:uid="{89B6EBD1-482F-41FB-997B-E6AD4F81A53C}" name="Column8749"/>
    <tableColumn id="8757" xr3:uid="{BC3AF5E4-FDA0-4CC7-B73C-555A37A7539B}" name="Column8750"/>
    <tableColumn id="8758" xr3:uid="{583F611E-4F45-440F-95D8-CFA9601F9C5C}" name="Column8751"/>
    <tableColumn id="8759" xr3:uid="{35ADACCE-34C7-4BA9-89FA-BCE1F472B518}" name="Column8752"/>
    <tableColumn id="8760" xr3:uid="{0D7FAFC0-B42F-460A-8949-F8AB57EB8CD8}" name="Column8753"/>
    <tableColumn id="8761" xr3:uid="{E296A25F-455F-45D9-B12A-FC42B5763FEE}" name="Column8754"/>
    <tableColumn id="8762" xr3:uid="{676B38AA-D3DD-4062-840E-300167CD11FD}" name="Column8755"/>
    <tableColumn id="8763" xr3:uid="{83A523EA-6B35-4B99-8F94-3926453DFD83}" name="Column8756"/>
    <tableColumn id="8764" xr3:uid="{FE6B3617-9F7A-4FF3-AF79-1D136BFD9113}" name="Column8757"/>
    <tableColumn id="8765" xr3:uid="{0536715D-8BA9-407A-B736-A117D18643F9}" name="Column8758"/>
    <tableColumn id="8766" xr3:uid="{F05BA75D-4741-4118-8752-619B2EA11E0D}" name="Column8759"/>
    <tableColumn id="8767" xr3:uid="{2819E135-090D-4640-BB13-97AAF4F9B2AF}" name="Column8760"/>
    <tableColumn id="8768" xr3:uid="{37D3DFD3-2182-4195-BD06-AAD93CE56C3F}" name="Column8761"/>
    <tableColumn id="8769" xr3:uid="{25B5616B-9ADE-489E-8628-72F2FC9E06A4}" name="Column8762"/>
    <tableColumn id="8770" xr3:uid="{4C56F43B-1ECC-4742-A448-D09191D4FC9F}" name="Column8763"/>
    <tableColumn id="8771" xr3:uid="{0265EDDC-A42C-44F1-A6D6-657B528862D8}" name="Column8764"/>
    <tableColumn id="8772" xr3:uid="{E56CC8BE-FF82-4AB6-A639-3B1C26E88FC1}" name="Column8765"/>
    <tableColumn id="8773" xr3:uid="{55BF42D0-7394-4639-BB02-A4164F9DEDF5}" name="Column8766"/>
    <tableColumn id="8774" xr3:uid="{332BC16A-CDF2-4FD7-9096-935E1C76A610}" name="Column8767"/>
    <tableColumn id="8775" xr3:uid="{63DDB5A3-29CC-4AE8-AA96-1FB33DF762CA}" name="Column8768"/>
    <tableColumn id="8776" xr3:uid="{10F13459-6922-4828-B43E-BEDF273D41E5}" name="Column8769"/>
    <tableColumn id="8777" xr3:uid="{54A3570C-CA1C-4F8F-A1A6-D71ADAED0005}" name="Column8770"/>
    <tableColumn id="8778" xr3:uid="{E34ED15B-B3A6-43E1-A8AC-FE1F8ACF9E8F}" name="Column8771"/>
    <tableColumn id="8779" xr3:uid="{D1B77902-903D-450F-9C32-EF3A3754D147}" name="Column8772"/>
    <tableColumn id="8780" xr3:uid="{83F6E866-884A-4775-AA31-6E06F971E250}" name="Column8773"/>
    <tableColumn id="8781" xr3:uid="{26F168CD-00CF-486C-81BC-05C709286665}" name="Column8774"/>
    <tableColumn id="8782" xr3:uid="{91BE7005-2B95-44CF-9DCF-5FDB1DA1E94F}" name="Column8775"/>
    <tableColumn id="8783" xr3:uid="{C4EA95CD-62D0-487E-837F-89D148D8C38A}" name="Column8776"/>
    <tableColumn id="8784" xr3:uid="{B6C46750-749C-4B6B-A2B9-3688619B8C99}" name="Column8777"/>
    <tableColumn id="8785" xr3:uid="{3150BE16-FE74-4287-B6E6-D72F94FA7972}" name="Column8778"/>
    <tableColumn id="8786" xr3:uid="{FBEAFF17-CA33-4992-833E-9585CE91F15F}" name="Column8779"/>
    <tableColumn id="8787" xr3:uid="{DD64D231-596A-4346-B740-6E4B5095174E}" name="Column8780"/>
    <tableColumn id="8788" xr3:uid="{3ED23A08-54BE-4403-A377-650699CC8012}" name="Column8781"/>
    <tableColumn id="8789" xr3:uid="{BD4DE4E3-96A6-4A03-88A5-61351C991084}" name="Column8782"/>
    <tableColumn id="8790" xr3:uid="{E4BE3778-EDC4-4DC9-AC9B-A410281C01D1}" name="Column8783"/>
    <tableColumn id="8791" xr3:uid="{79C1A48F-CC57-4FEF-A6A2-59B2982525FA}" name="Column8784"/>
    <tableColumn id="8792" xr3:uid="{2CD478C5-0AFC-4C3A-B6BC-4AA8E658D9E7}" name="Column8785"/>
    <tableColumn id="8793" xr3:uid="{2CB166EC-DF82-4BE5-AD6E-5AF6009859E3}" name="Column8786"/>
    <tableColumn id="8794" xr3:uid="{0D640939-D8A5-4914-A8AA-B784BC60DA6E}" name="Column8787"/>
    <tableColumn id="8795" xr3:uid="{BDEC10AB-39D3-4D3B-9B4E-D58EEFE4B8DC}" name="Column8788"/>
    <tableColumn id="8796" xr3:uid="{0D43F4B9-8C7F-447D-8859-5122E2D395F1}" name="Column8789"/>
    <tableColumn id="8797" xr3:uid="{B26655E7-22FB-4E1B-9121-30F0FFF537DF}" name="Column8790"/>
    <tableColumn id="8798" xr3:uid="{BBC22C62-0A2F-4D0D-A278-85465B05C57B}" name="Column8791"/>
    <tableColumn id="8799" xr3:uid="{41DBAFD2-4886-4B10-AC0D-D37BCF90BD15}" name="Column8792"/>
    <tableColumn id="8800" xr3:uid="{640F6976-AE52-4737-AFD3-9CFD5719B9A8}" name="Column8793"/>
    <tableColumn id="8801" xr3:uid="{51A20BBC-62C4-476E-A265-5F8FCEF9C776}" name="Column8794"/>
    <tableColumn id="8802" xr3:uid="{BA4FCE8E-E527-4F89-9D09-92159AA300A1}" name="Column8795"/>
    <tableColumn id="8803" xr3:uid="{D966BDAD-C40E-42DD-BE34-7708E9185241}" name="Column8796"/>
    <tableColumn id="8804" xr3:uid="{800824B8-ED59-4DDC-B271-76CD4C4A8288}" name="Column8797"/>
    <tableColumn id="8805" xr3:uid="{07D6E523-AB22-43EE-954A-08E82EC5BE90}" name="Column8798"/>
    <tableColumn id="8806" xr3:uid="{ADAE2600-620F-473E-AE84-6D82E0A005A6}" name="Column8799"/>
    <tableColumn id="8807" xr3:uid="{F62BAF97-CCE3-40D6-A71A-91DB2834BB5A}" name="Column8800"/>
    <tableColumn id="8808" xr3:uid="{F7287F7C-9E12-43CF-9FAC-F455F442C0AC}" name="Column8801"/>
    <tableColumn id="8809" xr3:uid="{03003CB6-A87B-4DCD-8AC6-039CF2514B24}" name="Column8802"/>
    <tableColumn id="8810" xr3:uid="{E0A725F3-1952-4CD0-9FC3-826FC09AEF92}" name="Column8803"/>
    <tableColumn id="8811" xr3:uid="{1402935D-1B0E-43BA-89BE-26AA74DF1907}" name="Column8804"/>
    <tableColumn id="8812" xr3:uid="{DD99F548-BB36-4ADD-91D2-4BE836E8F6BC}" name="Column8805"/>
    <tableColumn id="8813" xr3:uid="{8E5DF56C-5C66-4E00-8057-65FBE988A37B}" name="Column8806"/>
    <tableColumn id="8814" xr3:uid="{7A6CC4E3-651A-4DF7-9B0C-19FE6A7EF73B}" name="Column8807"/>
    <tableColumn id="8815" xr3:uid="{006356C3-CCED-49D9-BE0C-191B760077A0}" name="Column8808"/>
    <tableColumn id="8816" xr3:uid="{9544F6E9-BAA1-456E-95CC-965B4F4F218F}" name="Column8809"/>
    <tableColumn id="8817" xr3:uid="{49DACA87-F0E4-4DC6-94B7-A70FEC287425}" name="Column8810"/>
    <tableColumn id="8818" xr3:uid="{659BC9F3-FE76-4BF2-9DC5-3E64FA60A46D}" name="Column8811"/>
    <tableColumn id="8819" xr3:uid="{0DCED27A-4BB4-474A-A37C-D03557287200}" name="Column8812"/>
    <tableColumn id="8820" xr3:uid="{7F7E30E6-2E0B-4C88-9B94-DAF4E28B7F16}" name="Column8813"/>
    <tableColumn id="8821" xr3:uid="{093DF466-F1C9-4DD6-B938-A9CA0968678E}" name="Column8814"/>
    <tableColumn id="8822" xr3:uid="{B2027043-354F-4289-A77D-F56F265D1B89}" name="Column8815"/>
    <tableColumn id="8823" xr3:uid="{A538F92A-9637-4998-9590-838B096F69D6}" name="Column8816"/>
    <tableColumn id="8824" xr3:uid="{3EF4A324-BB49-4334-88C0-99A6809EBAB0}" name="Column8817"/>
    <tableColumn id="8825" xr3:uid="{061715A0-2517-4510-9093-BE45D5D238AF}" name="Column8818"/>
    <tableColumn id="8826" xr3:uid="{3BDC21D6-2297-4AAC-9554-3E3BD2E36353}" name="Column8819"/>
    <tableColumn id="8827" xr3:uid="{4D3A6ED9-7484-4175-B231-FF97CDEC23A3}" name="Column8820"/>
    <tableColumn id="8828" xr3:uid="{02E653A7-5D9D-4050-853B-CC98C28E4CA8}" name="Column8821"/>
    <tableColumn id="8829" xr3:uid="{8483A460-6F4A-4CB8-8102-CB99A6207A59}" name="Column8822"/>
    <tableColumn id="8830" xr3:uid="{266421BD-C461-4E8E-947C-33CAC4245283}" name="Column8823"/>
    <tableColumn id="8831" xr3:uid="{E8923009-9F20-4DE2-B5F7-923AEA8C11EF}" name="Column8824"/>
    <tableColumn id="8832" xr3:uid="{539DA386-0938-4768-AC14-FA6E92AC9AA1}" name="Column8825"/>
    <tableColumn id="8833" xr3:uid="{AB854993-F94B-46A0-8474-800342249DD3}" name="Column8826"/>
    <tableColumn id="8834" xr3:uid="{5DC1F765-5BD9-4031-83F7-B2FEE33965DD}" name="Column8827"/>
    <tableColumn id="8835" xr3:uid="{E5504052-F991-4291-9AA3-140014484E98}" name="Column8828"/>
    <tableColumn id="8836" xr3:uid="{5617E99C-6A3D-4D91-AC76-D9CCF9933525}" name="Column8829"/>
    <tableColumn id="8837" xr3:uid="{5259F39D-6E47-4E57-B986-E133053DEEAD}" name="Column8830"/>
    <tableColumn id="8838" xr3:uid="{F2FB497B-43E3-42A0-8A4E-BBF2DB41CE4D}" name="Column8831"/>
    <tableColumn id="8839" xr3:uid="{2CA7E83F-6F8E-4170-AACB-3CE14018378D}" name="Column8832"/>
    <tableColumn id="8840" xr3:uid="{0C9A3745-880E-437C-BC8F-6538C06D165C}" name="Column8833"/>
    <tableColumn id="8841" xr3:uid="{5978368B-B361-4C58-BB83-816B90BDEDC4}" name="Column8834"/>
    <tableColumn id="8842" xr3:uid="{53589766-2141-4136-AD6B-0526C2841E2B}" name="Column8835"/>
    <tableColumn id="8843" xr3:uid="{B2998B31-D384-46EE-B8F6-5DF7BCAE3B92}" name="Column8836"/>
    <tableColumn id="8844" xr3:uid="{D937F408-1887-446B-8F29-E06BBEEF2F73}" name="Column8837"/>
    <tableColumn id="8845" xr3:uid="{7DB1217F-3CB1-4F96-9A7E-0B93DF6C994A}" name="Column8838"/>
    <tableColumn id="8846" xr3:uid="{D4180425-FADD-4BA8-86AF-049E539BD31B}" name="Column8839"/>
    <tableColumn id="8847" xr3:uid="{14163781-249C-4FEC-9D72-F1A98B00F976}" name="Column8840"/>
    <tableColumn id="8848" xr3:uid="{BEF6770A-D2F0-4FE0-9B1C-1131438C1E39}" name="Column8841"/>
    <tableColumn id="8849" xr3:uid="{2590AB17-C742-40F7-AD16-8CEF21020C50}" name="Column8842"/>
    <tableColumn id="8850" xr3:uid="{2005A6B6-C13E-4108-9FF9-4746EC99707A}" name="Column8843"/>
    <tableColumn id="8851" xr3:uid="{2A90CED0-732A-4947-9A72-CD932111957A}" name="Column8844"/>
    <tableColumn id="8852" xr3:uid="{F270AF92-5601-4945-951F-6A2956B27617}" name="Column8845"/>
    <tableColumn id="8853" xr3:uid="{A534B918-7EAF-4FE0-973C-A1E1F85F8303}" name="Column8846"/>
    <tableColumn id="8854" xr3:uid="{6A81362E-546A-4DEB-9430-F904AF818707}" name="Column8847"/>
    <tableColumn id="8855" xr3:uid="{081582E5-31CF-4779-B8C1-A83A4F186FD9}" name="Column8848"/>
    <tableColumn id="8856" xr3:uid="{D675DB5C-9920-4D07-99FF-0FA2FAD82BAC}" name="Column8849"/>
    <tableColumn id="8857" xr3:uid="{6BF003F6-78E9-4C34-AE20-A600A9402E49}" name="Column8850"/>
    <tableColumn id="8858" xr3:uid="{F9FE8928-9170-43B7-AA89-8D2FC71A2C44}" name="Column8851"/>
    <tableColumn id="8859" xr3:uid="{36BFEA4E-3202-45AD-B84D-E67149FFBD4F}" name="Column8852"/>
    <tableColumn id="8860" xr3:uid="{4709D9FF-E575-4EA3-8727-CFF2D43F80F4}" name="Column8853"/>
    <tableColumn id="8861" xr3:uid="{77692E91-9DD8-4694-A2C9-45706737644B}" name="Column8854"/>
    <tableColumn id="8862" xr3:uid="{73269218-D833-4090-A73C-28E4827ED2D2}" name="Column8855"/>
    <tableColumn id="8863" xr3:uid="{5150233E-9F9B-43BB-9C54-C8E615394D44}" name="Column8856"/>
    <tableColumn id="8864" xr3:uid="{023DF96E-6AFD-44BD-BB18-0B71A2BE6D8C}" name="Column8857"/>
    <tableColumn id="8865" xr3:uid="{DB033D31-133D-4512-BEC4-DE3D2B914832}" name="Column8858"/>
    <tableColumn id="8866" xr3:uid="{526C830D-E982-480E-9D6A-DEAF6B541409}" name="Column8859"/>
    <tableColumn id="8867" xr3:uid="{DDD03A0B-3AEF-4BA7-B007-6A85FB49E2DB}" name="Column8860"/>
    <tableColumn id="8868" xr3:uid="{84F41028-AC0D-4527-B9D0-5AE6D00D993A}" name="Column8861"/>
    <tableColumn id="8869" xr3:uid="{AFC908B9-7F3D-4AFC-B902-1856B08154FB}" name="Column8862"/>
    <tableColumn id="8870" xr3:uid="{1C562CB1-83B6-411A-A101-01B8B13FB7BE}" name="Column8863"/>
    <tableColumn id="8871" xr3:uid="{53C521CB-33E2-477B-B294-071203EEBBFD}" name="Column8864"/>
    <tableColumn id="8872" xr3:uid="{E28D736A-13C9-421C-BD54-0038411BEC20}" name="Column8865"/>
    <tableColumn id="8873" xr3:uid="{BD1A8362-DDD8-42A7-8A7A-42B73BED22CD}" name="Column8866"/>
    <tableColumn id="8874" xr3:uid="{ED77E236-F89B-448E-8494-5E7E4057433A}" name="Column8867"/>
    <tableColumn id="8875" xr3:uid="{EE524C77-A597-4667-A024-90EFCBE575CC}" name="Column8868"/>
    <tableColumn id="8876" xr3:uid="{7439FDC4-7CD4-4713-ABA6-B337638F734F}" name="Column8869"/>
    <tableColumn id="8877" xr3:uid="{59339119-DD23-4559-86F0-444DF588288A}" name="Column8870"/>
    <tableColumn id="8878" xr3:uid="{21F04208-A92F-4498-BDF5-760E681E5AEC}" name="Column8871"/>
    <tableColumn id="8879" xr3:uid="{CFE1F797-2531-47A6-AFCC-393C78A990E2}" name="Column8872"/>
    <tableColumn id="8880" xr3:uid="{500E48D1-0C0D-4E01-83C5-46B40A488CEC}" name="Column8873"/>
    <tableColumn id="8881" xr3:uid="{3B925DE5-5F86-49F1-8F14-051EB04E1750}" name="Column8874"/>
    <tableColumn id="8882" xr3:uid="{FB23B132-1DC7-481F-A3B1-392F8738ACA2}" name="Column8875"/>
    <tableColumn id="8883" xr3:uid="{DC2F548C-62FF-44F8-8DCD-4D982D8C62CC}" name="Column8876"/>
    <tableColumn id="8884" xr3:uid="{AEFB0E1A-B2DB-4B12-85EA-4652D209E205}" name="Column8877"/>
    <tableColumn id="8885" xr3:uid="{BD1C3EB5-114F-4615-B5B5-DC4AA36AF5C0}" name="Column8878"/>
    <tableColumn id="8886" xr3:uid="{FEB1AF0B-8FD3-465D-A73F-76711220003A}" name="Column8879"/>
    <tableColumn id="8887" xr3:uid="{6AAB4E3C-129E-4D4A-A25B-7802DF7ECDA8}" name="Column8880"/>
    <tableColumn id="8888" xr3:uid="{8D242429-C677-479A-845C-82EBE180D15F}" name="Column8881"/>
    <tableColumn id="8889" xr3:uid="{3D7CAB4A-710B-4A3E-AA2B-4B4942E4EFAE}" name="Column8882"/>
    <tableColumn id="8890" xr3:uid="{E9388B6A-084A-44B6-BD78-63CBBB4D8EC3}" name="Column8883"/>
    <tableColumn id="8891" xr3:uid="{31F7ED97-64F5-41B7-B0F8-3E8167591888}" name="Column8884"/>
    <tableColumn id="8892" xr3:uid="{D5436231-DC0D-489C-B7E0-035FFB8B6929}" name="Column8885"/>
    <tableColumn id="8893" xr3:uid="{2B9B5AD9-28D1-45D6-8BEE-976CD5DAAE6E}" name="Column8886"/>
    <tableColumn id="8894" xr3:uid="{F2B5FC0D-E175-48E6-B143-09831E5AE03B}" name="Column8887"/>
    <tableColumn id="8895" xr3:uid="{174D8F77-BD96-4153-8195-E53AF286ECEF}" name="Column8888"/>
    <tableColumn id="8896" xr3:uid="{FF5A4C68-3880-42F8-98DA-4A54CC8DEC80}" name="Column8889"/>
    <tableColumn id="8897" xr3:uid="{ED0E49E3-901F-4C2B-B0AB-E94660BA4311}" name="Column8890"/>
    <tableColumn id="8898" xr3:uid="{AB839937-1FE8-48A7-94BE-348510E32EB5}" name="Column8891"/>
    <tableColumn id="8899" xr3:uid="{C3321B42-8377-4E86-AA95-7E4CF5EC221A}" name="Column8892"/>
    <tableColumn id="8900" xr3:uid="{A8560B96-5E35-496E-8A2C-95651958AB3C}" name="Column8893"/>
    <tableColumn id="8901" xr3:uid="{EEF89468-369F-4F2E-BA72-E167AB3CD9ED}" name="Column8894"/>
    <tableColumn id="8902" xr3:uid="{B0BEAE7C-78EB-496B-B044-6BC58BEB1869}" name="Column8895"/>
    <tableColumn id="8903" xr3:uid="{90F2F2EC-7ACF-4504-A88A-CB92AFED5E2F}" name="Column8896"/>
    <tableColumn id="8904" xr3:uid="{D385EDEC-7440-47F3-873E-03AA8D6B83B8}" name="Column8897"/>
    <tableColumn id="8905" xr3:uid="{32437704-3D17-4FBD-AD48-E04963724EF8}" name="Column8898"/>
    <tableColumn id="8906" xr3:uid="{02700BC1-6E04-4C1B-B0D4-686CF9622015}" name="Column8899"/>
    <tableColumn id="8907" xr3:uid="{CC4D77B3-A669-4FFC-82F8-4C91B318DD97}" name="Column8900"/>
    <tableColumn id="8908" xr3:uid="{4FD3927A-C67A-4751-889B-EF74434794EA}" name="Column8901"/>
    <tableColumn id="8909" xr3:uid="{77B72FBB-0464-41E5-8DE0-83D3986FD10C}" name="Column8902"/>
    <tableColumn id="8910" xr3:uid="{0FD5E365-7338-47EB-909C-0F1B71693F1A}" name="Column8903"/>
    <tableColumn id="8911" xr3:uid="{A1A654F3-A466-4FBF-8D36-3981EA61A35A}" name="Column8904"/>
    <tableColumn id="8912" xr3:uid="{8A30F5EA-3C36-4DB0-BA57-E7A5A2337F8E}" name="Column8905"/>
    <tableColumn id="8913" xr3:uid="{9401C02B-A606-43C3-8F79-B27C6669D141}" name="Column8906"/>
    <tableColumn id="8914" xr3:uid="{4D54532A-1776-4614-ABF0-39391F460C25}" name="Column8907"/>
    <tableColumn id="8915" xr3:uid="{96FB4BCD-85B8-4C8A-BBFA-AF95FD6D0858}" name="Column8908"/>
    <tableColumn id="8916" xr3:uid="{3CCB7074-78AB-4C0B-B3BA-D1B6B2B934BA}" name="Column8909"/>
    <tableColumn id="8917" xr3:uid="{2A9E8821-E0BC-4D27-BD46-FE8D816DDE6B}" name="Column8910"/>
    <tableColumn id="8918" xr3:uid="{790914C8-06DD-4A90-85C1-49BB88570CDC}" name="Column8911"/>
    <tableColumn id="8919" xr3:uid="{02CA6485-09E4-413D-848E-CBC12268089C}" name="Column8912"/>
    <tableColumn id="8920" xr3:uid="{4EA8263A-6629-4FD8-B8B2-25E960A7A733}" name="Column8913"/>
    <tableColumn id="8921" xr3:uid="{C504AB60-81C5-4226-A17E-BCECB7123D0D}" name="Column8914"/>
    <tableColumn id="8922" xr3:uid="{C870CD18-767C-4F02-A1FB-9E51B05208A8}" name="Column8915"/>
    <tableColumn id="8923" xr3:uid="{647EDE32-1A12-446A-ADC3-31AC3739D3F9}" name="Column8916"/>
    <tableColumn id="8924" xr3:uid="{3362596A-6C80-41C7-8114-99184D4A03A0}" name="Column8917"/>
    <tableColumn id="8925" xr3:uid="{8EBA53DB-7F33-41B1-A0CC-A32AD859327C}" name="Column8918"/>
    <tableColumn id="8926" xr3:uid="{A4996238-F6C7-4499-8BCD-81ED88A7B1D6}" name="Column8919"/>
    <tableColumn id="8927" xr3:uid="{8755F5EC-BB92-4E53-B87F-62C8CF6C9AC5}" name="Column8920"/>
    <tableColumn id="8928" xr3:uid="{64F93AF5-2590-43E7-AA02-F71E1EF250C5}" name="Column8921"/>
    <tableColumn id="8929" xr3:uid="{425A9C1C-0E01-4675-8D52-E34D0EE9D5AE}" name="Column8922"/>
    <tableColumn id="8930" xr3:uid="{651265CE-0A75-4FB9-B3EC-463830E2C122}" name="Column8923"/>
    <tableColumn id="8931" xr3:uid="{EC162FBF-45FD-44A5-A0A3-33882491405E}" name="Column8924"/>
    <tableColumn id="8932" xr3:uid="{10313168-5B62-41FC-8446-34A95D7F3F46}" name="Column8925"/>
    <tableColumn id="8933" xr3:uid="{8A3A5E69-DBA7-4483-94BA-87E127D0CC11}" name="Column8926"/>
    <tableColumn id="8934" xr3:uid="{AE35E05F-33E8-439E-9501-7E6515EBE8CF}" name="Column8927"/>
    <tableColumn id="8935" xr3:uid="{4057871A-AB35-46A3-9110-2E9ED94905B6}" name="Column8928"/>
    <tableColumn id="8936" xr3:uid="{D72436D5-377A-4E4B-9C83-15B76DBA1F4A}" name="Column8929"/>
    <tableColumn id="8937" xr3:uid="{3225524B-D475-43E9-93A8-AC99B050534A}" name="Column8930"/>
    <tableColumn id="8938" xr3:uid="{70C6FF99-40A2-4B7F-88FC-461F5EEF39BC}" name="Column8931"/>
    <tableColumn id="8939" xr3:uid="{898340AC-E798-4F72-BE36-2390413D0B06}" name="Column8932"/>
    <tableColumn id="8940" xr3:uid="{437174A1-7393-4B2A-914E-B0F0A72E672B}" name="Column8933"/>
    <tableColumn id="8941" xr3:uid="{7C4D3443-46A0-4F03-BE32-C532C593F089}" name="Column8934"/>
    <tableColumn id="8942" xr3:uid="{E0D07FF8-898B-4B35-8A1B-5BC9E94D9911}" name="Column8935"/>
    <tableColumn id="8943" xr3:uid="{77C5184C-4295-4456-B9A0-8971D624E7E5}" name="Column8936"/>
    <tableColumn id="8944" xr3:uid="{1B517556-8261-4F30-9C89-29E3E848B00F}" name="Column8937"/>
    <tableColumn id="8945" xr3:uid="{CCEB7DFC-E620-45AD-88B7-8DAE847FADD0}" name="Column8938"/>
    <tableColumn id="8946" xr3:uid="{4C85A547-77C7-4B93-A9DD-84A513FCCE2D}" name="Column8939"/>
    <tableColumn id="8947" xr3:uid="{B4FAA42B-F022-48EC-86F4-661E75802D46}" name="Column8940"/>
    <tableColumn id="8948" xr3:uid="{D41DA062-2076-42D3-A3DE-52DF3A6E676A}" name="Column8941"/>
    <tableColumn id="8949" xr3:uid="{9FF5806A-49E7-4A48-AC3E-A6B2A1F04D1E}" name="Column8942"/>
    <tableColumn id="8950" xr3:uid="{B273B4FC-C7F7-4690-9C79-6E188BE5EA95}" name="Column8943"/>
    <tableColumn id="8951" xr3:uid="{CB44AC38-42B9-48BF-AB80-B5736DBC1E86}" name="Column8944"/>
    <tableColumn id="8952" xr3:uid="{0CB5FF74-8EF1-4593-9DB7-9F747EE1F3C8}" name="Column8945"/>
    <tableColumn id="8953" xr3:uid="{1651807B-629C-48F3-A8C2-A244C74EC551}" name="Column8946"/>
    <tableColumn id="8954" xr3:uid="{A83DB625-C8C7-44B3-A3B5-30A41D645C2E}" name="Column8947"/>
    <tableColumn id="8955" xr3:uid="{517C13D3-939A-4468-A400-94938063A928}" name="Column8948"/>
    <tableColumn id="8956" xr3:uid="{DE69B951-02DA-4BDE-B571-4C3A328CAD3F}" name="Column8949"/>
    <tableColumn id="8957" xr3:uid="{6153EC17-B0D4-40E3-A256-D6DDA131EB4B}" name="Column8950"/>
    <tableColumn id="8958" xr3:uid="{F096DDE4-2A39-45DD-A623-58AB6E0A78B2}" name="Column8951"/>
    <tableColumn id="8959" xr3:uid="{C64E7116-3A7E-4D62-A49B-64122F988246}" name="Column8952"/>
    <tableColumn id="8960" xr3:uid="{9C784B12-7E7E-4C5D-9A93-369A0757A3A5}" name="Column8953"/>
    <tableColumn id="8961" xr3:uid="{15A92D5C-BFE5-4F3E-AA22-E05AB620A1A1}" name="Column8954"/>
    <tableColumn id="8962" xr3:uid="{875A2C6E-8921-4C2E-BE57-EA0401C3D74C}" name="Column8955"/>
    <tableColumn id="8963" xr3:uid="{65C666ED-0343-4D01-BEEF-E5F0F644C88F}" name="Column8956"/>
    <tableColumn id="8964" xr3:uid="{BF8CE786-DAC9-4B88-BB13-2B618D6F8542}" name="Column8957"/>
    <tableColumn id="8965" xr3:uid="{96EE4E42-D6FC-49B7-82CC-CB712389C5BE}" name="Column8958"/>
    <tableColumn id="8966" xr3:uid="{001C9EA3-1D8E-4086-A4C3-D93A33022249}" name="Column8959"/>
    <tableColumn id="8967" xr3:uid="{3E115977-E1E3-4D25-84C8-79716B1859A3}" name="Column8960"/>
    <tableColumn id="8968" xr3:uid="{EB137702-C6C3-49DA-B18C-392C28FBA619}" name="Column8961"/>
    <tableColumn id="8969" xr3:uid="{0383C5AF-8B2E-422D-9B0C-4AC840135A16}" name="Column8962"/>
    <tableColumn id="8970" xr3:uid="{64DC2CCC-AF6E-415D-82DA-BD1FAD095CE2}" name="Column8963"/>
    <tableColumn id="8971" xr3:uid="{FB85AB49-2DD1-47A0-8845-EABA3DB7A5D1}" name="Column8964"/>
    <tableColumn id="8972" xr3:uid="{8219FB0F-34D1-4A17-AABA-74A4EF1DA64E}" name="Column8965"/>
    <tableColumn id="8973" xr3:uid="{CB08BF8D-1F8F-46EE-B0E2-85BD44C58D1C}" name="Column8966"/>
    <tableColumn id="8974" xr3:uid="{0D2DDE56-096E-4B35-B91D-15FA83384399}" name="Column8967"/>
    <tableColumn id="8975" xr3:uid="{13184A0D-FBCB-48D7-A179-D06CF2419319}" name="Column8968"/>
    <tableColumn id="8976" xr3:uid="{9DCA454A-DDD4-48B3-9E74-50FFDE02A537}" name="Column8969"/>
    <tableColumn id="8977" xr3:uid="{A5F32B02-69E2-4A07-B2EB-D1C01943711D}" name="Column8970"/>
    <tableColumn id="8978" xr3:uid="{AAA75592-75BC-446E-80B3-E8AE1C2FDEA1}" name="Column8971"/>
    <tableColumn id="8979" xr3:uid="{83C45F99-1240-42C4-B492-6503759D8A19}" name="Column8972"/>
    <tableColumn id="8980" xr3:uid="{1E36262B-F9E0-4A8A-8ADD-57719AB4C346}" name="Column8973"/>
    <tableColumn id="8981" xr3:uid="{747E2D3B-956B-4E71-9AB7-886CFFABC160}" name="Column8974"/>
    <tableColumn id="8982" xr3:uid="{A22D3CF8-1BB8-4B91-8E75-0AE974F8A05C}" name="Column8975"/>
    <tableColumn id="8983" xr3:uid="{5DE41078-4564-447F-A4C7-761161864C4E}" name="Column8976"/>
    <tableColumn id="8984" xr3:uid="{62163EC5-0ACB-4192-BC9D-4E46D7789A49}" name="Column8977"/>
    <tableColumn id="8985" xr3:uid="{7F1CFF6D-CBA2-4BE7-900E-E2DC1229F389}" name="Column8978"/>
    <tableColumn id="8986" xr3:uid="{56FD9933-7EF6-4809-B8AE-FBAE1CF300AB}" name="Column8979"/>
    <tableColumn id="8987" xr3:uid="{1762DB3B-FD6C-445F-BB4C-3CE69730DD20}" name="Column8980"/>
    <tableColumn id="8988" xr3:uid="{6C8D7666-0BE7-4E70-8775-6631168F33A7}" name="Column8981"/>
    <tableColumn id="8989" xr3:uid="{C06707FF-069E-490A-91D4-10C3D19D891C}" name="Column8982"/>
    <tableColumn id="8990" xr3:uid="{706320B9-29C8-46B4-80B6-80A765C90AC7}" name="Column8983"/>
    <tableColumn id="8991" xr3:uid="{308CF71B-3804-4AF9-8931-EA83F7BCB2E6}" name="Column8984"/>
    <tableColumn id="8992" xr3:uid="{3F4D1F82-6250-46A9-9073-75A51798D99D}" name="Column8985"/>
    <tableColumn id="8993" xr3:uid="{94D7CEC8-60B9-4DBA-9307-524D6CB7B0C8}" name="Column8986"/>
    <tableColumn id="8994" xr3:uid="{DC77BF94-4A2C-4890-9CDC-7373F9FD9B0D}" name="Column8987"/>
    <tableColumn id="8995" xr3:uid="{659D64B6-234A-4669-B72A-D879F175A63A}" name="Column8988"/>
    <tableColumn id="8996" xr3:uid="{B04C0D6C-328E-454E-A57F-8AF724C3F82D}" name="Column8989"/>
    <tableColumn id="8997" xr3:uid="{D22F059B-E923-4DC3-B31E-88FB00431A89}" name="Column8990"/>
    <tableColumn id="8998" xr3:uid="{AAA41C99-9E44-45CC-B79D-30553AF2EA89}" name="Column8991"/>
    <tableColumn id="8999" xr3:uid="{D7D57081-C9BB-46E9-967C-B5F45DEE38B2}" name="Column8992"/>
    <tableColumn id="9000" xr3:uid="{93D22B0C-EB46-4292-BBE9-BDE2F76F5D08}" name="Column8993"/>
    <tableColumn id="9001" xr3:uid="{7F3D8ACE-E608-426C-8B23-99138C23A222}" name="Column8994"/>
    <tableColumn id="9002" xr3:uid="{D7C816E1-8F9E-4F4A-AC5D-C057AD4495B5}" name="Column8995"/>
    <tableColumn id="9003" xr3:uid="{DA57BCB2-42D3-4FE0-80A5-802CA65E0BBA}" name="Column8996"/>
    <tableColumn id="9004" xr3:uid="{3586430B-F250-45FE-992B-DA9A870A4BA4}" name="Column8997"/>
    <tableColumn id="9005" xr3:uid="{BE6AF823-67D9-4AD8-8AB5-0A20FE5132FB}" name="Column8998"/>
    <tableColumn id="9006" xr3:uid="{1C3A4F3B-EF7C-4B44-AE26-C3C006106226}" name="Column8999"/>
    <tableColumn id="9007" xr3:uid="{D9659A62-0157-4D59-9A36-17F84123EF3B}" name="Column9000"/>
    <tableColumn id="9008" xr3:uid="{E4F12565-C629-49B6-8A85-11C1C2D15926}" name="Column9001"/>
    <tableColumn id="9009" xr3:uid="{2A421662-2A21-4FEF-9A39-6E8D655A88CD}" name="Column9002"/>
    <tableColumn id="9010" xr3:uid="{8EE8BD69-812B-43CB-9323-356582C75D67}" name="Column9003"/>
    <tableColumn id="9011" xr3:uid="{D1AD82D9-9244-4E4F-B1BA-98A7CD9BEFC8}" name="Column9004"/>
    <tableColumn id="9012" xr3:uid="{8C5E97B8-DA05-441E-8B46-3E34FD3F75A8}" name="Column9005"/>
    <tableColumn id="9013" xr3:uid="{3A6A942B-EB2D-4F73-BD17-7A8FD7C4C833}" name="Column9006"/>
    <tableColumn id="9014" xr3:uid="{060AB119-9EC5-4592-988A-1EB6F7BDCE86}" name="Column9007"/>
    <tableColumn id="9015" xr3:uid="{D37072A6-3938-4A89-BED2-A536B91A86D4}" name="Column9008"/>
    <tableColumn id="9016" xr3:uid="{8379C5EE-7474-4468-9B95-333BEA38EE1F}" name="Column9009"/>
    <tableColumn id="9017" xr3:uid="{B52B8CF4-46FE-4C83-AEB0-6F6BEECD96A1}" name="Column9010"/>
    <tableColumn id="9018" xr3:uid="{735E798C-8D88-4031-BE1E-454702BC65EC}" name="Column9011"/>
    <tableColumn id="9019" xr3:uid="{715E9CFA-D37F-46B2-8AB4-D0DBAF65E76C}" name="Column9012"/>
    <tableColumn id="9020" xr3:uid="{0730EDCB-E26C-4CDC-8E40-616A140343F9}" name="Column9013"/>
    <tableColumn id="9021" xr3:uid="{B547CAEA-1DF0-4874-BABC-DC397533AAB6}" name="Column9014"/>
    <tableColumn id="9022" xr3:uid="{E5D8FE00-D0C5-4C3B-9379-021BB2CD30FC}" name="Column9015"/>
    <tableColumn id="9023" xr3:uid="{D76470B3-58D4-45B8-AE49-725FC5E9A71A}" name="Column9016"/>
    <tableColumn id="9024" xr3:uid="{E193F6F7-347E-475D-B743-4B78B8E24962}" name="Column9017"/>
    <tableColumn id="9025" xr3:uid="{86981C05-24BE-414F-884A-8777F7D5D105}" name="Column9018"/>
    <tableColumn id="9026" xr3:uid="{EEC967C7-A28E-4F34-B1B3-2CF0F7DCDBC6}" name="Column9019"/>
    <tableColumn id="9027" xr3:uid="{B916B17F-78B4-4D2B-B20C-6627A8FF51AD}" name="Column9020"/>
    <tableColumn id="9028" xr3:uid="{6299258C-7B15-435B-B543-7D012CB7B5F5}" name="Column9021"/>
    <tableColumn id="9029" xr3:uid="{22F8680F-C268-4DAC-8ECF-B2B57146059E}" name="Column9022"/>
    <tableColumn id="9030" xr3:uid="{ED891C9E-61AD-47A5-A01B-C59AE29D101E}" name="Column9023"/>
    <tableColumn id="9031" xr3:uid="{21969194-1A42-4F80-B881-E646B51F9511}" name="Column9024"/>
    <tableColumn id="9032" xr3:uid="{B036549A-ACC5-4376-AFC1-EA6C4CEE3A32}" name="Column9025"/>
    <tableColumn id="9033" xr3:uid="{1C79C196-4C28-4C47-814C-7B332FD5DBEB}" name="Column9026"/>
    <tableColumn id="9034" xr3:uid="{1BCC2763-78EB-4B51-898A-D1277C50603D}" name="Column9027"/>
    <tableColumn id="9035" xr3:uid="{66BC9E17-209F-44DC-A4D3-527C883C774D}" name="Column9028"/>
    <tableColumn id="9036" xr3:uid="{FC2A7C96-05CD-403F-A0D4-886E0B740B63}" name="Column9029"/>
    <tableColumn id="9037" xr3:uid="{0C392B79-C291-4B91-9E7E-8C2D5ACFEF75}" name="Column9030"/>
    <tableColumn id="9038" xr3:uid="{0264FCF5-88CC-441D-8FC4-08849CFEDCC1}" name="Column9031"/>
    <tableColumn id="9039" xr3:uid="{469F8201-6CEA-4050-AAC0-7F3EF79563E3}" name="Column9032"/>
    <tableColumn id="9040" xr3:uid="{1C50A279-D7D2-42D0-A01C-3129B566C071}" name="Column9033"/>
    <tableColumn id="9041" xr3:uid="{83E4631C-A3C9-4B05-B576-5085A4D55771}" name="Column9034"/>
    <tableColumn id="9042" xr3:uid="{8577C27B-13D3-4D85-B995-F4AC853FDB89}" name="Column9035"/>
    <tableColumn id="9043" xr3:uid="{B39B4961-933E-468C-9D36-EFF5568532E7}" name="Column9036"/>
    <tableColumn id="9044" xr3:uid="{C77F50CB-4182-4C47-85B6-D3E8A989911E}" name="Column9037"/>
    <tableColumn id="9045" xr3:uid="{102066DE-9AE2-4B94-9315-8FD7FAC55E1B}" name="Column9038"/>
    <tableColumn id="9046" xr3:uid="{A7CE9698-DB46-411F-B681-CEEFE135FB6D}" name="Column9039"/>
    <tableColumn id="9047" xr3:uid="{C8D50917-7EBF-4954-B623-EDD4F6CCE07F}" name="Column9040"/>
    <tableColumn id="9048" xr3:uid="{C01E8878-1642-4531-8311-E9191DBF761D}" name="Column9041"/>
    <tableColumn id="9049" xr3:uid="{50F4ABB8-2A49-4061-A391-005C20E86D71}" name="Column9042"/>
    <tableColumn id="9050" xr3:uid="{99781BCC-B464-4446-9EAA-8BA9773A7FD7}" name="Column9043"/>
    <tableColumn id="9051" xr3:uid="{A97BE6EF-F3B2-4B49-9162-26FF166E03AB}" name="Column9044"/>
    <tableColumn id="9052" xr3:uid="{8CA55DE0-ABE6-4B68-A9F7-82973FD224C4}" name="Column9045"/>
    <tableColumn id="9053" xr3:uid="{C47CA5B7-EB61-4316-A920-7299B8C6489D}" name="Column9046"/>
    <tableColumn id="9054" xr3:uid="{3D61887E-44CF-4179-AF26-C0673808612E}" name="Column9047"/>
    <tableColumn id="9055" xr3:uid="{B6EF784E-4678-4165-83D3-3439834250FE}" name="Column9048"/>
    <tableColumn id="9056" xr3:uid="{5C69246D-74B2-4C8F-B10B-FB5BF2CAD21D}" name="Column9049"/>
    <tableColumn id="9057" xr3:uid="{85090B36-5229-443E-8D85-961E81C56ADA}" name="Column9050"/>
    <tableColumn id="9058" xr3:uid="{562BC472-2DCD-4662-A350-491910B78195}" name="Column9051"/>
    <tableColumn id="9059" xr3:uid="{0F0CEDE4-3458-4347-BC40-DC6572570449}" name="Column9052"/>
    <tableColumn id="9060" xr3:uid="{37BF1A1D-5E25-4B08-83A1-BE4698A0718D}" name="Column9053"/>
    <tableColumn id="9061" xr3:uid="{32AF89B2-C794-4B96-BE22-3B535719E4F8}" name="Column9054"/>
    <tableColumn id="9062" xr3:uid="{5CCA953F-DB96-4892-ADA5-DC833A58CFCC}" name="Column9055"/>
    <tableColumn id="9063" xr3:uid="{6D7A7B2B-A3F2-455E-9C2A-5346AE204D00}" name="Column9056"/>
    <tableColumn id="9064" xr3:uid="{16E6BCC8-1917-4856-9638-E95A0FBA0DDC}" name="Column9057"/>
    <tableColumn id="9065" xr3:uid="{81F695B1-5434-4DB1-A776-4666DC0F1219}" name="Column9058"/>
    <tableColumn id="9066" xr3:uid="{CE6788CB-9C91-4C5B-BE5F-D7FD7F388AA5}" name="Column9059"/>
    <tableColumn id="9067" xr3:uid="{45EC57E6-AABB-421C-ACEB-9F1FC743D450}" name="Column9060"/>
    <tableColumn id="9068" xr3:uid="{6A36A67F-E4E9-4D62-B949-4BEF526FFAFB}" name="Column9061"/>
    <tableColumn id="9069" xr3:uid="{A7F67AF1-3317-4E8E-8527-1008842B2F04}" name="Column9062"/>
    <tableColumn id="9070" xr3:uid="{0AC91E7F-8CB0-49AF-9A73-D07962087632}" name="Column9063"/>
    <tableColumn id="9071" xr3:uid="{5648033F-3061-45D0-AC42-A20313347732}" name="Column9064"/>
    <tableColumn id="9072" xr3:uid="{2F56803A-56F3-4158-9486-39154F6F07EC}" name="Column9065"/>
    <tableColumn id="9073" xr3:uid="{A508BD0F-D8D8-4EF0-9D62-18A61876B3F7}" name="Column9066"/>
    <tableColumn id="9074" xr3:uid="{9E068E9A-D8C1-4AFC-9440-4EBE3576D0C3}" name="Column9067"/>
    <tableColumn id="9075" xr3:uid="{0D7DCC10-17BB-4416-9EB6-64529EF797B7}" name="Column9068"/>
    <tableColumn id="9076" xr3:uid="{536EDCAB-9C92-4307-9B74-692680F4CF09}" name="Column9069"/>
    <tableColumn id="9077" xr3:uid="{B84139DD-43AA-47C7-813A-304A3371537D}" name="Column9070"/>
    <tableColumn id="9078" xr3:uid="{DC14D1CD-C96B-4A3A-A606-684177F2BF8C}" name="Column9071"/>
    <tableColumn id="9079" xr3:uid="{92DD69C8-EDE2-41FF-8916-67A47D875327}" name="Column9072"/>
    <tableColumn id="9080" xr3:uid="{0BC804EE-8D9C-41DD-90AD-2BC79962E081}" name="Column9073"/>
    <tableColumn id="9081" xr3:uid="{2F661DE5-A0E4-43AE-A863-6D707F07E7F2}" name="Column9074"/>
    <tableColumn id="9082" xr3:uid="{ACEC081A-E496-42F7-95D4-5F2B60A3DF6B}" name="Column9075"/>
    <tableColumn id="9083" xr3:uid="{A1D27DC7-3024-4C38-A3FC-34B3754E11BE}" name="Column9076"/>
    <tableColumn id="9084" xr3:uid="{C72D8B5F-1587-4850-BD69-DB3DF8F03074}" name="Column9077"/>
    <tableColumn id="9085" xr3:uid="{8E0C5C0A-EB21-4C80-90AF-EACD84F8AFFA}" name="Column9078"/>
    <tableColumn id="9086" xr3:uid="{E794D71B-98D3-4EFC-9AC3-9EFE6BBCC5D6}" name="Column9079"/>
    <tableColumn id="9087" xr3:uid="{1854E33A-5E11-470B-AC90-E80EFCD54C03}" name="Column9080"/>
    <tableColumn id="9088" xr3:uid="{35A25863-B10C-4D5D-BA0C-0BE10C8D5E39}" name="Column9081"/>
    <tableColumn id="9089" xr3:uid="{F9539D67-245C-413C-851D-5EC070E394D5}" name="Column9082"/>
    <tableColumn id="9090" xr3:uid="{8A8024AD-E998-47ED-B469-3CFBA3701501}" name="Column9083"/>
    <tableColumn id="9091" xr3:uid="{EE426339-EE9A-4B31-AFE1-B869FBB346F3}" name="Column9084"/>
    <tableColumn id="9092" xr3:uid="{3910F419-9F2A-4A95-9233-12505A51E01B}" name="Column9085"/>
    <tableColumn id="9093" xr3:uid="{9EFDD285-2F30-40F1-860F-33C74D21C9A3}" name="Column9086"/>
    <tableColumn id="9094" xr3:uid="{AF971E84-E364-4C7A-8BF1-D0EDAC69A5FC}" name="Column9087"/>
    <tableColumn id="9095" xr3:uid="{1D587E23-5D76-4590-A853-BBD9278779E0}" name="Column9088"/>
    <tableColumn id="9096" xr3:uid="{497F6F94-19E1-4DEC-8DB5-8912547FA26C}" name="Column9089"/>
    <tableColumn id="9097" xr3:uid="{F88FFE05-F48F-468C-AD07-56FF69B051B7}" name="Column9090"/>
    <tableColumn id="9098" xr3:uid="{6B31F425-9188-4FAF-99D2-26799C0A5AA1}" name="Column9091"/>
    <tableColumn id="9099" xr3:uid="{C8F95BC9-9DF9-4891-B739-6D17F3CC04C2}" name="Column9092"/>
    <tableColumn id="9100" xr3:uid="{CA925121-DB70-4C23-A24A-C57C77A886FC}" name="Column9093"/>
    <tableColumn id="9101" xr3:uid="{2905A660-D07F-4A62-ABB7-9E796636A853}" name="Column9094"/>
    <tableColumn id="9102" xr3:uid="{229E5053-29E4-4FD6-BA64-AC110B782539}" name="Column9095"/>
    <tableColumn id="9103" xr3:uid="{B8AF192B-422A-47CE-B192-E10B091776E0}" name="Column9096"/>
    <tableColumn id="9104" xr3:uid="{0E6E8BC2-8F66-4953-928C-B1E9DC65F68B}" name="Column9097"/>
    <tableColumn id="9105" xr3:uid="{779665B9-EB2B-4182-92F1-422BA775B292}" name="Column9098"/>
    <tableColumn id="9106" xr3:uid="{C650F11E-38ED-467D-8D87-CE6EE664DB8F}" name="Column9099"/>
    <tableColumn id="9107" xr3:uid="{3E6BEDF9-3D0E-44D2-B10E-E11B3481D251}" name="Column9100"/>
    <tableColumn id="9108" xr3:uid="{1264C971-8018-468B-88D9-43FE2B1C664B}" name="Column9101"/>
    <tableColumn id="9109" xr3:uid="{6B3C5833-EA01-47D7-AD85-B5D5C0025597}" name="Column9102"/>
    <tableColumn id="9110" xr3:uid="{44000BDF-B7E9-46D0-896F-E6161CE82A51}" name="Column9103"/>
    <tableColumn id="9111" xr3:uid="{E0123195-67FB-41DE-BBAC-559B2D5C57C3}" name="Column9104"/>
    <tableColumn id="9112" xr3:uid="{6D95F157-F291-4DBC-9C51-11CF280437C3}" name="Column9105"/>
    <tableColumn id="9113" xr3:uid="{FDD1F2F8-55DA-4E32-879A-8CFE955A8DE4}" name="Column9106"/>
    <tableColumn id="9114" xr3:uid="{8792EFA4-4B9F-4D37-9172-F99434BE40F2}" name="Column9107"/>
    <tableColumn id="9115" xr3:uid="{2CE89A7C-14E3-45F0-9CE3-4E2499FB9F91}" name="Column9108"/>
    <tableColumn id="9116" xr3:uid="{8636053C-0F6E-4DDC-8839-0B7BD57FC40A}" name="Column9109"/>
    <tableColumn id="9117" xr3:uid="{9FE1B3C6-4C67-4BFF-B07E-9ABAE5C38E55}" name="Column9110"/>
    <tableColumn id="9118" xr3:uid="{3E37C240-2C55-4376-9844-3EA13DE97DE5}" name="Column9111"/>
    <tableColumn id="9119" xr3:uid="{57BFE885-2683-4D10-8109-3C8DC47C5224}" name="Column9112"/>
    <tableColumn id="9120" xr3:uid="{CE1BD664-6C8E-4D25-815D-5020802B14AB}" name="Column9113"/>
    <tableColumn id="9121" xr3:uid="{37AEA6A1-3B66-4F4D-BC89-3E25F9C39564}" name="Column9114"/>
    <tableColumn id="9122" xr3:uid="{559F553C-7B60-4682-9FE2-62D639BA899F}" name="Column9115"/>
    <tableColumn id="9123" xr3:uid="{4F8AC568-2184-405D-B033-8C1B01F1CAB2}" name="Column9116"/>
    <tableColumn id="9124" xr3:uid="{D40DD6A0-71B3-4650-B341-7D194133B456}" name="Column9117"/>
    <tableColumn id="9125" xr3:uid="{C2A9343F-E72A-42A9-835B-36B5FCD70B6E}" name="Column9118"/>
    <tableColumn id="9126" xr3:uid="{B3426375-7CF8-4C96-AF05-1BEA001F105C}" name="Column9119"/>
    <tableColumn id="9127" xr3:uid="{96ECFE6D-4E80-41EC-A277-8AD7FA9D1B23}" name="Column9120"/>
    <tableColumn id="9128" xr3:uid="{735C10E4-1378-4FF5-9BEE-A9043247C76B}" name="Column9121"/>
    <tableColumn id="9129" xr3:uid="{9B0C446E-281D-4DF7-B822-70E8525BF790}" name="Column9122"/>
    <tableColumn id="9130" xr3:uid="{4DAB0972-6CD1-4081-A499-E2B9F0A824D0}" name="Column9123"/>
    <tableColumn id="9131" xr3:uid="{898F1FE1-5C7E-4C96-BD87-2650637A7E31}" name="Column9124"/>
    <tableColumn id="9132" xr3:uid="{316324D7-7860-48B3-B0FC-9C6C0B9B3302}" name="Column9125"/>
    <tableColumn id="9133" xr3:uid="{033DEE80-2856-4E10-9D48-926EA4DA39CD}" name="Column9126"/>
    <tableColumn id="9134" xr3:uid="{71C32C77-D139-4EDF-A9FF-9E42E924C4D3}" name="Column9127"/>
    <tableColumn id="9135" xr3:uid="{A36D1409-B076-4F43-9E40-0302FFA844B7}" name="Column9128"/>
    <tableColumn id="9136" xr3:uid="{E5DB3A68-B614-40CE-A5C6-4B605644F33B}" name="Column9129"/>
    <tableColumn id="9137" xr3:uid="{B0660C3F-0D6A-4E4D-A803-BC0427574110}" name="Column9130"/>
    <tableColumn id="9138" xr3:uid="{B5FBD041-5D3D-4922-BBA0-039B6C165624}" name="Column9131"/>
    <tableColumn id="9139" xr3:uid="{DEE5177F-0AA6-4B6E-9D25-A9BAF8A7F2C6}" name="Column9132"/>
    <tableColumn id="9140" xr3:uid="{A77E5C8D-7667-452B-9270-C8B05A51CE79}" name="Column9133"/>
    <tableColumn id="9141" xr3:uid="{8A2AD37D-5E4A-4E53-9B80-91E69DAAD6F8}" name="Column9134"/>
    <tableColumn id="9142" xr3:uid="{044B56B8-59F5-40EB-8A5D-512E7FBFFDC3}" name="Column9135"/>
    <tableColumn id="9143" xr3:uid="{05B7281E-C867-4C30-B752-5F3FC0AA16B6}" name="Column9136"/>
    <tableColumn id="9144" xr3:uid="{427E136E-B406-47EA-859E-5F2658EF6808}" name="Column9137"/>
    <tableColumn id="9145" xr3:uid="{F0A45336-173D-41A3-9984-8A08CDF1C259}" name="Column9138"/>
    <tableColumn id="9146" xr3:uid="{328DCBF8-26D7-43B9-AA6B-F2B5C8C55862}" name="Column9139"/>
    <tableColumn id="9147" xr3:uid="{D82C11B2-85CC-4AED-81BA-CCBB91D6575B}" name="Column9140"/>
    <tableColumn id="9148" xr3:uid="{1DBC8AAE-1F30-4C8F-806B-189FD938DB40}" name="Column9141"/>
    <tableColumn id="9149" xr3:uid="{B8A15250-E13B-4F26-BCF4-2030E07D65B1}" name="Column9142"/>
    <tableColumn id="9150" xr3:uid="{70D695B5-39CB-4C43-B574-9C2247B89CB3}" name="Column9143"/>
    <tableColumn id="9151" xr3:uid="{77EA66BF-2554-42C1-9A1B-E3A2AE8E53A9}" name="Column9144"/>
    <tableColumn id="9152" xr3:uid="{98C15A23-0B47-4A6A-8043-CA9484772C57}" name="Column9145"/>
    <tableColumn id="9153" xr3:uid="{1072F72F-729A-444B-B240-F96A2B50FBA1}" name="Column9146"/>
    <tableColumn id="9154" xr3:uid="{1D7A700C-3EF3-4D3F-9D9E-50CF9401ECB3}" name="Column9147"/>
    <tableColumn id="9155" xr3:uid="{7CA9D6E1-B045-4BA5-9587-1EF94E4BAD78}" name="Column9148"/>
    <tableColumn id="9156" xr3:uid="{47950FAA-BDF0-427A-968D-5168A4DC67BA}" name="Column9149"/>
    <tableColumn id="9157" xr3:uid="{8307F137-52C2-448F-ABF3-1645F1240384}" name="Column9150"/>
    <tableColumn id="9158" xr3:uid="{DAFA15B2-A090-4882-B411-A4AF0D6698C0}" name="Column9151"/>
    <tableColumn id="9159" xr3:uid="{4A3C7F0E-EFC9-48D0-A771-8BA5C665201A}" name="Column9152"/>
    <tableColumn id="9160" xr3:uid="{F8CEC3B8-9F72-4FC1-94D2-A9C5530C9971}" name="Column9153"/>
    <tableColumn id="9161" xr3:uid="{33823A57-B3D6-405F-8A94-04290D5415F8}" name="Column9154"/>
    <tableColumn id="9162" xr3:uid="{BE350BD4-5A24-4A09-BBC4-485052AE586F}" name="Column9155"/>
    <tableColumn id="9163" xr3:uid="{7B5697C2-8E0C-4C7B-8BB3-6901365AC4D3}" name="Column9156"/>
    <tableColumn id="9164" xr3:uid="{68EF0270-33D8-4D0C-ABEC-E899F290994F}" name="Column9157"/>
    <tableColumn id="9165" xr3:uid="{3B6BA2C5-23B5-4944-87E8-0A59F582F832}" name="Column9158"/>
    <tableColumn id="9166" xr3:uid="{63013CA1-8D27-476E-97CF-0C9BD09A06C4}" name="Column9159"/>
    <tableColumn id="9167" xr3:uid="{53E064D2-8E41-466A-90E0-CD00E7886A3D}" name="Column9160"/>
    <tableColumn id="9168" xr3:uid="{50DA1D11-D7BA-4299-B823-D322CD3532FE}" name="Column9161"/>
    <tableColumn id="9169" xr3:uid="{58D500D8-C613-4FF9-BBBF-3BCB37D23BC7}" name="Column9162"/>
    <tableColumn id="9170" xr3:uid="{082AC874-EA20-42F7-990E-E7D956606C01}" name="Column9163"/>
    <tableColumn id="9171" xr3:uid="{E03DF9D5-F649-4349-ACE2-E3D923DCA742}" name="Column9164"/>
    <tableColumn id="9172" xr3:uid="{BD34B562-4544-4922-A92A-66F31703D8B7}" name="Column9165"/>
    <tableColumn id="9173" xr3:uid="{EA5B006E-4F75-4753-AB95-9F99568D9882}" name="Column9166"/>
    <tableColumn id="9174" xr3:uid="{AFE7F837-DC8E-4FE2-BDFC-D8FC32BBEC52}" name="Column9167"/>
    <tableColumn id="9175" xr3:uid="{E5883294-80BE-4823-8BD3-6B2D684D6DC4}" name="Column9168"/>
    <tableColumn id="9176" xr3:uid="{C1D276BA-FBA3-490F-A713-8CEF101626FD}" name="Column9169"/>
    <tableColumn id="9177" xr3:uid="{C3940BB7-0502-4513-B656-D9FD2AFE9D0D}" name="Column9170"/>
    <tableColumn id="9178" xr3:uid="{E2F33DC3-3773-4C98-9394-72F8BCFB9EA5}" name="Column9171"/>
    <tableColumn id="9179" xr3:uid="{0B288EFF-889F-4FD2-AFFC-53945F9FF6E8}" name="Column9172"/>
    <tableColumn id="9180" xr3:uid="{068367C4-B5CE-4C4D-91FF-5CBB1FFF456B}" name="Column9173"/>
    <tableColumn id="9181" xr3:uid="{5C874D90-65EF-46B8-A5D3-A2FB5B6EBAA5}" name="Column9174"/>
    <tableColumn id="9182" xr3:uid="{E7E7B94F-7A99-4AD5-9104-C7A562A8028D}" name="Column9175"/>
    <tableColumn id="9183" xr3:uid="{1989227C-3E1F-416A-B55B-35DEBDA51D30}" name="Column9176"/>
    <tableColumn id="9184" xr3:uid="{9DBA0918-5D27-41C8-BCA0-7C18D8AEA58C}" name="Column9177"/>
    <tableColumn id="9185" xr3:uid="{D9A6E4C0-12AE-4AB2-ABAA-4D2695B50A3F}" name="Column9178"/>
    <tableColumn id="9186" xr3:uid="{B0344864-63DA-40FD-A9A0-E1E848ABE898}" name="Column9179"/>
    <tableColumn id="9187" xr3:uid="{2E6E141C-EDEC-4352-9E53-FA6716B52B25}" name="Column9180"/>
    <tableColumn id="9188" xr3:uid="{96B13E7F-3702-4538-A9A1-9C31A7B17DB0}" name="Column9181"/>
    <tableColumn id="9189" xr3:uid="{B38E119C-7321-4450-B293-17DBF0F48944}" name="Column9182"/>
    <tableColumn id="9190" xr3:uid="{0A5E842B-CD04-4753-B635-743ED6564C4E}" name="Column9183"/>
    <tableColumn id="9191" xr3:uid="{350673CD-8B25-452F-AB2D-F938019CFDB9}" name="Column9184"/>
    <tableColumn id="9192" xr3:uid="{C95507B8-351C-4478-B925-F42DEB18A5EC}" name="Column9185"/>
    <tableColumn id="9193" xr3:uid="{97F14689-92A0-4B01-B072-29058B85C02A}" name="Column9186"/>
    <tableColumn id="9194" xr3:uid="{2B6DCD64-BA9A-43BE-A1B0-ABC0CFD7E46B}" name="Column9187"/>
    <tableColumn id="9195" xr3:uid="{8429BD27-FA98-441B-B932-5DE0B295879B}" name="Column9188"/>
    <tableColumn id="9196" xr3:uid="{1A668AEE-B456-4523-B5BE-34025B446EC3}" name="Column9189"/>
    <tableColumn id="9197" xr3:uid="{3057AE09-FA85-410B-A165-BF37E0387DF5}" name="Column9190"/>
    <tableColumn id="9198" xr3:uid="{276CA601-1D8F-4350-B384-E3C6DCB01047}" name="Column9191"/>
    <tableColumn id="9199" xr3:uid="{C0013A4E-56C8-4F67-B744-706A3A33AE36}" name="Column9192"/>
    <tableColumn id="9200" xr3:uid="{E59831E3-5744-49AE-8254-B85B5A09AE44}" name="Column9193"/>
    <tableColumn id="9201" xr3:uid="{EFC9C318-9107-41F4-9FB7-54C78355C07F}" name="Column9194"/>
    <tableColumn id="9202" xr3:uid="{BA19B1D0-420E-423F-8F41-C31D9FBE3065}" name="Column9195"/>
    <tableColumn id="9203" xr3:uid="{2C162CFF-38BB-40B0-AE6A-087528C7A42D}" name="Column9196"/>
    <tableColumn id="9204" xr3:uid="{D3B2969A-5BD6-469D-AFF1-5F67208F03DA}" name="Column9197"/>
    <tableColumn id="9205" xr3:uid="{1D738B6D-1617-4CB1-B2EF-7921C3227474}" name="Column9198"/>
    <tableColumn id="9206" xr3:uid="{FEDF4F90-D1E1-4D2F-A7A2-B31EF7B2C31E}" name="Column9199"/>
    <tableColumn id="9207" xr3:uid="{8084913D-829D-4017-99E9-C86F193ACAE9}" name="Column9200"/>
    <tableColumn id="9208" xr3:uid="{F469FB6D-F0AB-4F2F-BE2F-A6778D3B7862}" name="Column9201"/>
    <tableColumn id="9209" xr3:uid="{3F920621-BE42-4E46-9C1B-0676A45E7089}" name="Column9202"/>
    <tableColumn id="9210" xr3:uid="{BFADE93E-DECB-4FA4-AB7D-260DAD40FE9D}" name="Column9203"/>
    <tableColumn id="9211" xr3:uid="{76671BB8-9F32-4D4A-8770-5AFB37EB295D}" name="Column9204"/>
    <tableColumn id="9212" xr3:uid="{3E1355C1-D825-4EC0-8D82-7A03FED5100A}" name="Column9205"/>
    <tableColumn id="9213" xr3:uid="{B0B9CA18-7DBF-41B0-90D3-12213CD9B3CE}" name="Column9206"/>
    <tableColumn id="9214" xr3:uid="{438ED0DE-5A3F-4CEB-AD86-B2757FC77E54}" name="Column9207"/>
    <tableColumn id="9215" xr3:uid="{4C94CE5B-86E2-42A9-A953-032EEBF158E1}" name="Column9208"/>
    <tableColumn id="9216" xr3:uid="{FCFDA596-3A98-4AAA-84DE-EF87DBB08411}" name="Column9209"/>
    <tableColumn id="9217" xr3:uid="{B9509506-36D8-4576-8481-B5288B392243}" name="Column9210"/>
    <tableColumn id="9218" xr3:uid="{C0EF9D79-748F-4116-9D79-0E47D91D4086}" name="Column9211"/>
    <tableColumn id="9219" xr3:uid="{3C9C76ED-40E7-4689-8822-8283A29140B6}" name="Column9212"/>
    <tableColumn id="9220" xr3:uid="{F2F0539D-3F6B-4DBB-925F-26B554B7414E}" name="Column9213"/>
    <tableColumn id="9221" xr3:uid="{650279C1-CC5C-4857-8291-DACE2E89352A}" name="Column9214"/>
    <tableColumn id="9222" xr3:uid="{5A930C27-985F-4126-9B18-C0ED7B81DB05}" name="Column9215"/>
    <tableColumn id="9223" xr3:uid="{9A286F13-4CF0-4D1B-A39A-87DAC4CA471C}" name="Column9216"/>
    <tableColumn id="9224" xr3:uid="{DEAE84EA-9FE8-4DD8-8B56-D88A35909E5E}" name="Column9217"/>
    <tableColumn id="9225" xr3:uid="{476183C4-C8E5-4D7F-8FCE-311D026C448C}" name="Column9218"/>
    <tableColumn id="9226" xr3:uid="{095BFCCC-399A-4ADE-AAFA-BD5CED0E6123}" name="Column9219"/>
    <tableColumn id="9227" xr3:uid="{75E51D98-831D-41AF-A017-91395C72E67C}" name="Column9220"/>
    <tableColumn id="9228" xr3:uid="{E4F6BA88-3F2C-43FF-A958-DF0C745EDB66}" name="Column9221"/>
    <tableColumn id="9229" xr3:uid="{B34218EB-707E-4204-9003-DF577DBECE27}" name="Column9222"/>
    <tableColumn id="9230" xr3:uid="{79FBFD56-B203-4AE4-9687-7C48786A89FB}" name="Column9223"/>
    <tableColumn id="9231" xr3:uid="{4A657833-8C25-4477-9F19-A962BF3DC8E8}" name="Column9224"/>
    <tableColumn id="9232" xr3:uid="{A5CFC765-2969-4F43-89E6-F1571A15C424}" name="Column9225"/>
    <tableColumn id="9233" xr3:uid="{26904E6D-1C2D-4F62-B802-8D27787964B3}" name="Column9226"/>
    <tableColumn id="9234" xr3:uid="{E3DBE75B-AB14-4633-A8B7-D2BB5B8AFB3E}" name="Column9227"/>
    <tableColumn id="9235" xr3:uid="{A0180D18-39B4-4E2F-9F50-B247CF499507}" name="Column9228"/>
    <tableColumn id="9236" xr3:uid="{70430527-36CD-436F-8217-798382E7575E}" name="Column9229"/>
    <tableColumn id="9237" xr3:uid="{F9B57367-B7B8-439A-ACBC-AB94E8A9045B}" name="Column9230"/>
    <tableColumn id="9238" xr3:uid="{3D031381-40FA-4BC9-959A-21A16BCB74E6}" name="Column9231"/>
    <tableColumn id="9239" xr3:uid="{FA032215-E829-4F29-8A12-2BAC9EEFB3E9}" name="Column9232"/>
    <tableColumn id="9240" xr3:uid="{A6D0B735-A89C-4C0E-A0C9-F66B8E9A3625}" name="Column9233"/>
    <tableColumn id="9241" xr3:uid="{BD98A155-8B05-4243-A27B-AC8A528DBF8B}" name="Column9234"/>
    <tableColumn id="9242" xr3:uid="{4C6F0801-038A-4C88-8B5E-96B4C670431D}" name="Column9235"/>
    <tableColumn id="9243" xr3:uid="{0CEA4263-D2D8-4572-816F-EC4A2BB03762}" name="Column9236"/>
    <tableColumn id="9244" xr3:uid="{F4798C95-C362-4C42-8532-006C82CA1AAA}" name="Column9237"/>
    <tableColumn id="9245" xr3:uid="{9D908933-9374-4A3E-A47B-0D6D5B5E7BC2}" name="Column9238"/>
    <tableColumn id="9246" xr3:uid="{57FCB3F1-1634-4C9A-ABF0-EE3A90E76F7A}" name="Column9239"/>
    <tableColumn id="9247" xr3:uid="{D35A3E0D-D77C-4C6F-B46D-F092DB7535EF}" name="Column9240"/>
    <tableColumn id="9248" xr3:uid="{9BDB4BCD-D1B2-4034-B04B-FDD54CFC327F}" name="Column9241"/>
    <tableColumn id="9249" xr3:uid="{83C1EAA3-849F-43CC-AC31-D84CC6C54CFC}" name="Column9242"/>
    <tableColumn id="9250" xr3:uid="{4D59DF41-345B-4518-AB41-E497B111B633}" name="Column9243"/>
    <tableColumn id="9251" xr3:uid="{35E24C66-4AE3-42CE-B826-68B010662157}" name="Column9244"/>
    <tableColumn id="9252" xr3:uid="{D8DED123-2A42-4059-9C6F-82F59044237E}" name="Column9245"/>
    <tableColumn id="9253" xr3:uid="{FCF09344-E7C7-49A7-BB5B-D6A68782249D}" name="Column9246"/>
    <tableColumn id="9254" xr3:uid="{BE8F3D1D-45AD-43FF-A919-1BCA80F8E789}" name="Column9247"/>
    <tableColumn id="9255" xr3:uid="{91D288AC-709C-49DE-BB61-9FF01AE83DD0}" name="Column9248"/>
    <tableColumn id="9256" xr3:uid="{8EB3F4C3-3522-4812-8190-FFC70EBC56E7}" name="Column9249"/>
    <tableColumn id="9257" xr3:uid="{651347C3-70BC-4AD8-97E6-8F3DDD28A6B1}" name="Column9250"/>
    <tableColumn id="9258" xr3:uid="{C92FE55A-7E53-474D-9198-23AEBAA72062}" name="Column9251"/>
    <tableColumn id="9259" xr3:uid="{79CF7B5E-3EE9-4E95-B8EA-60D17AB70EFB}" name="Column9252"/>
    <tableColumn id="9260" xr3:uid="{6257F44C-89A6-488F-A7E6-CBB3B894CEC0}" name="Column9253"/>
    <tableColumn id="9261" xr3:uid="{3CA8304E-AE04-4762-B3D9-B067F245FE87}" name="Column9254"/>
    <tableColumn id="9262" xr3:uid="{408B4839-A1EA-405C-871D-1820B3A7141B}" name="Column9255"/>
    <tableColumn id="9263" xr3:uid="{94493B19-E468-48FF-881C-A4E314AC3E86}" name="Column9256"/>
    <tableColumn id="9264" xr3:uid="{A26BD502-E470-4ED6-B2D4-CBCF207CD8C5}" name="Column9257"/>
    <tableColumn id="9265" xr3:uid="{A141A8C6-AE8D-4958-BBE3-61601636E7B1}" name="Column9258"/>
    <tableColumn id="9266" xr3:uid="{3D243FD6-E72D-4018-879C-ABA886CF0C00}" name="Column9259"/>
    <tableColumn id="9267" xr3:uid="{52282945-8428-4AF5-A1B4-90CD94445B2D}" name="Column9260"/>
    <tableColumn id="9268" xr3:uid="{0334C4CE-AA01-4D73-BA73-BF7A721DCBD2}" name="Column9261"/>
    <tableColumn id="9269" xr3:uid="{07539BC6-57E7-4FBF-8222-03673FCFB2B1}" name="Column9262"/>
    <tableColumn id="9270" xr3:uid="{BB6DAD54-2354-45E3-AE0B-984CCA410893}" name="Column9263"/>
    <tableColumn id="9271" xr3:uid="{DF5C73F9-0224-4D32-B325-46F7F2A4BD0F}" name="Column9264"/>
    <tableColumn id="9272" xr3:uid="{DE3AFBD5-B0C6-48D7-942D-C487BF5591E6}" name="Column9265"/>
    <tableColumn id="9273" xr3:uid="{6B0D5D38-72AF-4EA4-9247-6349549DB973}" name="Column9266"/>
    <tableColumn id="9274" xr3:uid="{CDF04E49-A5A7-40A0-94E0-309FF2F39682}" name="Column9267"/>
    <tableColumn id="9275" xr3:uid="{84C6C423-4407-4F1C-9831-DBB8F6A446FD}" name="Column9268"/>
    <tableColumn id="9276" xr3:uid="{D9817ACE-6A84-4CB4-92E8-50A287AE86D8}" name="Column9269"/>
    <tableColumn id="9277" xr3:uid="{0144F1EA-F07E-49AA-AB6E-343E3359102A}" name="Column9270"/>
    <tableColumn id="9278" xr3:uid="{9D010A04-35D2-43EA-9909-122C902D7426}" name="Column9271"/>
    <tableColumn id="9279" xr3:uid="{6A26EBB6-0F7B-472F-A2B2-9371CA23A642}" name="Column9272"/>
    <tableColumn id="9280" xr3:uid="{5D0FD1EA-6972-4B3F-9C90-D5D5AC308C6C}" name="Column9273"/>
    <tableColumn id="9281" xr3:uid="{E788D703-7D9D-46E9-82FB-341886FE74D6}" name="Column9274"/>
    <tableColumn id="9282" xr3:uid="{FDCEAD64-C9E6-40EA-9573-DA4CD6D92C81}" name="Column9275"/>
    <tableColumn id="9283" xr3:uid="{633B9DAA-9EA5-40AD-B9DA-003BCA231523}" name="Column9276"/>
    <tableColumn id="9284" xr3:uid="{375D988C-80E0-45C2-B59A-8818711D93F1}" name="Column9277"/>
    <tableColumn id="9285" xr3:uid="{C811AAB5-CD8B-499A-94E6-4277C888B0B9}" name="Column9278"/>
    <tableColumn id="9286" xr3:uid="{FA48E617-E651-41E6-B331-F3ACFE8A989D}" name="Column9279"/>
    <tableColumn id="9287" xr3:uid="{C913158E-AE55-4914-83E2-70D475DCE975}" name="Column9280"/>
    <tableColumn id="9288" xr3:uid="{2AE141C0-2DE7-4355-9CD1-7EADF6F852C5}" name="Column9281"/>
    <tableColumn id="9289" xr3:uid="{93E2145F-E2E7-42C4-9C6C-B3308D17A791}" name="Column9282"/>
    <tableColumn id="9290" xr3:uid="{B06FF3C1-4A76-4859-A04F-A6234A2DE307}" name="Column9283"/>
    <tableColumn id="9291" xr3:uid="{45707AD7-052F-4D25-8E52-E17F0C7C34F7}" name="Column9284"/>
    <tableColumn id="9292" xr3:uid="{F2C724F2-7533-4D2D-854C-39FED2782422}" name="Column9285"/>
    <tableColumn id="9293" xr3:uid="{47B0A88B-1FAD-4A8A-8DDD-3684B84EE24D}" name="Column9286"/>
    <tableColumn id="9294" xr3:uid="{09620AFC-D69F-4811-A8BA-9045C1411071}" name="Column9287"/>
    <tableColumn id="9295" xr3:uid="{4E8BEC0A-7D43-4F40-85D7-EC44FBF0D92C}" name="Column9288"/>
    <tableColumn id="9296" xr3:uid="{E45D8D6B-C14D-4525-A13C-B8B5DAD00934}" name="Column9289"/>
    <tableColumn id="9297" xr3:uid="{33654599-113B-4C41-BD2E-FC621F815BAE}" name="Column9290"/>
    <tableColumn id="9298" xr3:uid="{0EACBFCF-7FC5-4851-8367-04881261A4C3}" name="Column9291"/>
    <tableColumn id="9299" xr3:uid="{C877980E-65BF-4916-ADE5-F234986DA451}" name="Column9292"/>
    <tableColumn id="9300" xr3:uid="{FF0037D0-CE44-429B-A107-E5362569104C}" name="Column9293"/>
    <tableColumn id="9301" xr3:uid="{DF14261E-DBF0-4400-A2E7-3BDF0FC076AD}" name="Column9294"/>
    <tableColumn id="9302" xr3:uid="{EF7B5804-150E-4B10-886B-316D69EFEE34}" name="Column9295"/>
    <tableColumn id="9303" xr3:uid="{09012A2E-1594-481A-AEC0-E3EA46AC758E}" name="Column9296"/>
    <tableColumn id="9304" xr3:uid="{CC673B0F-9EC7-4B91-B9CD-42B029D13492}" name="Column9297"/>
    <tableColumn id="9305" xr3:uid="{CB95E1FE-0C5A-4BEC-B465-BB3E905FBA3C}" name="Column9298"/>
    <tableColumn id="9306" xr3:uid="{BEC820F5-40AF-43F7-82A3-A07D4C3AF6D9}" name="Column9299"/>
    <tableColumn id="9307" xr3:uid="{954A0E05-8D9B-431A-B963-60590DFDEB76}" name="Column9300"/>
    <tableColumn id="9308" xr3:uid="{7E927D9C-72B7-4649-A000-7DD032F0D722}" name="Column9301"/>
    <tableColumn id="9309" xr3:uid="{C3E739AE-5903-4496-8152-FCC99AA01D9B}" name="Column9302"/>
    <tableColumn id="9310" xr3:uid="{5A7358CA-0DBC-49A8-BCC1-FADC7FBAF4C1}" name="Column9303"/>
    <tableColumn id="9311" xr3:uid="{23E206D3-34C0-4E49-A67E-461E35A8F6D8}" name="Column9304"/>
    <tableColumn id="9312" xr3:uid="{47B6A5FB-E930-4FB7-8D2D-B688A56CCA01}" name="Column9305"/>
    <tableColumn id="9313" xr3:uid="{B3ED459B-A65C-4CA0-B715-91135EC3F170}" name="Column9306"/>
    <tableColumn id="9314" xr3:uid="{62420745-0F82-435E-BCE6-07762BE925A9}" name="Column9307"/>
    <tableColumn id="9315" xr3:uid="{CCF6E2C7-7CB6-4E11-82B7-D63798620694}" name="Column9308"/>
    <tableColumn id="9316" xr3:uid="{53570428-AEB5-4777-AB9C-A55828791CA1}" name="Column9309"/>
    <tableColumn id="9317" xr3:uid="{51851373-C918-470F-8699-719014950991}" name="Column9310"/>
    <tableColumn id="9318" xr3:uid="{2626F635-AACB-428A-A6D6-8A36B6E16623}" name="Column9311"/>
    <tableColumn id="9319" xr3:uid="{33966007-2750-42E3-BF2D-7DAEE550C3AC}" name="Column9312"/>
    <tableColumn id="9320" xr3:uid="{39F2CA64-2679-4A40-8FA0-F10C522FDC65}" name="Column9313"/>
    <tableColumn id="9321" xr3:uid="{B4D92D96-416D-40DB-B4B6-1549268CE822}" name="Column9314"/>
    <tableColumn id="9322" xr3:uid="{E9697CA1-1988-4E22-98BF-FF26FA338182}" name="Column9315"/>
    <tableColumn id="9323" xr3:uid="{13B08271-BDE9-466A-BB5B-63F05F5D4A73}" name="Column9316"/>
    <tableColumn id="9324" xr3:uid="{2000388C-7582-4D04-81E2-DE6232103F5B}" name="Column9317"/>
    <tableColumn id="9325" xr3:uid="{6230DF87-ED5A-4B42-90DC-874EE483824D}" name="Column9318"/>
    <tableColumn id="9326" xr3:uid="{49E6182D-DF51-43E9-8742-3A8CA74E78AD}" name="Column9319"/>
    <tableColumn id="9327" xr3:uid="{02AC4DDD-642C-4180-9B41-585DEF28D1F9}" name="Column9320"/>
    <tableColumn id="9328" xr3:uid="{5944B9E5-FAB3-4A26-BF3F-803A20C5AE9C}" name="Column9321"/>
    <tableColumn id="9329" xr3:uid="{B2D93A0C-BD89-4F53-A188-F88AC38FD08B}" name="Column9322"/>
    <tableColumn id="9330" xr3:uid="{262F7109-B703-45C1-9DCE-1D1508295C17}" name="Column9323"/>
    <tableColumn id="9331" xr3:uid="{454D7BFD-26FA-4AD8-8E4A-66C05712598D}" name="Column9324"/>
    <tableColumn id="9332" xr3:uid="{A6F42301-A5D4-4D27-BFAD-AA7FF65DD48E}" name="Column9325"/>
    <tableColumn id="9333" xr3:uid="{CC131A44-0F81-458D-A5D2-32E14B1581F3}" name="Column9326"/>
    <tableColumn id="9334" xr3:uid="{28748E43-0F42-443D-A6EB-ACA9FD309E34}" name="Column9327"/>
    <tableColumn id="9335" xr3:uid="{F28C6FD0-842C-4566-B21D-6C1139ED3EB4}" name="Column9328"/>
    <tableColumn id="9336" xr3:uid="{87397B27-E4D0-4978-A505-BB192F4C78B4}" name="Column9329"/>
    <tableColumn id="9337" xr3:uid="{32836D25-351F-4A74-AF4B-BB5A695ADBA5}" name="Column9330"/>
    <tableColumn id="9338" xr3:uid="{A0817B0D-F030-4FFB-A67F-7A69150B5DB4}" name="Column9331"/>
    <tableColumn id="9339" xr3:uid="{BEDDA7A1-9680-41E1-88BF-FD1EC5A7B238}" name="Column9332"/>
    <tableColumn id="9340" xr3:uid="{A2E1FAC6-D25F-4DB7-9B1B-E18BBDB1734D}" name="Column9333"/>
    <tableColumn id="9341" xr3:uid="{FA83848D-1A5F-40B3-BC63-716FD3FA8C88}" name="Column9334"/>
    <tableColumn id="9342" xr3:uid="{A885062B-D95F-4C9B-9A75-67003F83D482}" name="Column9335"/>
    <tableColumn id="9343" xr3:uid="{70593B5F-4D04-4291-92B9-3524BD1AB65B}" name="Column9336"/>
    <tableColumn id="9344" xr3:uid="{92298EA5-4FE6-459D-819D-2558DAA079A3}" name="Column9337"/>
    <tableColumn id="9345" xr3:uid="{44B6E7CC-3DC0-46A9-B31E-5E527E9F9F06}" name="Column9338"/>
    <tableColumn id="9346" xr3:uid="{C892ED80-C904-4025-B588-24B1CC1CBC58}" name="Column9339"/>
    <tableColumn id="9347" xr3:uid="{D3533CFE-A243-42B2-B6E5-D92BBF6A7AB2}" name="Column9340"/>
    <tableColumn id="9348" xr3:uid="{29A9B079-E0F4-4B81-B664-EADD06598334}" name="Column9341"/>
    <tableColumn id="9349" xr3:uid="{33DBD8B9-7117-4A38-B7C9-309929945A8C}" name="Column9342"/>
    <tableColumn id="9350" xr3:uid="{2D21A4E1-5E64-47A2-8402-03C99A57CB9D}" name="Column9343"/>
    <tableColumn id="9351" xr3:uid="{52B5E30A-5CD9-46AB-8666-3B2B8FDBC0CF}" name="Column9344"/>
    <tableColumn id="9352" xr3:uid="{E8CA997E-8ED7-4F3A-A5D6-23C4B235DC5B}" name="Column9345"/>
    <tableColumn id="9353" xr3:uid="{F015BA54-8A02-4E2C-98FA-2739D87C08D9}" name="Column9346"/>
    <tableColumn id="9354" xr3:uid="{04F0E426-80AC-465F-ADC5-E5BA2ED18243}" name="Column9347"/>
    <tableColumn id="9355" xr3:uid="{3C82DD43-428C-4688-B7E9-AFE2A7A14A8C}" name="Column9348"/>
    <tableColumn id="9356" xr3:uid="{51A07562-E06B-4AE7-93C9-5914934203B3}" name="Column9349"/>
    <tableColumn id="9357" xr3:uid="{96B8EF8B-22F3-4F05-ABF5-BDE6A36C535F}" name="Column9350"/>
    <tableColumn id="9358" xr3:uid="{D6F70C43-DC00-49DF-AF3A-81622459EACE}" name="Column9351"/>
    <tableColumn id="9359" xr3:uid="{A0AD8721-6A5C-4439-A108-E1BF613CFB1E}" name="Column9352"/>
    <tableColumn id="9360" xr3:uid="{8BEAE812-CBCA-4B77-A24E-3A91FE815BB0}" name="Column9353"/>
    <tableColumn id="9361" xr3:uid="{82A60AF9-1568-4878-A99D-61997BDCF7AE}" name="Column9354"/>
    <tableColumn id="9362" xr3:uid="{3D994620-A795-47FA-BCBE-1CD408E5C793}" name="Column9355"/>
    <tableColumn id="9363" xr3:uid="{254F70EB-8F2B-4BDC-92B3-9F257769CAFA}" name="Column9356"/>
    <tableColumn id="9364" xr3:uid="{C9AA3B86-3AD5-446E-A8F2-FC027C213967}" name="Column9357"/>
    <tableColumn id="9365" xr3:uid="{2EE6A8D1-7263-4F22-9E50-8FD66C7C250F}" name="Column9358"/>
    <tableColumn id="9366" xr3:uid="{2A3AE3B0-0D34-4420-9F8E-54AECDB55133}" name="Column9359"/>
    <tableColumn id="9367" xr3:uid="{3DC73DDA-AF25-4A1F-82D8-50661E34E417}" name="Column9360"/>
    <tableColumn id="9368" xr3:uid="{C08EEDEA-33FE-46B7-9E05-78419717E72D}" name="Column9361"/>
    <tableColumn id="9369" xr3:uid="{624F0F88-E19C-41B2-BE35-726B907FB6D8}" name="Column9362"/>
    <tableColumn id="9370" xr3:uid="{9C06B225-EDE5-4E20-90C5-C3C6C736E998}" name="Column9363"/>
    <tableColumn id="9371" xr3:uid="{216A2166-E15C-446B-AB68-BB0AE75B5D49}" name="Column9364"/>
    <tableColumn id="9372" xr3:uid="{B064AC1D-215F-46F6-9925-3BF54F9DE5E0}" name="Column9365"/>
    <tableColumn id="9373" xr3:uid="{B59D2267-A000-4F75-97C8-19CF632BBF59}" name="Column9366"/>
    <tableColumn id="9374" xr3:uid="{43CE701A-1ABE-43A0-BF49-AE078A1DF9E9}" name="Column9367"/>
    <tableColumn id="9375" xr3:uid="{31194D3A-E4AA-42AC-8A70-79E21BCD1213}" name="Column9368"/>
    <tableColumn id="9376" xr3:uid="{1C21798B-445E-4C29-8DDF-1CC64345FA8B}" name="Column9369"/>
    <tableColumn id="9377" xr3:uid="{DCE1D6D2-8B3E-4BE2-8C4F-8D5131B2BD8C}" name="Column9370"/>
    <tableColumn id="9378" xr3:uid="{27ABD0B8-0FF0-47BC-A674-3E812005FB74}" name="Column9371"/>
    <tableColumn id="9379" xr3:uid="{5C497F0D-BAD3-499F-89DF-B280D19A2E39}" name="Column9372"/>
    <tableColumn id="9380" xr3:uid="{AAF33D16-73A1-4CBC-80CE-32C8FC06AC03}" name="Column9373"/>
    <tableColumn id="9381" xr3:uid="{1DD09977-B9EF-4F40-B4BA-49A58D4DE6F8}" name="Column9374"/>
    <tableColumn id="9382" xr3:uid="{ADE859E9-6DC8-4372-A4B2-5AC814249A7F}" name="Column9375"/>
    <tableColumn id="9383" xr3:uid="{19207F6F-CF1E-4C8A-AB60-A294ACED25D3}" name="Column9376"/>
    <tableColumn id="9384" xr3:uid="{D98C88F4-ED96-4A8F-852A-97EB649524AC}" name="Column9377"/>
    <tableColumn id="9385" xr3:uid="{E228A8EE-539E-4956-9E85-91ECDE473A8E}" name="Column9378"/>
    <tableColumn id="9386" xr3:uid="{EB0FE740-27EB-40B3-9C6C-BEBF6243A5AA}" name="Column9379"/>
    <tableColumn id="9387" xr3:uid="{580F0A20-C26E-41B7-AE7A-94F271C49C74}" name="Column9380"/>
    <tableColumn id="9388" xr3:uid="{D47352EF-F3FD-44A5-9675-5D8097404ADC}" name="Column9381"/>
    <tableColumn id="9389" xr3:uid="{2896CDD1-D9A4-4240-AA9D-4E8A86279B5B}" name="Column9382"/>
    <tableColumn id="9390" xr3:uid="{01B84825-3D72-491A-8FDC-A968148828E6}" name="Column9383"/>
    <tableColumn id="9391" xr3:uid="{E7B726F3-6AC3-4983-B3DD-62D911CD3FA1}" name="Column9384"/>
    <tableColumn id="9392" xr3:uid="{2EC0B08F-8108-4291-97F8-66DCA7CF3E05}" name="Column9385"/>
    <tableColumn id="9393" xr3:uid="{56BEE661-D4DE-4A24-848D-4299EC64F554}" name="Column9386"/>
    <tableColumn id="9394" xr3:uid="{EB16AD21-E6E2-4639-A018-0C9445317A26}" name="Column9387"/>
    <tableColumn id="9395" xr3:uid="{C1266B49-456A-4F35-9335-2744BB2C20CF}" name="Column9388"/>
    <tableColumn id="9396" xr3:uid="{CDA20534-DFC4-4ABE-9D35-C98CDA2EB7F3}" name="Column9389"/>
    <tableColumn id="9397" xr3:uid="{3732BAB0-0DC9-4DB9-8F0E-B0AD48E94A62}" name="Column9390"/>
    <tableColumn id="9398" xr3:uid="{6E950104-CE3D-4525-A44E-1BDA968BD4A8}" name="Column9391"/>
    <tableColumn id="9399" xr3:uid="{7E77736F-E046-4E3E-AC4D-967343427222}" name="Column9392"/>
    <tableColumn id="9400" xr3:uid="{433C6864-D448-44C7-8AC9-3977699F8FD8}" name="Column9393"/>
    <tableColumn id="9401" xr3:uid="{462CBE9C-F4F9-4A63-B5EC-3FCE9DE23B3A}" name="Column9394"/>
    <tableColumn id="9402" xr3:uid="{0E5308D7-57FE-457A-8763-500BB26DF501}" name="Column9395"/>
    <tableColumn id="9403" xr3:uid="{26474267-DE9A-459D-9311-65B220F28BF3}" name="Column9396"/>
    <tableColumn id="9404" xr3:uid="{ABDCFCEC-F1F5-4F76-94CB-E0509630D481}" name="Column9397"/>
    <tableColumn id="9405" xr3:uid="{DF817F3E-CCB0-4F49-A9E3-EAD7CB390CE6}" name="Column9398"/>
    <tableColumn id="9406" xr3:uid="{A1F6DCEF-07DB-49DA-96CA-3A8840BB744E}" name="Column9399"/>
    <tableColumn id="9407" xr3:uid="{7941F23B-951C-4A2B-82C8-AEB7F77B5300}" name="Column9400"/>
    <tableColumn id="9408" xr3:uid="{27A41A70-532E-4B87-93AD-CA34BED097CF}" name="Column9401"/>
    <tableColumn id="9409" xr3:uid="{DC567914-E2D1-44F3-914A-FC14DFE9D671}" name="Column9402"/>
    <tableColumn id="9410" xr3:uid="{122F2D06-3BC7-4A29-AE9D-431A1D5946EC}" name="Column9403"/>
    <tableColumn id="9411" xr3:uid="{674ADB13-606D-4BEE-B980-A5E19BCDC60A}" name="Column9404"/>
    <tableColumn id="9412" xr3:uid="{01143755-316F-4D66-B7F2-38188939F1ED}" name="Column9405"/>
    <tableColumn id="9413" xr3:uid="{9600F5C0-FA04-4D44-85FC-D6E7D62D92E7}" name="Column9406"/>
    <tableColumn id="9414" xr3:uid="{0AA55E33-5E8C-41B6-9523-F96A66DBE868}" name="Column9407"/>
    <tableColumn id="9415" xr3:uid="{E6B470B4-BA36-415F-9E68-4E0F72924D0B}" name="Column9408"/>
    <tableColumn id="9416" xr3:uid="{17F21275-C7F8-43F5-B64E-2A75FC5C07EF}" name="Column9409"/>
    <tableColumn id="9417" xr3:uid="{79A7530F-F351-49EA-B4EC-71B873BC3CAA}" name="Column9410"/>
    <tableColumn id="9418" xr3:uid="{DB31D9F2-D06A-4B3C-BCAB-A60F724933BB}" name="Column9411"/>
    <tableColumn id="9419" xr3:uid="{3168E3BF-9324-4F86-8FC9-9AF60FF64174}" name="Column9412"/>
    <tableColumn id="9420" xr3:uid="{C1D85009-DC6E-4B0C-8A5A-FB9BA99FA03B}" name="Column9413"/>
    <tableColumn id="9421" xr3:uid="{ED1FE6EA-6E23-49D7-BFF5-D786A33C7B57}" name="Column9414"/>
    <tableColumn id="9422" xr3:uid="{77D86910-A910-49B4-B6A6-046C254A06E5}" name="Column9415"/>
    <tableColumn id="9423" xr3:uid="{0E280534-6686-45E8-8D1D-03C048A026ED}" name="Column9416"/>
    <tableColumn id="9424" xr3:uid="{693E50C6-AF79-4482-8B7E-FD1504340847}" name="Column9417"/>
    <tableColumn id="9425" xr3:uid="{45EE8707-8902-4EFC-B426-A70BAFDE5E4B}" name="Column9418"/>
    <tableColumn id="9426" xr3:uid="{F5D68BCB-BF50-4B68-96A7-7C61D0DA6C63}" name="Column9419"/>
    <tableColumn id="9427" xr3:uid="{6C284664-CBDF-4709-958A-A6894DE138C0}" name="Column9420"/>
    <tableColumn id="9428" xr3:uid="{042D1133-9E38-4627-BF3C-98E19BA8F432}" name="Column9421"/>
    <tableColumn id="9429" xr3:uid="{FD06E2B5-4297-4642-B4DF-D8A8615EEB89}" name="Column9422"/>
    <tableColumn id="9430" xr3:uid="{B4E75E5D-6C55-4FD5-B4F7-DFCB6A6BBC89}" name="Column9423"/>
    <tableColumn id="9431" xr3:uid="{8CC0E788-9BE0-4B11-ACE5-947D574CF952}" name="Column9424"/>
    <tableColumn id="9432" xr3:uid="{9E34E9CD-51B2-4427-83B1-4ED38DD48F77}" name="Column9425"/>
    <tableColumn id="9433" xr3:uid="{6BE4333D-6700-4757-9DE3-4F4BCAFA85B6}" name="Column9426"/>
    <tableColumn id="9434" xr3:uid="{E3C0DD2A-A239-483D-AD61-A5BD29551C34}" name="Column9427"/>
    <tableColumn id="9435" xr3:uid="{152AAF12-1096-4BC4-BD39-7672BEA75719}" name="Column9428"/>
    <tableColumn id="9436" xr3:uid="{009DC5C3-9F81-4BC8-86B8-7600F2ECB915}" name="Column9429"/>
    <tableColumn id="9437" xr3:uid="{9929C361-BE24-4EC3-914B-736BB6572D7F}" name="Column9430"/>
    <tableColumn id="9438" xr3:uid="{9D2C7DC9-A616-4B44-8B8A-3098A0907E81}" name="Column9431"/>
    <tableColumn id="9439" xr3:uid="{397DE276-AA2C-4D54-86DA-57BB72379B29}" name="Column9432"/>
    <tableColumn id="9440" xr3:uid="{7A31AFA0-970D-4868-9377-4F1EEE36BBD8}" name="Column9433"/>
    <tableColumn id="9441" xr3:uid="{454A4D0C-5AD4-4F0F-BE3D-D83F6E954099}" name="Column9434"/>
    <tableColumn id="9442" xr3:uid="{BF37586A-F4B7-4CBB-8B05-EDBF9BB5E04B}" name="Column9435"/>
    <tableColumn id="9443" xr3:uid="{DB291174-4D0D-4A05-BB84-6E00B96AAB80}" name="Column9436"/>
    <tableColumn id="9444" xr3:uid="{C62040A4-0992-4D57-B5FB-42DADC23B592}" name="Column9437"/>
    <tableColumn id="9445" xr3:uid="{307645D4-506B-4CAD-9321-A81252B4A580}" name="Column9438"/>
    <tableColumn id="9446" xr3:uid="{B6818FC0-FEB2-494B-9608-EC43F8C32AF9}" name="Column9439"/>
    <tableColumn id="9447" xr3:uid="{362BD37D-F42B-428F-A07C-87CD4B7C1985}" name="Column9440"/>
    <tableColumn id="9448" xr3:uid="{8565D83A-942D-49C7-9D73-9E652CB8762F}" name="Column9441"/>
    <tableColumn id="9449" xr3:uid="{6BE0F8B8-37F8-4D18-AFE2-A314D74D34E7}" name="Column9442"/>
    <tableColumn id="9450" xr3:uid="{1482491B-0AB9-49E3-83D5-605DE22DA4A1}" name="Column9443"/>
    <tableColumn id="9451" xr3:uid="{DFAD9F76-C855-466F-8946-92F0629A109C}" name="Column9444"/>
    <tableColumn id="9452" xr3:uid="{60A443D4-B4F4-4AF1-BA1C-28E98B4EEDE0}" name="Column9445"/>
    <tableColumn id="9453" xr3:uid="{46C538E8-2FED-4701-B758-C96886EFF4DA}" name="Column9446"/>
    <tableColumn id="9454" xr3:uid="{16EE0CE6-16D0-42C2-B33D-25B272574E18}" name="Column9447"/>
    <tableColumn id="9455" xr3:uid="{BE0AA959-C28B-4DA3-ADFA-C64C2FA55650}" name="Column9448"/>
    <tableColumn id="9456" xr3:uid="{A5ECFCBE-A81B-4CBC-AA06-F4E2C05EE1C5}" name="Column9449"/>
    <tableColumn id="9457" xr3:uid="{9EF53C1C-868E-4525-A530-B0BC57877CF3}" name="Column9450"/>
    <tableColumn id="9458" xr3:uid="{9636C8F5-CE13-4771-92FC-70043DD5A640}" name="Column9451"/>
    <tableColumn id="9459" xr3:uid="{9845CDE5-17B3-47AB-93B4-64134F879F4E}" name="Column9452"/>
    <tableColumn id="9460" xr3:uid="{FFF9F6D6-075C-4771-A950-4C6A1DD6BF6E}" name="Column9453"/>
    <tableColumn id="9461" xr3:uid="{263ABF18-C518-45C3-9F2E-1A5FAAB64A81}" name="Column9454"/>
    <tableColumn id="9462" xr3:uid="{F186D84F-B40F-439D-B600-ED3C6DE8BE86}" name="Column9455"/>
    <tableColumn id="9463" xr3:uid="{66D785D1-FF20-4020-8C7F-6ED802E2AD90}" name="Column9456"/>
    <tableColumn id="9464" xr3:uid="{8C075E2D-F81C-4C6D-9222-6AC1BF031A4B}" name="Column9457"/>
    <tableColumn id="9465" xr3:uid="{8275BDAF-3B10-4262-8F62-530FC50CD7B7}" name="Column9458"/>
    <tableColumn id="9466" xr3:uid="{D7C5CE81-EC25-459D-8289-0BD35A1AF8C5}" name="Column9459"/>
    <tableColumn id="9467" xr3:uid="{C387354D-F268-437F-9B42-6CDC1DCD8C0F}" name="Column9460"/>
    <tableColumn id="9468" xr3:uid="{28351FF1-CAFC-4373-8F96-B4563A64468D}" name="Column9461"/>
    <tableColumn id="9469" xr3:uid="{9A9DAB3E-8D3E-4D79-B1B9-820D65D0A859}" name="Column9462"/>
    <tableColumn id="9470" xr3:uid="{05A60518-3BA2-4F77-BDA0-3E84003BADD0}" name="Column9463"/>
    <tableColumn id="9471" xr3:uid="{6351E0A8-F5EF-4BEB-B1E8-A6270EA9E014}" name="Column9464"/>
    <tableColumn id="9472" xr3:uid="{A3A1F30F-7051-465A-9C56-6AF86FCA3F54}" name="Column9465"/>
    <tableColumn id="9473" xr3:uid="{F999B114-78F4-495F-AE40-7FAE6B23167A}" name="Column9466"/>
    <tableColumn id="9474" xr3:uid="{AB60773A-0559-4AFF-A1F0-55C38797B9B4}" name="Column9467"/>
    <tableColumn id="9475" xr3:uid="{C77DE62D-E12E-4068-BA12-B2DA6E967C0E}" name="Column9468"/>
    <tableColumn id="9476" xr3:uid="{15B03A27-F856-4BD1-B936-C9E0BC376766}" name="Column9469"/>
    <tableColumn id="9477" xr3:uid="{E0F7FD7C-C0A7-45DD-AB77-2245C8A111B8}" name="Column9470"/>
    <tableColumn id="9478" xr3:uid="{24C5DB84-5B17-4197-A222-77C59F41BD63}" name="Column9471"/>
    <tableColumn id="9479" xr3:uid="{30174429-BF9C-49CA-94B2-B1E299EE4EFE}" name="Column9472"/>
    <tableColumn id="9480" xr3:uid="{CD48E877-6F7E-4F8A-9BBC-6351E0107141}" name="Column9473"/>
    <tableColumn id="9481" xr3:uid="{C1D2797A-BA2D-4AFB-B705-040AE5801131}" name="Column9474"/>
    <tableColumn id="9482" xr3:uid="{5A5D1B59-9E34-49D2-84B5-127955DF6862}" name="Column9475"/>
    <tableColumn id="9483" xr3:uid="{D1A311CD-83A1-450E-9AB3-1B95DB9E179E}" name="Column9476"/>
    <tableColumn id="9484" xr3:uid="{D30E0B79-B0B1-4D7A-9612-C8FFCCAB8FAA}" name="Column9477"/>
    <tableColumn id="9485" xr3:uid="{3B82E998-BCF7-44F2-BAC9-9652DE57DE7B}" name="Column9478"/>
    <tableColumn id="9486" xr3:uid="{532665E1-BDF1-46E6-9BA1-09AF9CBCCBBD}" name="Column9479"/>
    <tableColumn id="9487" xr3:uid="{33A749D9-F518-4290-B3D5-6E90EA807D6E}" name="Column9480"/>
    <tableColumn id="9488" xr3:uid="{4C97109C-5460-400C-BEA8-D594014FDC31}" name="Column9481"/>
    <tableColumn id="9489" xr3:uid="{16A7DA99-7C10-420A-AD1A-38D64E43796E}" name="Column9482"/>
    <tableColumn id="9490" xr3:uid="{384289D4-D71A-4BC1-98F2-8778EC9267A5}" name="Column9483"/>
    <tableColumn id="9491" xr3:uid="{76C7C892-3BAE-4776-86C3-E4C9B09577F9}" name="Column9484"/>
    <tableColumn id="9492" xr3:uid="{7734E0E0-32E0-4B70-BE09-8B10C1D862CA}" name="Column9485"/>
    <tableColumn id="9493" xr3:uid="{8E33CD59-2880-4871-A73C-10C43D3E83DD}" name="Column9486"/>
    <tableColumn id="9494" xr3:uid="{988C3BDA-DBAB-44BA-A692-04B49844026B}" name="Column9487"/>
    <tableColumn id="9495" xr3:uid="{E3DCF339-482B-4AE5-87E4-8D40729D62E9}" name="Column9488"/>
    <tableColumn id="9496" xr3:uid="{CA62DF92-87BA-49FF-9802-C36DD44EF4C9}" name="Column9489"/>
    <tableColumn id="9497" xr3:uid="{1CA306B4-0F15-49F5-BDFD-ADE81886CAE7}" name="Column9490"/>
    <tableColumn id="9498" xr3:uid="{7D3905CF-8DCC-4150-85DF-EE7985843A58}" name="Column9491"/>
    <tableColumn id="9499" xr3:uid="{0C1ACC81-4692-4D4F-A543-E7188B071A7C}" name="Column9492"/>
    <tableColumn id="9500" xr3:uid="{932CA80F-9A2D-4DBE-8F87-C0D647B81A70}" name="Column9493"/>
    <tableColumn id="9501" xr3:uid="{6E884340-A49D-4DE6-BD95-A16F6E3FFB3D}" name="Column9494"/>
    <tableColumn id="9502" xr3:uid="{97A4866C-474D-42AD-BF0D-A0E1FC69B82E}" name="Column9495"/>
    <tableColumn id="9503" xr3:uid="{7196D5FB-21D7-4038-9D7B-537BE3FCE363}" name="Column9496"/>
    <tableColumn id="9504" xr3:uid="{38077D1F-5CB9-4B97-BD5E-EAD231956CAC}" name="Column9497"/>
    <tableColumn id="9505" xr3:uid="{913203CE-8E71-4422-90AD-6F6D3413449F}" name="Column9498"/>
    <tableColumn id="9506" xr3:uid="{900C1A47-468E-4C10-8D37-A64280455244}" name="Column9499"/>
    <tableColumn id="9507" xr3:uid="{8F623B36-6E95-460C-950B-E5E7D6C41B7B}" name="Column9500"/>
    <tableColumn id="9508" xr3:uid="{631334F1-F26E-4B9D-833C-9A91903CF291}" name="Column9501"/>
    <tableColumn id="9509" xr3:uid="{C22BEA70-A9CC-4D11-A290-68DCCA15EBF5}" name="Column9502"/>
    <tableColumn id="9510" xr3:uid="{7FE06960-2AFD-4612-8260-B92750199B6C}" name="Column9503"/>
    <tableColumn id="9511" xr3:uid="{F32C1B69-4B84-47D9-A825-D3701276F670}" name="Column9504"/>
    <tableColumn id="9512" xr3:uid="{40B9197F-D560-4D01-B495-16A43944779C}" name="Column9505"/>
    <tableColumn id="9513" xr3:uid="{84B032E3-A346-444A-83DA-531B2CA8B55C}" name="Column9506"/>
    <tableColumn id="9514" xr3:uid="{87CA973B-2F47-4E84-9C05-CB56185B12C2}" name="Column9507"/>
    <tableColumn id="9515" xr3:uid="{BC5DE44E-5755-439E-A328-EC450B73ED49}" name="Column9508"/>
    <tableColumn id="9516" xr3:uid="{661803EB-1625-4974-A755-07F333A3013C}" name="Column9509"/>
    <tableColumn id="9517" xr3:uid="{0E146E3C-CC1D-4277-A0BD-35BD2B5051CC}" name="Column9510"/>
    <tableColumn id="9518" xr3:uid="{BE83A83B-E2CE-4D19-A3D4-D80CDB2F1F32}" name="Column9511"/>
    <tableColumn id="9519" xr3:uid="{A2CE19A2-224D-4AC5-AA91-0F2413477DDA}" name="Column9512"/>
    <tableColumn id="9520" xr3:uid="{2F30232A-5302-4683-81D8-A1DE5F41DBCB}" name="Column9513"/>
    <tableColumn id="9521" xr3:uid="{47093303-9469-4A4C-ABF7-6550282E9D64}" name="Column9514"/>
    <tableColumn id="9522" xr3:uid="{6F8B6CBF-D482-4550-981F-54E960C10D4B}" name="Column9515"/>
    <tableColumn id="9523" xr3:uid="{673E8D8E-23F8-4AA1-BD06-BFC661CD9D5D}" name="Column9516"/>
    <tableColumn id="9524" xr3:uid="{C8C919F0-F9CA-4463-B262-43ABCBE3EFA0}" name="Column9517"/>
    <tableColumn id="9525" xr3:uid="{395F16C0-9651-4568-BC00-7981DB7E0CEB}" name="Column9518"/>
    <tableColumn id="9526" xr3:uid="{7476D155-F39A-4686-AA5A-DB3C6F59A564}" name="Column9519"/>
    <tableColumn id="9527" xr3:uid="{2ADCBF2D-8D86-4C1F-97E1-53B549514495}" name="Column9520"/>
    <tableColumn id="9528" xr3:uid="{8D843A26-AED9-4467-B04F-B9393D8319BB}" name="Column9521"/>
    <tableColumn id="9529" xr3:uid="{65339C76-B5E9-47E6-A42F-4F61C25E5230}" name="Column9522"/>
    <tableColumn id="9530" xr3:uid="{EB5CF5C5-FA88-45E6-8B28-8953FFFABC34}" name="Column9523"/>
    <tableColumn id="9531" xr3:uid="{1B709FE2-77ED-4FAA-BEAF-A2263DCFC295}" name="Column9524"/>
    <tableColumn id="9532" xr3:uid="{F97E69BA-59E0-44FB-9A54-13B11B3B96E2}" name="Column9525"/>
    <tableColumn id="9533" xr3:uid="{CC6B0A20-A78C-49D5-85F9-2A7DAF104CBD}" name="Column9526"/>
    <tableColumn id="9534" xr3:uid="{C7774AF0-EE4A-478A-95EA-0918BFC4FC34}" name="Column9527"/>
    <tableColumn id="9535" xr3:uid="{AA9A9861-CE81-47C8-B9E3-E2AE39CDEFC4}" name="Column9528"/>
    <tableColumn id="9536" xr3:uid="{2152BB7B-2537-4BB6-B3B1-CCDF2112C725}" name="Column9529"/>
    <tableColumn id="9537" xr3:uid="{9E143A56-4B20-4A65-B15C-DD64D356788B}" name="Column9530"/>
    <tableColumn id="9538" xr3:uid="{2E6DDAFA-D6F2-4281-8F2D-9CECE15437DD}" name="Column9531"/>
    <tableColumn id="9539" xr3:uid="{839144F7-11D1-4CFE-90D5-3741E3B6C91E}" name="Column9532"/>
    <tableColumn id="9540" xr3:uid="{DF3B5D88-A37C-44EE-902A-B493C6AC845E}" name="Column9533"/>
    <tableColumn id="9541" xr3:uid="{A3A23BA9-75F6-40B8-9FEA-6D0E7421210A}" name="Column9534"/>
    <tableColumn id="9542" xr3:uid="{5072FCA5-5E0E-413C-89EC-6BEE83DFD2A2}" name="Column9535"/>
    <tableColumn id="9543" xr3:uid="{FB6BEC6E-C366-4CF2-AA52-3F95AA6600FE}" name="Column9536"/>
    <tableColumn id="9544" xr3:uid="{10E12F53-7B32-4130-BFD4-9E8224F0F84F}" name="Column9537"/>
    <tableColumn id="9545" xr3:uid="{B144D33A-AD08-4417-8563-ACE8F1B9284D}" name="Column9538"/>
    <tableColumn id="9546" xr3:uid="{FE06F809-4A3F-4991-99A6-600A3459402D}" name="Column9539"/>
    <tableColumn id="9547" xr3:uid="{DC9CD777-9B64-4C7F-8890-C76C3E58EFAE}" name="Column9540"/>
    <tableColumn id="9548" xr3:uid="{BF887B80-784D-4A50-A923-57F561E6F3C2}" name="Column9541"/>
    <tableColumn id="9549" xr3:uid="{70D18952-AA0F-4973-86A2-BBB1B401A2F5}" name="Column9542"/>
    <tableColumn id="9550" xr3:uid="{31543E96-C4BD-4A3F-AE1F-5D9BDAF5B317}" name="Column9543"/>
    <tableColumn id="9551" xr3:uid="{BD165B56-C2E0-4E5E-AE0C-B0C29EE763C9}" name="Column9544"/>
    <tableColumn id="9552" xr3:uid="{B33D5486-5D1A-4C95-BF3D-D5C897694F07}" name="Column9545"/>
    <tableColumn id="9553" xr3:uid="{158B039E-84BD-4E51-A561-A57601E4B5C6}" name="Column9546"/>
    <tableColumn id="9554" xr3:uid="{8A0B6C20-CF0F-410E-8C71-0B9DCC356A66}" name="Column9547"/>
    <tableColumn id="9555" xr3:uid="{D6D57D78-CEAD-4292-80B6-4F6D30631FF1}" name="Column9548"/>
    <tableColumn id="9556" xr3:uid="{0D630ED3-54AF-4C4C-A7BF-794864676CA2}" name="Column9549"/>
    <tableColumn id="9557" xr3:uid="{59EE2737-BBD5-4FC8-8B27-5FF44FD0D3A6}" name="Column9550"/>
    <tableColumn id="9558" xr3:uid="{C03F38B9-25F8-46C9-BDA8-A638B6B98F1B}" name="Column9551"/>
    <tableColumn id="9559" xr3:uid="{409B3886-8796-4751-B978-80220FEB4BC6}" name="Column9552"/>
    <tableColumn id="9560" xr3:uid="{98580E06-D307-487A-891C-FCBC2C13B916}" name="Column9553"/>
    <tableColumn id="9561" xr3:uid="{ED70DC69-5006-4F5F-94B4-69BE945A321B}" name="Column9554"/>
    <tableColumn id="9562" xr3:uid="{9DDCF2FE-0CAD-4422-8184-C9DC8877FD40}" name="Column9555"/>
    <tableColumn id="9563" xr3:uid="{7BCB1323-0EBE-43BF-A485-39633401BEA9}" name="Column9556"/>
    <tableColumn id="9564" xr3:uid="{82551378-1EFE-481F-B89B-97DDBD5631CD}" name="Column9557"/>
    <tableColumn id="9565" xr3:uid="{0180860C-356C-4DC8-BF46-944AFB955ED4}" name="Column9558"/>
    <tableColumn id="9566" xr3:uid="{D80D5261-C906-4243-BEF1-031CF28078C6}" name="Column9559"/>
    <tableColumn id="9567" xr3:uid="{15C1D585-308A-436D-B58A-82F8DB639DE4}" name="Column9560"/>
    <tableColumn id="9568" xr3:uid="{808006E9-794F-4E61-BB31-ECA02CC57E55}" name="Column9561"/>
    <tableColumn id="9569" xr3:uid="{1CC57221-49E0-4095-BBCF-9A7ECF057CFF}" name="Column9562"/>
    <tableColumn id="9570" xr3:uid="{57BEA895-9FF1-410D-A45D-9A974B199D9B}" name="Column9563"/>
    <tableColumn id="9571" xr3:uid="{99536AE7-50AF-44C2-BD3A-09808CC63B9F}" name="Column9564"/>
    <tableColumn id="9572" xr3:uid="{2553333D-BEE1-4ABD-B66F-D009CFC69310}" name="Column9565"/>
    <tableColumn id="9573" xr3:uid="{7488D72E-7950-475C-9CFA-D2AC5CBD70CB}" name="Column9566"/>
    <tableColumn id="9574" xr3:uid="{7F8823D6-7508-445A-B1A6-82D9109DF922}" name="Column9567"/>
    <tableColumn id="9575" xr3:uid="{5D473C22-F1DD-4D18-9C47-D2B7AC960D95}" name="Column9568"/>
    <tableColumn id="9576" xr3:uid="{D73E45C3-26EB-42A1-81C9-2EB84D187E7D}" name="Column9569"/>
    <tableColumn id="9577" xr3:uid="{860D14B8-1BCE-4E9D-8901-C477C6598D8A}" name="Column9570"/>
    <tableColumn id="9578" xr3:uid="{C65E0423-F014-4E9D-9E40-1A8848D46683}" name="Column9571"/>
    <tableColumn id="9579" xr3:uid="{F05BABAD-FE94-4731-86EE-9D6EEA4FF098}" name="Column9572"/>
    <tableColumn id="9580" xr3:uid="{93D623BF-393D-4452-9A6C-A3A49AE781EE}" name="Column9573"/>
    <tableColumn id="9581" xr3:uid="{EBC8ABD3-E3DA-4D0C-8DFD-D1C782F37348}" name="Column9574"/>
    <tableColumn id="9582" xr3:uid="{AF3B4C51-3B4E-4DD9-92F0-C57BA71ED69C}" name="Column9575"/>
    <tableColumn id="9583" xr3:uid="{C2EEDAE1-AF6B-4BA7-AFB8-9FE9FD723EA3}" name="Column9576"/>
    <tableColumn id="9584" xr3:uid="{7D3BE37B-5A48-4774-9271-BFA578FB4ECD}" name="Column9577"/>
    <tableColumn id="9585" xr3:uid="{6E50C9AD-6AEF-456F-B9AA-942C436E83D4}" name="Column9578"/>
    <tableColumn id="9586" xr3:uid="{F399D1DF-779D-475A-B4AA-45EF09B2A185}" name="Column9579"/>
    <tableColumn id="9587" xr3:uid="{6B6B0177-DCCA-458B-A7C2-1FC046E8F43E}" name="Column9580"/>
    <tableColumn id="9588" xr3:uid="{BD4E2BFA-4628-4747-B05E-36E9549CF02D}" name="Column9581"/>
    <tableColumn id="9589" xr3:uid="{AD73DD4D-5F64-4A5D-A746-2F1B1FDAC8C6}" name="Column9582"/>
    <tableColumn id="9590" xr3:uid="{E18282B5-B059-4CE2-9032-30C98F672E47}" name="Column9583"/>
    <tableColumn id="9591" xr3:uid="{E1AC6DAC-1AA7-4BB7-994F-22AA724E02AB}" name="Column9584"/>
    <tableColumn id="9592" xr3:uid="{3F38D446-FA81-48F1-AB21-84A036DAFA93}" name="Column9585"/>
    <tableColumn id="9593" xr3:uid="{E1F37882-91CE-4518-9286-2907019C9D83}" name="Column9586"/>
    <tableColumn id="9594" xr3:uid="{38778972-9B95-43D2-81B5-3F7C35EA123D}" name="Column9587"/>
    <tableColumn id="9595" xr3:uid="{62330EAA-A1AA-4AAA-8FD6-5082B6961EAC}" name="Column9588"/>
    <tableColumn id="9596" xr3:uid="{02A5A604-A4EC-441C-A7F6-564B6F4268DE}" name="Column9589"/>
    <tableColumn id="9597" xr3:uid="{435E41B2-5E0C-4DB9-96B9-BEC14BA6E560}" name="Column9590"/>
    <tableColumn id="9598" xr3:uid="{D83A6373-C6CB-4F6E-96B9-9C31DB4AF7AB}" name="Column9591"/>
    <tableColumn id="9599" xr3:uid="{BB7E1565-BC20-4D41-B8B9-68EAAB9169BE}" name="Column9592"/>
    <tableColumn id="9600" xr3:uid="{459C6D8C-1C98-4713-950C-579573F02DD0}" name="Column9593"/>
    <tableColumn id="9601" xr3:uid="{51542B5B-F04D-4656-A517-1285BB214AB0}" name="Column9594"/>
    <tableColumn id="9602" xr3:uid="{3980D0A2-19A1-47E8-9114-DCA6D57F4689}" name="Column9595"/>
    <tableColumn id="9603" xr3:uid="{C05AB5B9-6BB5-4C35-AAE4-7B760410C833}" name="Column9596"/>
    <tableColumn id="9604" xr3:uid="{900FFEE2-139C-48B8-A709-BE1A2118621F}" name="Column9597"/>
    <tableColumn id="9605" xr3:uid="{B8867C15-8919-49CB-9ED2-842750BFB457}" name="Column9598"/>
    <tableColumn id="9606" xr3:uid="{60D14287-7DFA-4E45-9C93-5C9D7C22A211}" name="Column9599"/>
    <tableColumn id="9607" xr3:uid="{63E6FB6C-63DB-421E-9A16-CFAA2B478EE1}" name="Column9600"/>
    <tableColumn id="9608" xr3:uid="{8DDAA021-3738-485E-BB03-A17496AE7704}" name="Column9601"/>
    <tableColumn id="9609" xr3:uid="{01E7752A-A24E-4604-AC15-7E2D080172AF}" name="Column9602"/>
    <tableColumn id="9610" xr3:uid="{7933DB3C-0BA4-4ACF-AEFF-37520399AC40}" name="Column9603"/>
    <tableColumn id="9611" xr3:uid="{729989B7-27B2-43F0-9A9D-DE1DB9A64E34}" name="Column9604"/>
    <tableColumn id="9612" xr3:uid="{52AAB746-B69C-41C1-9494-A697EE094C34}" name="Column9605"/>
    <tableColumn id="9613" xr3:uid="{4488501C-8D83-4AAC-BD48-6E0400E02580}" name="Column9606"/>
    <tableColumn id="9614" xr3:uid="{7CD23AA1-6F20-450A-B6DD-28E332F8A341}" name="Column9607"/>
    <tableColumn id="9615" xr3:uid="{89C26062-E6D4-41CD-B656-90C2F0037057}" name="Column9608"/>
    <tableColumn id="9616" xr3:uid="{04009F22-C051-4F5A-B618-174A7972C4A4}" name="Column9609"/>
    <tableColumn id="9617" xr3:uid="{E6DEB324-3476-48DC-ABBE-D0263169C596}" name="Column9610"/>
    <tableColumn id="9618" xr3:uid="{4A6F9591-03AB-430C-ABB6-EFE0C5D72709}" name="Column9611"/>
    <tableColumn id="9619" xr3:uid="{8AB7F7CC-AA38-49B5-BBFD-E47890DF7626}" name="Column9612"/>
    <tableColumn id="9620" xr3:uid="{7D57586B-3631-4609-8CBA-AD5FC26088D6}" name="Column9613"/>
    <tableColumn id="9621" xr3:uid="{FD5B6632-E6A7-46CC-8C7E-4ED3B985A1A3}" name="Column9614"/>
    <tableColumn id="9622" xr3:uid="{AEE7257B-E65D-44E6-8764-AFD223EC703E}" name="Column9615"/>
    <tableColumn id="9623" xr3:uid="{6D4E617C-299B-466E-951A-890F62183153}" name="Column9616"/>
    <tableColumn id="9624" xr3:uid="{A3370562-8938-4B20-86C8-1526D8B5B664}" name="Column9617"/>
    <tableColumn id="9625" xr3:uid="{B4DC3E12-6780-495E-95E6-A834198066CB}" name="Column9618"/>
    <tableColumn id="9626" xr3:uid="{4E2D7DDC-01BF-453D-B45F-D5F85F2FDF19}" name="Column9619"/>
    <tableColumn id="9627" xr3:uid="{3C6C60C9-CC10-4779-994B-7F29EA85F739}" name="Column9620"/>
    <tableColumn id="9628" xr3:uid="{D3746297-7C94-48D7-8C22-9F25C748222D}" name="Column9621"/>
    <tableColumn id="9629" xr3:uid="{CB7130AE-1297-43E6-BFEF-57AE70F0BA62}" name="Column9622"/>
    <tableColumn id="9630" xr3:uid="{90407450-B916-40EC-A247-4CDFF75DC2FF}" name="Column9623"/>
    <tableColumn id="9631" xr3:uid="{9546E660-E41C-4D93-A0F7-CBB91D7F319D}" name="Column9624"/>
    <tableColumn id="9632" xr3:uid="{4209AF58-DBD4-4625-9D5C-B5BA44841850}" name="Column9625"/>
    <tableColumn id="9633" xr3:uid="{9D41BC0C-FEE9-4DD2-941B-FEF7B75C1F5B}" name="Column9626"/>
    <tableColumn id="9634" xr3:uid="{69620C86-9F25-4E3F-8768-3B5FE22680DE}" name="Column9627"/>
    <tableColumn id="9635" xr3:uid="{29DED054-94A8-4E08-AF57-C56EF68DC1B8}" name="Column9628"/>
    <tableColumn id="9636" xr3:uid="{18FE00FC-5BA2-4F13-8C9B-61297497292A}" name="Column9629"/>
    <tableColumn id="9637" xr3:uid="{D24DEA14-A887-460F-94FC-8A43E861A14A}" name="Column9630"/>
    <tableColumn id="9638" xr3:uid="{DDEED911-D071-4C65-8AA1-BE88DCA4E576}" name="Column9631"/>
    <tableColumn id="9639" xr3:uid="{5D6FDDB5-50AB-43F0-BC41-924CA4AADA5F}" name="Column9632"/>
    <tableColumn id="9640" xr3:uid="{55C8B343-1DC0-4E98-A645-42D22BA93D76}" name="Column9633"/>
    <tableColumn id="9641" xr3:uid="{95CDAF6C-F03A-4E54-9382-DFA654C89785}" name="Column9634"/>
    <tableColumn id="9642" xr3:uid="{20A4D9AD-4909-44C2-8593-82596F6850D5}" name="Column9635"/>
    <tableColumn id="9643" xr3:uid="{74B138CD-8BE7-40EB-A3F1-12C62DB64752}" name="Column9636"/>
    <tableColumn id="9644" xr3:uid="{8639C677-7C44-49B3-9DD2-C04E0EEBA9A2}" name="Column9637"/>
    <tableColumn id="9645" xr3:uid="{AC6EA113-5F0B-48DD-A334-95E342016B22}" name="Column9638"/>
    <tableColumn id="9646" xr3:uid="{5EC577B3-42C4-4C70-BAF5-D65785B359A4}" name="Column9639"/>
    <tableColumn id="9647" xr3:uid="{0477B027-C988-424E-AE1E-1F0C0E79A6D7}" name="Column9640"/>
    <tableColumn id="9648" xr3:uid="{08E83742-8A28-437E-BAEC-35ACDF9CC35B}" name="Column9641"/>
    <tableColumn id="9649" xr3:uid="{DAD4916C-5FFA-4D44-A3C7-447723E7A7F8}" name="Column9642"/>
    <tableColumn id="9650" xr3:uid="{98582864-BC0A-4C9B-9E2F-71769E16C1E6}" name="Column9643"/>
    <tableColumn id="9651" xr3:uid="{A4559F97-B3AF-4EE0-B1FC-6106A841451A}" name="Column9644"/>
    <tableColumn id="9652" xr3:uid="{53E47C02-A21F-44D0-9462-3030189B5556}" name="Column9645"/>
    <tableColumn id="9653" xr3:uid="{B7100397-6D59-4E5E-8B3A-D9CF0735553C}" name="Column9646"/>
    <tableColumn id="9654" xr3:uid="{3DC0601D-FA79-4CB3-8814-45393A3C8F59}" name="Column9647"/>
    <tableColumn id="9655" xr3:uid="{B1091920-F2CB-4FFA-8DDF-FEECA59F481F}" name="Column9648"/>
    <tableColumn id="9656" xr3:uid="{011BDDB2-1ACA-4B9D-A635-BE163F760249}" name="Column9649"/>
    <tableColumn id="9657" xr3:uid="{0E548296-76EF-42DB-B14D-44CAD98D72B4}" name="Column9650"/>
    <tableColumn id="9658" xr3:uid="{D14D5BAA-E14F-42CE-825F-BF6FA3FBC9B2}" name="Column9651"/>
    <tableColumn id="9659" xr3:uid="{A0FABC00-8C7E-456A-B07A-E0E1FAEAB46C}" name="Column9652"/>
    <tableColumn id="9660" xr3:uid="{FB058327-72F7-4F8D-9131-8FCD2A332B35}" name="Column9653"/>
    <tableColumn id="9661" xr3:uid="{7FC59AA0-A080-4B27-B12D-D566EF3CC146}" name="Column9654"/>
    <tableColumn id="9662" xr3:uid="{8AC48F10-C229-453E-AAF5-9595B37B2820}" name="Column9655"/>
    <tableColumn id="9663" xr3:uid="{D9D3FCDF-00E7-4358-8B5F-68E0ED8081E4}" name="Column9656"/>
    <tableColumn id="9664" xr3:uid="{3477804A-3245-481A-905B-A30984DBE20F}" name="Column9657"/>
    <tableColumn id="9665" xr3:uid="{498E44FB-9D3A-4362-AFB6-3538D4952AE4}" name="Column9658"/>
    <tableColumn id="9666" xr3:uid="{7AABF6E3-F14C-43AE-AF8E-8E393A2564FE}" name="Column9659"/>
    <tableColumn id="9667" xr3:uid="{C2D11EF2-78AC-4139-AAE3-AFC900C59C23}" name="Column9660"/>
    <tableColumn id="9668" xr3:uid="{5AB85EFB-E875-4F7E-BAC2-637865FF845D}" name="Column9661"/>
    <tableColumn id="9669" xr3:uid="{495F72EA-A07B-40A9-87CB-C19CD9968EBC}" name="Column9662"/>
    <tableColumn id="9670" xr3:uid="{6848522B-22AA-454A-B98D-F15D92CB9CFD}" name="Column9663"/>
    <tableColumn id="9671" xr3:uid="{D4534A4F-B76D-49DF-879C-F2D32F14ACB4}" name="Column9664"/>
    <tableColumn id="9672" xr3:uid="{A7E109A2-2364-4CDF-87E5-822467678A8C}" name="Column9665"/>
    <tableColumn id="9673" xr3:uid="{B3DBFEBC-0F06-4003-88B2-EEF0787ECE9F}" name="Column9666"/>
    <tableColumn id="9674" xr3:uid="{5358FA88-E6E0-4491-AE9A-9C112E68B83A}" name="Column9667"/>
    <tableColumn id="9675" xr3:uid="{5FA8B6A7-17B9-45BB-A1A7-A4627A98747C}" name="Column9668"/>
    <tableColumn id="9676" xr3:uid="{DD3C21EA-7512-4798-BADD-D4C76A3A07FB}" name="Column9669"/>
    <tableColumn id="9677" xr3:uid="{2700D31F-7868-4E44-8366-AEAC5406D38B}" name="Column9670"/>
    <tableColumn id="9678" xr3:uid="{72765AD5-4306-4B0C-B7D3-73A1DEB99811}" name="Column9671"/>
    <tableColumn id="9679" xr3:uid="{C20B3B50-D94A-4DDF-AB01-1B9513F801C2}" name="Column9672"/>
    <tableColumn id="9680" xr3:uid="{7D74E4B8-181C-44ED-8A36-62ADF7D4E3DA}" name="Column9673"/>
    <tableColumn id="9681" xr3:uid="{CEE4E13B-0BBF-4073-982C-87CB3E5A078C}" name="Column9674"/>
    <tableColumn id="9682" xr3:uid="{0AB6D118-83CB-4F54-B10B-4009924CA8FD}" name="Column9675"/>
    <tableColumn id="9683" xr3:uid="{B46A5DFF-31CF-4682-BDCA-E99AA254DF90}" name="Column9676"/>
    <tableColumn id="9684" xr3:uid="{AD311FDE-7734-419D-895F-699BD43ECE00}" name="Column9677"/>
    <tableColumn id="9685" xr3:uid="{9C02302B-6FC7-4743-B36A-9400D7D99C21}" name="Column9678"/>
    <tableColumn id="9686" xr3:uid="{CD95AE09-6A47-409E-B3BC-D848A45C2CC0}" name="Column9679"/>
    <tableColumn id="9687" xr3:uid="{2A167083-C09B-4D26-B086-C7D55929A4ED}" name="Column9680"/>
    <tableColumn id="9688" xr3:uid="{C0C13DB3-015E-47B4-ACDE-56AD15A27BBF}" name="Column9681"/>
    <tableColumn id="9689" xr3:uid="{95304034-F2E8-488B-BAA1-E85329DB90E7}" name="Column9682"/>
    <tableColumn id="9690" xr3:uid="{BF20BBA3-7366-4D29-8CA5-8553BC81424A}" name="Column9683"/>
    <tableColumn id="9691" xr3:uid="{057CD3F3-27DB-4D85-8458-002CD3EBE5EC}" name="Column9684"/>
    <tableColumn id="9692" xr3:uid="{BAD2EA5C-08E3-4932-BFC7-4ADE542542E4}" name="Column9685"/>
    <tableColumn id="9693" xr3:uid="{A0390E29-FD35-4D8F-81D9-D2A58849F498}" name="Column9686"/>
    <tableColumn id="9694" xr3:uid="{CF6A51B7-6321-4C9B-96BB-8D69437CD66D}" name="Column9687"/>
    <tableColumn id="9695" xr3:uid="{95015D5B-FB43-466F-8F0E-ABB824A4BCAF}" name="Column9688"/>
    <tableColumn id="9696" xr3:uid="{6F0D4C5C-AD4B-4FDF-93B0-8998867B8B76}" name="Column9689"/>
    <tableColumn id="9697" xr3:uid="{964C4D93-5933-4451-82E5-503DA70BF425}" name="Column9690"/>
    <tableColumn id="9698" xr3:uid="{0888DB6C-E6FC-4F8B-A2A3-93A57DAB47A9}" name="Column9691"/>
    <tableColumn id="9699" xr3:uid="{DBAA6CAF-DC05-42E7-AA37-0ED902BCE40B}" name="Column9692"/>
    <tableColumn id="9700" xr3:uid="{2136ED0C-0CF0-4D4A-9F70-6AE3EACC2661}" name="Column9693"/>
    <tableColumn id="9701" xr3:uid="{60BDFF62-9227-49D0-A8E7-4399781ED236}" name="Column9694"/>
    <tableColumn id="9702" xr3:uid="{E77FBCE9-9DF2-4EF6-91D4-7E815A4CE65A}" name="Column9695"/>
    <tableColumn id="9703" xr3:uid="{FB5DC5FF-82C4-4C5C-AF70-C23D4C3EBFAD}" name="Column9696"/>
    <tableColumn id="9704" xr3:uid="{6A5DB245-C6D2-4F9D-BA94-1F1060ABC5C9}" name="Column9697"/>
    <tableColumn id="9705" xr3:uid="{E58FB59B-3060-4E2C-A862-6E4EB6580BDD}" name="Column9698"/>
    <tableColumn id="9706" xr3:uid="{8E0388EA-2D4D-4ED6-8D6B-86237191D079}" name="Column9699"/>
    <tableColumn id="9707" xr3:uid="{6691D538-4596-43A5-9756-691600D92F3B}" name="Column9700"/>
    <tableColumn id="9708" xr3:uid="{1D8689D5-37F0-4415-A3FF-93E04A531668}" name="Column9701"/>
    <tableColumn id="9709" xr3:uid="{F65CCC90-8033-46F1-97F0-46AFE578829B}" name="Column9702"/>
    <tableColumn id="9710" xr3:uid="{4AAA679E-744F-4F5E-BD4A-29E15AC4B9C7}" name="Column9703"/>
    <tableColumn id="9711" xr3:uid="{52E9D24E-3ADA-410D-923C-3DF612C420EC}" name="Column9704"/>
    <tableColumn id="9712" xr3:uid="{A288E981-E9D6-46B1-B6FE-128C32C7D258}" name="Column9705"/>
    <tableColumn id="9713" xr3:uid="{41F7ACE7-DD17-4E1C-9B62-25B9DE4E92B0}" name="Column9706"/>
    <tableColumn id="9714" xr3:uid="{AFAD1C0D-5E94-4ED3-96DF-8CF2FDD0FDAE}" name="Column9707"/>
    <tableColumn id="9715" xr3:uid="{43B1D7BC-82F3-4E72-9E69-74CA75C67174}" name="Column9708"/>
    <tableColumn id="9716" xr3:uid="{3E9F9FF0-309A-4A0D-BAE5-2AC657C53DCA}" name="Column9709"/>
    <tableColumn id="9717" xr3:uid="{AA161E2C-EBD1-4CCD-9EAD-78056CE36EC2}" name="Column9710"/>
    <tableColumn id="9718" xr3:uid="{3BAF1941-3DCF-4051-8457-457360A4F742}" name="Column9711"/>
    <tableColumn id="9719" xr3:uid="{EEC8FD1B-1925-4323-9716-6975456B1BC5}" name="Column9712"/>
    <tableColumn id="9720" xr3:uid="{0DC92A24-B6D4-42CE-98EF-981FEF522C6B}" name="Column9713"/>
    <tableColumn id="9721" xr3:uid="{843FD44B-1A45-4EB9-9517-061A85F8DA88}" name="Column9714"/>
    <tableColumn id="9722" xr3:uid="{FBB8DA15-0F5C-4673-895C-551FDD00744C}" name="Column9715"/>
    <tableColumn id="9723" xr3:uid="{050754E1-7A34-471D-95D4-88B568E6974B}" name="Column9716"/>
    <tableColumn id="9724" xr3:uid="{21D37863-BC80-4565-9060-F123EA63D51A}" name="Column9717"/>
    <tableColumn id="9725" xr3:uid="{60E7DC19-137A-4D58-BBCD-19557CB1B97F}" name="Column9718"/>
    <tableColumn id="9726" xr3:uid="{7EC64905-EBCD-4AB3-A2A2-EB8A759C82C7}" name="Column9719"/>
    <tableColumn id="9727" xr3:uid="{35313081-6053-49E4-B4CC-9BF4E6639B83}" name="Column9720"/>
    <tableColumn id="9728" xr3:uid="{3BD5FBCB-0349-454D-9EB8-BC8DDBDA7017}" name="Column9721"/>
    <tableColumn id="9729" xr3:uid="{8D7CAFD5-1BC8-4D47-B872-C98B0A1B9A94}" name="Column9722"/>
    <tableColumn id="9730" xr3:uid="{26F2D06D-EA5B-4DE9-8730-11786E960F7B}" name="Column9723"/>
    <tableColumn id="9731" xr3:uid="{E7C63857-5A04-4E1A-8200-89FA3FD99D87}" name="Column9724"/>
    <tableColumn id="9732" xr3:uid="{C221E261-122C-42DF-AF93-568122C603A3}" name="Column9725"/>
    <tableColumn id="9733" xr3:uid="{8F63554A-D3CF-4EBB-9FFE-0458BA834F44}" name="Column9726"/>
    <tableColumn id="9734" xr3:uid="{C72A3E55-C66D-45F7-A41F-3AAE07E491C7}" name="Column9727"/>
    <tableColumn id="9735" xr3:uid="{04EE42F0-A237-419B-932F-406E79F10CA5}" name="Column9728"/>
    <tableColumn id="9736" xr3:uid="{C33D1168-A889-4B63-952C-98186BA6FF4F}" name="Column9729"/>
    <tableColumn id="9737" xr3:uid="{304E4EE6-EED3-4342-9F19-9FEBE27C1F75}" name="Column9730"/>
    <tableColumn id="9738" xr3:uid="{91CCE0B9-9167-4248-B105-6CBEA4D8BF0E}" name="Column9731"/>
    <tableColumn id="9739" xr3:uid="{0606C94D-9C1C-4B30-97DF-3E629457AC01}" name="Column9732"/>
    <tableColumn id="9740" xr3:uid="{70ADF08C-7968-4099-BDC8-001AFC7A4EC0}" name="Column9733"/>
    <tableColumn id="9741" xr3:uid="{EE1EDC7F-391E-41C2-8F1C-F019860B067D}" name="Column9734"/>
    <tableColumn id="9742" xr3:uid="{A4EC7A2C-DB61-4E8E-84A4-C34FB37C8595}" name="Column9735"/>
    <tableColumn id="9743" xr3:uid="{C653A50D-8792-4CEB-9BCB-4D92C22BB239}" name="Column9736"/>
    <tableColumn id="9744" xr3:uid="{28E15E3E-5F19-47E5-99C0-1A1EB056798C}" name="Column9737"/>
    <tableColumn id="9745" xr3:uid="{3AF57C15-D64D-455D-818A-1B23392B66F7}" name="Column9738"/>
    <tableColumn id="9746" xr3:uid="{C8809430-C5E9-4212-92FA-28C4B5C45EE8}" name="Column9739"/>
    <tableColumn id="9747" xr3:uid="{EFDD893F-DD13-43B8-8401-284260995293}" name="Column9740"/>
    <tableColumn id="9748" xr3:uid="{CF1882A6-9D4D-4E56-B3D2-174407F8DD98}" name="Column9741"/>
    <tableColumn id="9749" xr3:uid="{7D101C0D-3ADF-4BDE-86AD-58E66B13F731}" name="Column9742"/>
    <tableColumn id="9750" xr3:uid="{9D154AA8-9511-41C0-999E-B55FB00C369D}" name="Column9743"/>
    <tableColumn id="9751" xr3:uid="{B27A61A0-31C5-4828-88C3-2BE2651F7422}" name="Column9744"/>
    <tableColumn id="9752" xr3:uid="{F749D332-1B7D-4059-9E02-5B1657B00C2B}" name="Column9745"/>
    <tableColumn id="9753" xr3:uid="{E37AF30D-003E-4D21-94BB-3FA0F54FE1A2}" name="Column9746"/>
    <tableColumn id="9754" xr3:uid="{9B075592-59E0-4E66-8EA9-8E408DABBEF6}" name="Column9747"/>
    <tableColumn id="9755" xr3:uid="{C9D698E3-8661-488C-A1DD-FA236E943085}" name="Column9748"/>
    <tableColumn id="9756" xr3:uid="{571A9500-4857-40EA-BEED-D85D7065FC4B}" name="Column9749"/>
    <tableColumn id="9757" xr3:uid="{95465218-FC97-40AD-ADF9-E4F3AAF516B4}" name="Column9750"/>
    <tableColumn id="9758" xr3:uid="{2D8E4CF8-A2B7-4C9F-8BEF-FC4FBFD410C1}" name="Column9751"/>
    <tableColumn id="9759" xr3:uid="{390F8BED-4ED9-4D71-AA0F-BDCA899D4351}" name="Column9752"/>
    <tableColumn id="9760" xr3:uid="{2EADB58A-6BE9-4A15-8928-E8F543E9DA7F}" name="Column9753"/>
    <tableColumn id="9761" xr3:uid="{4346A4DA-0477-475A-BEB0-5D3756B7EA21}" name="Column9754"/>
    <tableColumn id="9762" xr3:uid="{91908E70-A601-4408-807B-2C6767F24FFD}" name="Column9755"/>
    <tableColumn id="9763" xr3:uid="{C2B0EC00-E5FF-4A14-8A4C-236CEB12B4BF}" name="Column9756"/>
    <tableColumn id="9764" xr3:uid="{3544D326-4F9C-4D80-9A5B-44C7BE0599D0}" name="Column9757"/>
    <tableColumn id="9765" xr3:uid="{3F868344-0F5D-4F0C-A7A7-45F764192195}" name="Column9758"/>
    <tableColumn id="9766" xr3:uid="{56669600-6B8A-4399-8BB5-68824283C383}" name="Column9759"/>
    <tableColumn id="9767" xr3:uid="{550DFA28-9347-4E9A-82E8-E5F93F443BAE}" name="Column9760"/>
    <tableColumn id="9768" xr3:uid="{268DAA38-75FA-4CE6-907A-D81E347488D8}" name="Column9761"/>
    <tableColumn id="9769" xr3:uid="{CA3A318E-86AE-4EB6-BCC5-B63418A73D7C}" name="Column9762"/>
    <tableColumn id="9770" xr3:uid="{FE9E9D7B-DA6A-45A9-AA97-8A3228FA4396}" name="Column9763"/>
    <tableColumn id="9771" xr3:uid="{BB22C6F2-AB00-439A-A5BD-C47B8BBE6624}" name="Column9764"/>
    <tableColumn id="9772" xr3:uid="{E48E1502-BFF0-429E-8E3F-BE6B7BB226E6}" name="Column9765"/>
    <tableColumn id="9773" xr3:uid="{48842F2A-8FA7-417C-9373-7D92FF5F9827}" name="Column9766"/>
    <tableColumn id="9774" xr3:uid="{DB232EFC-A737-4678-B6DC-594EBFE0DE74}" name="Column9767"/>
    <tableColumn id="9775" xr3:uid="{55D8DDB6-422F-4BFE-8D7A-4E684C00567D}" name="Column9768"/>
    <tableColumn id="9776" xr3:uid="{6CFF2037-5595-4A77-B38E-493CC41BB8C0}" name="Column9769"/>
    <tableColumn id="9777" xr3:uid="{D9894C28-3B72-4331-9426-720F79586425}" name="Column9770"/>
    <tableColumn id="9778" xr3:uid="{3ACA1B04-61D5-4A44-8B04-FF350AE875E5}" name="Column9771"/>
    <tableColumn id="9779" xr3:uid="{42846150-148B-428F-8EFE-058F9EF188EE}" name="Column9772"/>
    <tableColumn id="9780" xr3:uid="{B3459A6B-65AB-4127-A4A4-7CE864742587}" name="Column9773"/>
    <tableColumn id="9781" xr3:uid="{423AFF31-DA87-4A0E-B22D-14CD57475AAE}" name="Column9774"/>
    <tableColumn id="9782" xr3:uid="{3725A019-434A-492F-B591-A56EA44DF2F4}" name="Column9775"/>
    <tableColumn id="9783" xr3:uid="{E9FCF15E-EFF0-4728-B7E4-47B01FD587DD}" name="Column9776"/>
    <tableColumn id="9784" xr3:uid="{2FB40A33-F4F7-4311-AA9A-484DF77CFDC3}" name="Column9777"/>
    <tableColumn id="9785" xr3:uid="{809EB297-0795-4AC9-98BE-089AF8553113}" name="Column9778"/>
    <tableColumn id="9786" xr3:uid="{031AC724-0943-47DF-A55F-68C2460C235C}" name="Column9779"/>
    <tableColumn id="9787" xr3:uid="{6C322CAA-851E-4C96-BA13-1C1644FDF729}" name="Column9780"/>
    <tableColumn id="9788" xr3:uid="{5492844A-3D59-4A83-BD09-13608D61E569}" name="Column9781"/>
    <tableColumn id="9789" xr3:uid="{DC21CCB4-FC6F-49D4-8225-58059FA4DB5D}" name="Column9782"/>
    <tableColumn id="9790" xr3:uid="{9E890FCF-77FB-48AE-A8C4-116C28943B7E}" name="Column9783"/>
    <tableColumn id="9791" xr3:uid="{A0C98337-88E8-4BEF-A186-26A702245F32}" name="Column9784"/>
    <tableColumn id="9792" xr3:uid="{DF7A5BB8-580D-4B69-9743-2D0BEE19C75F}" name="Column9785"/>
    <tableColumn id="9793" xr3:uid="{4D4E6129-6DFB-4743-9A13-4666A2BED66B}" name="Column9786"/>
    <tableColumn id="9794" xr3:uid="{BE0CE692-95E6-4F6E-8F6D-E496A45DDF39}" name="Column9787"/>
    <tableColumn id="9795" xr3:uid="{A2CCF5B7-65BF-43D6-94E5-2DC31F8B723B}" name="Column9788"/>
    <tableColumn id="9796" xr3:uid="{18CAB2B4-CF32-4620-8FD7-B758EFB4DACB}" name="Column9789"/>
    <tableColumn id="9797" xr3:uid="{1EFC249F-3B0B-48A3-A10C-BD243679B801}" name="Column9790"/>
    <tableColumn id="9798" xr3:uid="{88C839FD-2312-4145-BA80-CB2023496F78}" name="Column9791"/>
    <tableColumn id="9799" xr3:uid="{23275D1E-8C7C-481D-ACC8-B4C2A37EDDD0}" name="Column9792"/>
    <tableColumn id="9800" xr3:uid="{6596F545-B0A0-4237-BCEF-9F6321BB8A3D}" name="Column9793"/>
    <tableColumn id="9801" xr3:uid="{E7C6516D-5673-45C0-AF9C-ECBDD9DE10CB}" name="Column9794"/>
    <tableColumn id="9802" xr3:uid="{115B96B1-F24C-4BE2-892F-56DD5C87D626}" name="Column9795"/>
    <tableColumn id="9803" xr3:uid="{A9C97F67-8F15-4421-B6C0-9FD40125F6FA}" name="Column9796"/>
    <tableColumn id="9804" xr3:uid="{37931B6D-D75E-444C-99F6-CFCA7A445864}" name="Column9797"/>
    <tableColumn id="9805" xr3:uid="{B5556909-DB09-410C-BB0E-0F510361EAE2}" name="Column9798"/>
    <tableColumn id="9806" xr3:uid="{17D55701-8B0C-4645-99D2-B2FEB29A3C00}" name="Column9799"/>
    <tableColumn id="9807" xr3:uid="{A362D1B9-C5C1-48A6-8537-11EDC551B067}" name="Column9800"/>
    <tableColumn id="9808" xr3:uid="{BE6B93CC-5D65-4A6A-A7CC-7987FE400C31}" name="Column9801"/>
    <tableColumn id="9809" xr3:uid="{CBC9EE32-7BE7-430D-BB7D-AB71C6DCE9F4}" name="Column9802"/>
    <tableColumn id="9810" xr3:uid="{5D82CD76-DD20-4D48-99D3-DB31E42131C9}" name="Column9803"/>
    <tableColumn id="9811" xr3:uid="{FE5EF9B3-2240-43E8-BF68-FE7FBAD4232D}" name="Column9804"/>
    <tableColumn id="9812" xr3:uid="{C96CA00A-7703-4C94-BF24-3C3D94D4305D}" name="Column9805"/>
    <tableColumn id="9813" xr3:uid="{35CD0101-4D09-4471-9DB4-A6445723E533}" name="Column9806"/>
    <tableColumn id="9814" xr3:uid="{3F6698B0-795D-4578-9A47-92FA9DF0FE00}" name="Column9807"/>
    <tableColumn id="9815" xr3:uid="{C344098C-EB78-456E-BDEE-571AC9AB0968}" name="Column9808"/>
    <tableColumn id="9816" xr3:uid="{189CFFC5-ACFB-48CE-B613-4AADF2AEE399}" name="Column9809"/>
    <tableColumn id="9817" xr3:uid="{062A433A-9DE0-41F7-B960-EF13A9FDA415}" name="Column9810"/>
    <tableColumn id="9818" xr3:uid="{CBFF7312-BB0C-4CDA-8C2B-F3328BDEEBE8}" name="Column9811"/>
    <tableColumn id="9819" xr3:uid="{EFD72209-786C-4B5A-A7E5-3ADE57321D40}" name="Column9812"/>
    <tableColumn id="9820" xr3:uid="{ECB5C197-158E-4FE5-8975-4AB74D914CD3}" name="Column9813"/>
    <tableColumn id="9821" xr3:uid="{68B999DF-EE3E-4A81-AF39-D8E6F302BC45}" name="Column9814"/>
    <tableColumn id="9822" xr3:uid="{44ABF6C6-EB57-4AEE-9146-E3023E7AC4B4}" name="Column9815"/>
    <tableColumn id="9823" xr3:uid="{8E1B8A7B-EDFE-4FB1-B3EF-C8AF9E1D35BE}" name="Column9816"/>
    <tableColumn id="9824" xr3:uid="{226A832F-8030-43E0-9527-9DB5494E371E}" name="Column9817"/>
    <tableColumn id="9825" xr3:uid="{ACCA2FDA-850B-485F-B095-2A7F55323BF5}" name="Column9818"/>
    <tableColumn id="9826" xr3:uid="{F3EF6C5A-12D9-4568-BD03-EA6742DA8AF0}" name="Column9819"/>
    <tableColumn id="9827" xr3:uid="{4A5E60DF-FFB8-477E-99B3-8D3A630EEE75}" name="Column9820"/>
    <tableColumn id="9828" xr3:uid="{1B346668-FCBC-4D87-8A67-6F9AB4CA8C6A}" name="Column9821"/>
    <tableColumn id="9829" xr3:uid="{C852B32B-E3F5-4C3B-944C-5DA8EA800068}" name="Column9822"/>
    <tableColumn id="9830" xr3:uid="{70E3E0E7-AA2B-4B9E-AB55-9F34CBA34A6D}" name="Column9823"/>
    <tableColumn id="9831" xr3:uid="{44D5B9CD-2947-4C6A-8A5C-E21A7112651E}" name="Column9824"/>
    <tableColumn id="9832" xr3:uid="{8407AE91-C56B-4F27-A529-78D0CD51D706}" name="Column9825"/>
    <tableColumn id="9833" xr3:uid="{9BA4EF1C-DC3A-400A-8ADA-7C58F01E4AEF}" name="Column9826"/>
    <tableColumn id="9834" xr3:uid="{E7A985BF-0014-4757-9EBA-A10AB8BA9729}" name="Column9827"/>
    <tableColumn id="9835" xr3:uid="{A0DD7448-1392-47AA-B0AE-E3B96DC83459}" name="Column9828"/>
    <tableColumn id="9836" xr3:uid="{68EB80BC-ED7B-48E3-BFDB-3E7E99E72947}" name="Column9829"/>
    <tableColumn id="9837" xr3:uid="{39C4BB93-8488-4EB3-B857-9C2E4FCEE4BF}" name="Column9830"/>
    <tableColumn id="9838" xr3:uid="{83C7640A-86FB-4B14-8D09-BC9C01076E2C}" name="Column9831"/>
    <tableColumn id="9839" xr3:uid="{FF3A97A5-B7B1-49B1-BD50-685BECFB27FB}" name="Column9832"/>
    <tableColumn id="9840" xr3:uid="{E9AF565F-07E9-4C93-B3F1-2497426588D2}" name="Column9833"/>
    <tableColumn id="9841" xr3:uid="{CC3D00D0-93C8-4930-9CFA-69104909A572}" name="Column9834"/>
    <tableColumn id="9842" xr3:uid="{CC6B0C89-8BA4-4A9E-870C-BDE19FA9B51E}" name="Column9835"/>
    <tableColumn id="9843" xr3:uid="{E45B8DF7-38EB-4B3C-9D2F-FACDE77C39BB}" name="Column9836"/>
    <tableColumn id="9844" xr3:uid="{4410F913-2D6F-4A8E-B072-8FD48E921EB3}" name="Column9837"/>
    <tableColumn id="9845" xr3:uid="{52D4BEC2-A19C-462B-B07A-17ED3217929E}" name="Column9838"/>
    <tableColumn id="9846" xr3:uid="{DFF14649-354B-458E-B968-D8A6E2A9A03E}" name="Column9839"/>
    <tableColumn id="9847" xr3:uid="{858BD1B0-44C0-45E6-98EF-AEDF9BCCCE70}" name="Column9840"/>
    <tableColumn id="9848" xr3:uid="{D9C4E64A-4973-4A41-A516-5E92FDF071E7}" name="Column9841"/>
    <tableColumn id="9849" xr3:uid="{DB91CE93-FE8D-4D74-B15E-6801DD574ED6}" name="Column9842"/>
    <tableColumn id="9850" xr3:uid="{FCA5B90C-68E7-402D-9DAB-F36947144764}" name="Column9843"/>
    <tableColumn id="9851" xr3:uid="{F699E783-57C9-4E8E-8966-F4ED18B7E3F0}" name="Column9844"/>
    <tableColumn id="9852" xr3:uid="{F4276C70-2C5A-4C7B-A8C1-576DE84CC8F0}" name="Column9845"/>
    <tableColumn id="9853" xr3:uid="{BD311495-8D4D-46EA-958A-43A66C3309DB}" name="Column9846"/>
    <tableColumn id="9854" xr3:uid="{03AB2FA1-E1DF-475A-BAFF-277ACF06A9CE}" name="Column9847"/>
    <tableColumn id="9855" xr3:uid="{7963B15F-4EA8-40E2-A850-5D259B46C630}" name="Column9848"/>
    <tableColumn id="9856" xr3:uid="{34359339-DDC0-4154-9348-C344319B8B16}" name="Column9849"/>
    <tableColumn id="9857" xr3:uid="{CAD3CFA5-832F-4AE2-B747-DBCBBC44B7D4}" name="Column9850"/>
    <tableColumn id="9858" xr3:uid="{D38D5C0A-E96A-4F0A-9BE2-6A5D1D8FB7D1}" name="Column9851"/>
    <tableColumn id="9859" xr3:uid="{97BDCFD0-01C4-4A1B-ACF4-E2263B433711}" name="Column9852"/>
    <tableColumn id="9860" xr3:uid="{B73DE982-5335-4BB5-BF5B-26949AFF9ED9}" name="Column9853"/>
    <tableColumn id="9861" xr3:uid="{6884590D-FB69-4A02-845D-415239A36BDA}" name="Column9854"/>
    <tableColumn id="9862" xr3:uid="{4F396E7A-5187-41B7-BE05-03CA30A4A9CF}" name="Column9855"/>
    <tableColumn id="9863" xr3:uid="{7C465CBF-9F7C-41F6-B00C-44BC61391853}" name="Column9856"/>
    <tableColumn id="9864" xr3:uid="{F711FA59-D062-49FC-A04A-84B7C24E6D0B}" name="Column9857"/>
    <tableColumn id="9865" xr3:uid="{7D5ED7BE-AD25-4F34-B1D9-9907D1B457C9}" name="Column9858"/>
    <tableColumn id="9866" xr3:uid="{A443E555-0C34-4816-BC86-1BA3B805BF5F}" name="Column9859"/>
    <tableColumn id="9867" xr3:uid="{D4CE8F1B-0A89-4AE6-A823-F5872C9ECB56}" name="Column9860"/>
    <tableColumn id="9868" xr3:uid="{0FE7DB16-120E-4EF0-AFC2-9EA2BF2FB345}" name="Column9861"/>
    <tableColumn id="9869" xr3:uid="{48B92B83-94D2-4136-B78A-9952F074A78F}" name="Column9862"/>
    <tableColumn id="9870" xr3:uid="{B1732A37-1B46-43E6-A648-92696B6AF210}" name="Column9863"/>
    <tableColumn id="9871" xr3:uid="{9924CBB5-6F1B-4E38-AC10-3BFB0F5CB7E0}" name="Column9864"/>
    <tableColumn id="9872" xr3:uid="{7D9ECFCC-9BEF-4227-8016-AFEA6D59147E}" name="Column9865"/>
    <tableColumn id="9873" xr3:uid="{220165B6-C164-421F-B4E4-ACBAE9C43FC1}" name="Column9866"/>
    <tableColumn id="9874" xr3:uid="{74EE1C75-0BA3-4E59-93BC-B452286FD7D1}" name="Column9867"/>
    <tableColumn id="9875" xr3:uid="{E8E289DE-A8B8-4525-9B8A-7C5D9F0E157E}" name="Column9868"/>
    <tableColumn id="9876" xr3:uid="{810DADEA-0F82-466E-9EB0-CEB0FD58C672}" name="Column9869"/>
    <tableColumn id="9877" xr3:uid="{99737D91-575C-4F4F-BEE9-D1F4B3926F96}" name="Column9870"/>
    <tableColumn id="9878" xr3:uid="{442BCC3F-16EB-4D88-BC30-CE81B1027430}" name="Column9871"/>
    <tableColumn id="9879" xr3:uid="{063EF99B-5627-42B4-B2BD-201FA8A81A93}" name="Column9872"/>
    <tableColumn id="9880" xr3:uid="{45FB73BE-3F7E-47D2-80BD-28B4D6147E0B}" name="Column9873"/>
    <tableColumn id="9881" xr3:uid="{568D33BB-382D-4F7B-B9B4-B5AE96EF5953}" name="Column9874"/>
    <tableColumn id="9882" xr3:uid="{65DCAF1B-0F5F-4935-8EE2-5B616A550A37}" name="Column9875"/>
    <tableColumn id="9883" xr3:uid="{03E92255-FE91-49B8-87FC-34A7CE0D7AB9}" name="Column9876"/>
    <tableColumn id="9884" xr3:uid="{0051E4E5-08B6-46BB-8326-1EF74F03BF0F}" name="Column9877"/>
    <tableColumn id="9885" xr3:uid="{59BEB3F0-CBA2-4000-9254-D235ED1E8D60}" name="Column9878"/>
    <tableColumn id="9886" xr3:uid="{EBC66096-CC75-4938-9F05-580F6D9FBCDF}" name="Column9879"/>
    <tableColumn id="9887" xr3:uid="{FCDB6264-BB20-4388-8724-E5A8EB8BD92D}" name="Column9880"/>
    <tableColumn id="9888" xr3:uid="{6AE0888B-CB68-47EA-8659-10DA1CD71039}" name="Column9881"/>
    <tableColumn id="9889" xr3:uid="{546166FD-C9F6-4DDD-A4FF-95550EA6C8E0}" name="Column9882"/>
    <tableColumn id="9890" xr3:uid="{36727AF1-389C-4A73-B025-79B9A2CE5859}" name="Column9883"/>
    <tableColumn id="9891" xr3:uid="{ADE5BF5A-22D5-40A8-9D1A-9A4B889558A0}" name="Column9884"/>
    <tableColumn id="9892" xr3:uid="{BD497A5A-CA41-4ACC-835A-A5711CFE80C6}" name="Column9885"/>
    <tableColumn id="9893" xr3:uid="{B69DAACE-0634-4822-BC0B-E1305F882E1A}" name="Column9886"/>
    <tableColumn id="9894" xr3:uid="{D4A7D99D-811E-4797-8E6B-147EE4FC3857}" name="Column9887"/>
    <tableColumn id="9895" xr3:uid="{06CAA372-98A8-4BC6-9FDA-6662B184215C}" name="Column9888"/>
    <tableColumn id="9896" xr3:uid="{D933720D-383A-400D-91DE-A91F3FB76165}" name="Column9889"/>
    <tableColumn id="9897" xr3:uid="{4F5DDA05-5D9B-4AB9-BDEC-F5E18ECFD4D0}" name="Column9890"/>
    <tableColumn id="9898" xr3:uid="{3AD39D72-0A04-43E5-A468-8F2B6006DAC9}" name="Column9891"/>
    <tableColumn id="9899" xr3:uid="{D8B88885-0233-4670-A2A7-593ADAE496E7}" name="Column9892"/>
    <tableColumn id="9900" xr3:uid="{EA927E1B-F2ED-4CF2-A148-18C61B8A5C7A}" name="Column9893"/>
    <tableColumn id="9901" xr3:uid="{3147166A-F1DE-4F65-870C-40F1B85B13BA}" name="Column9894"/>
    <tableColumn id="9902" xr3:uid="{7148F945-CFE3-42FE-800F-3F37FBDDEB74}" name="Column9895"/>
    <tableColumn id="9903" xr3:uid="{C77B1847-0537-4473-B6E3-93AA1696E83C}" name="Column9896"/>
    <tableColumn id="9904" xr3:uid="{DD98E6E4-890C-4676-AE6E-0EDA47D2B64E}" name="Column9897"/>
    <tableColumn id="9905" xr3:uid="{7D894D0E-13AF-4287-9ABE-C192DA557E47}" name="Column9898"/>
    <tableColumn id="9906" xr3:uid="{43B5E905-0234-4B86-A936-2AAFB4AD6E95}" name="Column9899"/>
    <tableColumn id="9907" xr3:uid="{C6859888-BBFA-4C4C-951E-60DF8FDD0AF7}" name="Column9900"/>
    <tableColumn id="9908" xr3:uid="{C7AEE59A-4AF2-45D6-8C95-6A6CD7CC9228}" name="Column9901"/>
    <tableColumn id="9909" xr3:uid="{0A8D4CC5-DD94-4450-BDB4-A71DB64401A0}" name="Column9902"/>
    <tableColumn id="9910" xr3:uid="{49D3FDF7-DA4F-43E4-A427-E4B4529A7776}" name="Column9903"/>
    <tableColumn id="9911" xr3:uid="{AFB56C84-9E92-49D9-9761-F38080C7B821}" name="Column9904"/>
    <tableColumn id="9912" xr3:uid="{9BA4F042-11C6-469D-8CFC-75AD76D84DDE}" name="Column9905"/>
    <tableColumn id="9913" xr3:uid="{B0EF61AF-06CE-4A32-A5FE-AC2D2284E1D4}" name="Column9906"/>
    <tableColumn id="9914" xr3:uid="{AEFA89EA-1CA1-464C-90EA-BE078056DCF8}" name="Column9907"/>
    <tableColumn id="9915" xr3:uid="{C7F837FD-E01D-4B00-A48C-C041400DFDB9}" name="Column9908"/>
    <tableColumn id="9916" xr3:uid="{F9DF27B9-AAFB-42E0-B481-32AEE86BA659}" name="Column9909"/>
    <tableColumn id="9917" xr3:uid="{31F76979-F730-4FB6-BF58-94129474B085}" name="Column9910"/>
    <tableColumn id="9918" xr3:uid="{BBA3CB51-46C1-411B-8E25-D014203701E0}" name="Column9911"/>
    <tableColumn id="9919" xr3:uid="{08A923DB-259E-4AB0-BADD-403F4F363B47}" name="Column9912"/>
    <tableColumn id="9920" xr3:uid="{B1F08152-BCF4-447E-8829-BAE34A067017}" name="Column9913"/>
    <tableColumn id="9921" xr3:uid="{FE368057-A94B-48BF-9F80-D2462B11A25B}" name="Column9914"/>
    <tableColumn id="9922" xr3:uid="{B38CD5F9-0EF1-4F53-AE65-B12BB2F711E0}" name="Column9915"/>
    <tableColumn id="9923" xr3:uid="{4F4EC63D-467D-4654-A5C7-6818531FBAB1}" name="Column9916"/>
    <tableColumn id="9924" xr3:uid="{F2834DD5-DE45-4082-99F8-50F037DA631C}" name="Column9917"/>
    <tableColumn id="9925" xr3:uid="{2AFD5587-DE00-4816-B380-F716E9382078}" name="Column9918"/>
    <tableColumn id="9926" xr3:uid="{56506DE8-FE85-4B39-BD0D-180FF6925430}" name="Column9919"/>
    <tableColumn id="9927" xr3:uid="{E45AFCAC-55A8-43E5-BAF8-7D88C8A5D571}" name="Column9920"/>
    <tableColumn id="9928" xr3:uid="{1BBEF952-5739-4AFE-9FF4-4FAC30B23938}" name="Column9921"/>
    <tableColumn id="9929" xr3:uid="{9D78D61D-3E8F-4296-96F8-5C40A9DCFE34}" name="Column9922"/>
    <tableColumn id="9930" xr3:uid="{F7E32D08-AB15-48EA-B746-2FE3E8CD2B24}" name="Column9923"/>
    <tableColumn id="9931" xr3:uid="{196EA6DC-812E-4B29-9635-56FFF2981B49}" name="Column9924"/>
    <tableColumn id="9932" xr3:uid="{FCDAA1B8-3551-4688-9090-29051FD11719}" name="Column9925"/>
    <tableColumn id="9933" xr3:uid="{A80D09B0-E14B-4EFE-B1D3-D2A5D8E42757}" name="Column9926"/>
    <tableColumn id="9934" xr3:uid="{3807C446-F5EC-4DB5-BEE0-1BE9DA6990E5}" name="Column9927"/>
    <tableColumn id="9935" xr3:uid="{11803F95-CA6E-4C46-810B-5E5AA5C00D44}" name="Column9928"/>
    <tableColumn id="9936" xr3:uid="{220A3629-AFD3-4EAF-A7ED-EE0E97EBF19A}" name="Column9929"/>
    <tableColumn id="9937" xr3:uid="{353D8C02-82C1-4B3A-8F4D-DAE54EB9C881}" name="Column9930"/>
    <tableColumn id="9938" xr3:uid="{C5FC9DFE-D8D3-4995-BC8D-3A81DCC7E911}" name="Column9931"/>
    <tableColumn id="9939" xr3:uid="{AF27C278-F024-4F92-98D8-4D2B4334DC9F}" name="Column9932"/>
    <tableColumn id="9940" xr3:uid="{6748A992-4C19-4362-B07F-C65D6D4FEDD8}" name="Column9933"/>
    <tableColumn id="9941" xr3:uid="{D1CCE062-3780-4312-AC8D-53ACB2AE7700}" name="Column9934"/>
    <tableColumn id="9942" xr3:uid="{83F88A51-6EC0-4B64-831A-7167E9CD8456}" name="Column9935"/>
    <tableColumn id="9943" xr3:uid="{573AF99A-84A7-4403-A132-378AC616E45E}" name="Column9936"/>
    <tableColumn id="9944" xr3:uid="{B67B6B4F-DF71-4337-8CDA-45735F58D41A}" name="Column9937"/>
    <tableColumn id="9945" xr3:uid="{B78BD984-7F8B-4D24-8BC8-82F89672C801}" name="Column9938"/>
    <tableColumn id="9946" xr3:uid="{85FED31C-C43B-45D6-B599-C3D58B7C07BE}" name="Column9939"/>
    <tableColumn id="9947" xr3:uid="{9944240B-EE1E-4F80-9586-1B959867887C}" name="Column9940"/>
    <tableColumn id="9948" xr3:uid="{DC36A257-C5A4-4509-92B5-00F76B0226FF}" name="Column9941"/>
    <tableColumn id="9949" xr3:uid="{A04B22A1-73E3-4D5E-AD88-21F5B5266978}" name="Column9942"/>
    <tableColumn id="9950" xr3:uid="{5EC2E21B-BB80-413E-8971-98611B1756C8}" name="Column9943"/>
    <tableColumn id="9951" xr3:uid="{59C13E99-DB94-49E6-8C10-8EAE376DCE8C}" name="Column9944"/>
    <tableColumn id="9952" xr3:uid="{5081AA39-11CC-40EE-8B9D-85C60BE4E1B4}" name="Column9945"/>
    <tableColumn id="9953" xr3:uid="{F4A1F31D-B310-4B45-900D-9F3AEE104A6F}" name="Column9946"/>
    <tableColumn id="9954" xr3:uid="{5BDEE975-794F-45A9-9BD7-619446A942FD}" name="Column9947"/>
    <tableColumn id="9955" xr3:uid="{F19E3422-CA3D-4108-B4BE-65D2BAEB8AF4}" name="Column9948"/>
    <tableColumn id="9956" xr3:uid="{C93685E8-6337-4AE5-9C77-883ADBEBCBC1}" name="Column9949"/>
    <tableColumn id="9957" xr3:uid="{A8F8FEDF-4B45-41D5-84C8-FF072861D5BC}" name="Column9950"/>
    <tableColumn id="9958" xr3:uid="{CDA94093-7BFB-42D0-8FDF-C4D3D3DE7922}" name="Column9951"/>
    <tableColumn id="9959" xr3:uid="{70BAB10E-0C15-4E65-846F-EB2790128B07}" name="Column9952"/>
    <tableColumn id="9960" xr3:uid="{5C42ED5E-777C-40ED-BD4F-905E2E2756AF}" name="Column9953"/>
    <tableColumn id="9961" xr3:uid="{2FC44D01-D24E-4CAC-B979-683D200D427F}" name="Column9954"/>
    <tableColumn id="9962" xr3:uid="{92074515-75A5-4B67-A736-D024C6EFE5CF}" name="Column9955"/>
    <tableColumn id="9963" xr3:uid="{A0488315-B619-4222-9DD8-94475AFD78B3}" name="Column9956"/>
    <tableColumn id="9964" xr3:uid="{9803C28C-F99E-44B6-8A98-CE16276947AE}" name="Column9957"/>
    <tableColumn id="9965" xr3:uid="{7DA0FF4D-4864-4793-8FBB-DE0754A76F8C}" name="Column9958"/>
    <tableColumn id="9966" xr3:uid="{6ED8A061-6F20-496B-AA9F-C4298365F7D8}" name="Column9959"/>
    <tableColumn id="9967" xr3:uid="{7CAD4486-9B2B-440D-8FD5-E5C085C26714}" name="Column9960"/>
    <tableColumn id="9968" xr3:uid="{47931161-63B9-4C49-AAF2-7D9BE5CCAD4C}" name="Column9961"/>
    <tableColumn id="9969" xr3:uid="{AC4A23BD-9BA9-4C88-A760-B53E67929348}" name="Column9962"/>
    <tableColumn id="9970" xr3:uid="{4E5D4B88-2709-4138-8D26-1F049036EDBE}" name="Column9963"/>
    <tableColumn id="9971" xr3:uid="{D829D9D3-B7BD-40D3-9DE0-E3BCF88F335B}" name="Column9964"/>
    <tableColumn id="9972" xr3:uid="{B093FBB8-B951-45B9-81FD-89812D45197B}" name="Column9965"/>
    <tableColumn id="9973" xr3:uid="{061CD8FD-2CD8-4E17-B5D2-18C42A5BBEBE}" name="Column9966"/>
    <tableColumn id="9974" xr3:uid="{8A148AEA-3FD2-46E0-80E4-CA57B47408E9}" name="Column9967"/>
    <tableColumn id="9975" xr3:uid="{0B84A54D-8832-4516-B0E6-6B4B2A201F4D}" name="Column9968"/>
    <tableColumn id="9976" xr3:uid="{B9992E61-B0D9-49EA-866F-E5C13748A13E}" name="Column9969"/>
    <tableColumn id="9977" xr3:uid="{427B27B7-94B2-4B40-A3BD-B25490E61897}" name="Column9970"/>
    <tableColumn id="9978" xr3:uid="{667DD490-6497-45B6-AF83-0A2D122CBC96}" name="Column9971"/>
    <tableColumn id="9979" xr3:uid="{58CCF9E7-312A-443E-AB5B-FE1677FF951A}" name="Column9972"/>
    <tableColumn id="9980" xr3:uid="{A943C0FD-9116-4FFD-942B-C598C483240A}" name="Column9973"/>
    <tableColumn id="9981" xr3:uid="{040D1136-2B09-4454-8CAE-AB5AC65DB340}" name="Column9974"/>
    <tableColumn id="9982" xr3:uid="{CF5B1302-8587-407B-A213-69CEA46865D2}" name="Column9975"/>
    <tableColumn id="9983" xr3:uid="{F79680F1-AB95-47D5-B7C1-0040FD07942F}" name="Column9976"/>
    <tableColumn id="9984" xr3:uid="{93603AE8-B0F4-45E5-8829-3A5DCC94F76E}" name="Column9977"/>
    <tableColumn id="9985" xr3:uid="{06CBA5BB-4879-4A57-9425-3A7536F4D531}" name="Column9978"/>
    <tableColumn id="9986" xr3:uid="{67DBB58A-2046-498D-836B-03C79D9F94DF}" name="Column9979"/>
    <tableColumn id="9987" xr3:uid="{43DD5C38-3F15-462E-AA94-8E12DCB1FC6C}" name="Column9980"/>
    <tableColumn id="9988" xr3:uid="{1AEB52BD-93D5-4BAB-9D74-E4BFB3FBE745}" name="Column9981"/>
    <tableColumn id="9989" xr3:uid="{8D8836EC-5B60-46A9-B374-90CA23A944F2}" name="Column9982"/>
    <tableColumn id="9990" xr3:uid="{40ADC6BB-C095-458C-9DE7-60150ED6FF1A}" name="Column9983"/>
    <tableColumn id="9991" xr3:uid="{31D1A14B-C66F-41D5-900B-761657B2DD81}" name="Column9984"/>
    <tableColumn id="9992" xr3:uid="{6906EBA3-AB52-4C9D-9EE9-EA659459BF3A}" name="Column9985"/>
    <tableColumn id="9993" xr3:uid="{7CC8A7E5-DA53-41D2-ABDE-9FFE6477AA30}" name="Column9986"/>
    <tableColumn id="9994" xr3:uid="{E2EC8B72-26AD-451B-B81B-25C0D1DCECE6}" name="Column9987"/>
    <tableColumn id="9995" xr3:uid="{93F986B6-7610-465F-A44C-26F52FE10788}" name="Column9988"/>
    <tableColumn id="9996" xr3:uid="{F4EC94A5-3E4F-49A0-BCE6-0BBA82072951}" name="Column9989"/>
    <tableColumn id="9997" xr3:uid="{368AEA87-7C5F-4B79-ACB9-9204E7B991DA}" name="Column9990"/>
    <tableColumn id="9998" xr3:uid="{FE6770AF-760F-4369-8078-11043FABC2A9}" name="Column9991"/>
    <tableColumn id="9999" xr3:uid="{3DFFBB63-5CBA-432D-820B-4F712A322CB6}" name="Column9992"/>
    <tableColumn id="10000" xr3:uid="{B5DA539F-BE73-460D-A37F-F2B9192471B1}" name="Column9993"/>
    <tableColumn id="10001" xr3:uid="{607902FA-2380-4010-80D2-7A00BDC907FD}" name="Column9994"/>
    <tableColumn id="10002" xr3:uid="{7F39AB9C-D013-4698-B7ED-0D71731089F7}" name="Column9995"/>
    <tableColumn id="10003" xr3:uid="{D732FA84-F404-40F9-B9CC-DF900708E6E6}" name="Column9996"/>
    <tableColumn id="10004" xr3:uid="{11AC5D72-426A-4866-870D-0FA324A2336C}" name="Column9997"/>
    <tableColumn id="10005" xr3:uid="{90DC1FBB-8783-484C-B425-C4C78F5EF688}" name="Column9998"/>
    <tableColumn id="10006" xr3:uid="{0B9C4A74-8FF9-42DC-BCC0-AD32FB221AF7}" name="Column9999"/>
    <tableColumn id="10007" xr3:uid="{7B48351E-1FF3-4EBC-9522-4186CD591F4C}" name="Column10000"/>
    <tableColumn id="10008" xr3:uid="{BAF1AF43-F04B-4A9D-95EA-FD597F374AA1}" name="Column10001"/>
    <tableColumn id="10009" xr3:uid="{BCB63921-FF16-470B-8F82-7D6D43B39AA8}" name="Column10002"/>
    <tableColumn id="10010" xr3:uid="{DCD8FDB2-E845-40B5-ACC3-293998C1BB75}" name="Column10003"/>
    <tableColumn id="10011" xr3:uid="{8A7D8EC3-EFDE-4E25-B54B-A1CF43690770}" name="Column10004"/>
    <tableColumn id="10012" xr3:uid="{89170A01-86A7-4199-BAEF-6E65CD961CED}" name="Column10005"/>
    <tableColumn id="10013" xr3:uid="{AC91AAEA-1017-4BE3-B35C-362EC1DE76D7}" name="Column10006"/>
    <tableColumn id="10014" xr3:uid="{1C410F65-DF30-4B6C-8A43-D6D547D48C89}" name="Column10007"/>
    <tableColumn id="10015" xr3:uid="{41F55EA6-AEE2-477D-B67E-70F573A94D29}" name="Column10008"/>
    <tableColumn id="10016" xr3:uid="{91B18ABB-16AE-4BCC-94DA-9F38AC4CDEE7}" name="Column10009"/>
    <tableColumn id="10017" xr3:uid="{A2DB713B-AF6C-4BDC-9103-2E881448A048}" name="Column10010"/>
    <tableColumn id="10018" xr3:uid="{CAD44264-41D0-4EE2-A8F6-6DCF892F9D1A}" name="Column10011"/>
    <tableColumn id="10019" xr3:uid="{F202865E-F0D5-4B59-B43D-5DC6FF8A8ECC}" name="Column10012"/>
    <tableColumn id="10020" xr3:uid="{98F7F4A1-D7EE-4342-BD6F-0A8FE03761BD}" name="Column10013"/>
    <tableColumn id="10021" xr3:uid="{E32BE0C7-B05E-487E-85C3-097645F8144E}" name="Column10014"/>
    <tableColumn id="10022" xr3:uid="{27F57818-57BB-4536-8312-983D386806FD}" name="Column10015"/>
    <tableColumn id="10023" xr3:uid="{6897BD70-77D4-47FB-90E2-3BCFD9AE0F0A}" name="Column10016"/>
    <tableColumn id="10024" xr3:uid="{0CA14F93-9DD2-4337-9B5A-D536F38AE685}" name="Column10017"/>
    <tableColumn id="10025" xr3:uid="{E245BA96-774A-4463-A415-A11D3355F476}" name="Column10018"/>
    <tableColumn id="10026" xr3:uid="{3E67CC78-F1D4-4E99-8864-CA679A43A153}" name="Column10019"/>
    <tableColumn id="10027" xr3:uid="{923A6C0E-273D-4709-B752-40BCD8CD1D8C}" name="Column10020"/>
    <tableColumn id="10028" xr3:uid="{0B4F400C-BBC7-4349-B14C-0699C37F54C2}" name="Column10021"/>
    <tableColumn id="10029" xr3:uid="{5FE1652B-1B0B-4337-95A5-40A1D8677917}" name="Column10022"/>
    <tableColumn id="10030" xr3:uid="{F7713EA5-DB93-41A3-BC0B-515FCDDA7534}" name="Column10023"/>
    <tableColumn id="10031" xr3:uid="{0571D67B-C928-4C44-A043-229F8C673324}" name="Column10024"/>
    <tableColumn id="10032" xr3:uid="{79445A96-C7BD-49FF-B08C-8743A0719998}" name="Column10025"/>
    <tableColumn id="10033" xr3:uid="{38FEC191-CF7A-40E4-BB60-A58F4B271D7C}" name="Column10026"/>
    <tableColumn id="10034" xr3:uid="{24D56EBB-7667-419D-B28D-A6CBF0069C5C}" name="Column10027"/>
    <tableColumn id="10035" xr3:uid="{8A9E438E-4903-4BA2-A080-0C3B06DF0A68}" name="Column10028"/>
    <tableColumn id="10036" xr3:uid="{8D7C2B76-CB9B-47C5-A513-B285B2B7CA33}" name="Column10029"/>
    <tableColumn id="10037" xr3:uid="{E04EDCA2-C292-4289-8C03-BD5BFC4B3DC4}" name="Column10030"/>
    <tableColumn id="10038" xr3:uid="{8E7DEEA8-9DEC-43FC-B1A2-EC061954409E}" name="Column10031"/>
    <tableColumn id="10039" xr3:uid="{77F2C936-4B7F-4942-94D4-8E40641573AF}" name="Column10032"/>
    <tableColumn id="10040" xr3:uid="{4551D23B-D355-4E72-8BEC-A309F8FCAD11}" name="Column10033"/>
    <tableColumn id="10041" xr3:uid="{A9847B3E-51A5-4E54-A463-8F3539EFB810}" name="Column10034"/>
    <tableColumn id="10042" xr3:uid="{1ADD4B42-EC0E-443C-9657-2B676BC66727}" name="Column10035"/>
    <tableColumn id="10043" xr3:uid="{BEEBEA23-CF3C-419E-B81B-8D66E57DD6BE}" name="Column10036"/>
    <tableColumn id="10044" xr3:uid="{AE9A068F-8977-4186-B436-58E30B322C63}" name="Column10037"/>
    <tableColumn id="10045" xr3:uid="{431B673D-CE72-46D8-9A94-AD389045491B}" name="Column10038"/>
    <tableColumn id="10046" xr3:uid="{AF853E8B-13BD-43B2-856B-F5DF78135054}" name="Column10039"/>
    <tableColumn id="10047" xr3:uid="{F535F42D-F399-4AAF-B2BE-7821D5376AD2}" name="Column10040"/>
    <tableColumn id="10048" xr3:uid="{9972F016-0124-49BD-AD62-796EE1E64D8A}" name="Column10041"/>
    <tableColumn id="10049" xr3:uid="{BEF2C94F-885F-4C9D-A083-E7346F2ADAC6}" name="Column10042"/>
    <tableColumn id="10050" xr3:uid="{504904F9-F1B6-4CB2-B9F9-7C4057A861BF}" name="Column10043"/>
    <tableColumn id="10051" xr3:uid="{FFF67FAD-D6C9-441A-9968-E1F940A69EA5}" name="Column10044"/>
    <tableColumn id="10052" xr3:uid="{C011926C-23AA-4C5F-B497-D161FCBC2477}" name="Column10045"/>
    <tableColumn id="10053" xr3:uid="{333591FD-8F28-44D8-A089-E264795B6069}" name="Column10046"/>
    <tableColumn id="10054" xr3:uid="{00A22205-9365-4BAD-8EA1-B08A88E69DBF}" name="Column10047"/>
    <tableColumn id="10055" xr3:uid="{B790AD1E-FDF7-4FA8-B5A1-7060882D5CA7}" name="Column10048"/>
    <tableColumn id="10056" xr3:uid="{B202832E-B4F8-4C80-80C9-F734E7A6858D}" name="Column10049"/>
    <tableColumn id="10057" xr3:uid="{FA98C861-3CF7-4A3D-B6E5-07A4A33421C9}" name="Column10050"/>
    <tableColumn id="10058" xr3:uid="{2B019785-1AD1-4ED0-9990-1D913992AED5}" name="Column10051"/>
    <tableColumn id="10059" xr3:uid="{DFC5FDE3-2123-4106-B44E-FCDC91A2A13D}" name="Column10052"/>
    <tableColumn id="10060" xr3:uid="{152D1FAD-B640-4463-B800-215ED5827767}" name="Column10053"/>
    <tableColumn id="10061" xr3:uid="{6B4C2E41-CAF6-4F5A-AB13-8580043F3A0D}" name="Column10054"/>
    <tableColumn id="10062" xr3:uid="{40C61364-E32D-485C-976C-A285063E1D30}" name="Column10055"/>
    <tableColumn id="10063" xr3:uid="{B0F6D2BE-1309-4171-9E0E-65D6CB45E63F}" name="Column10056"/>
    <tableColumn id="10064" xr3:uid="{A913F6F9-5FF7-4C18-AB47-DD16B36DDAFB}" name="Column10057"/>
    <tableColumn id="10065" xr3:uid="{30EAA7E1-3191-40DC-BEFE-4B7C33F4D95B}" name="Column10058"/>
    <tableColumn id="10066" xr3:uid="{7425E8A0-D171-4B89-9702-D6B8FDA3C1B1}" name="Column10059"/>
    <tableColumn id="10067" xr3:uid="{9DAA394B-635E-4A5A-9E61-9770944B048C}" name="Column10060"/>
    <tableColumn id="10068" xr3:uid="{ACAB9263-5A0B-4DAE-982B-D630FB3CB3A7}" name="Column10061"/>
    <tableColumn id="10069" xr3:uid="{5D0B51DB-DD86-49D6-AAAD-5748CAD8134D}" name="Column10062"/>
    <tableColumn id="10070" xr3:uid="{49B96BA5-8AD5-47CB-B00D-748F210BC519}" name="Column10063"/>
    <tableColumn id="10071" xr3:uid="{C44F0D4F-655F-4C89-830E-C0BC41ABE18B}" name="Column10064"/>
    <tableColumn id="10072" xr3:uid="{F9E70DCC-28FC-4DE4-8336-831D0620D1CA}" name="Column10065"/>
    <tableColumn id="10073" xr3:uid="{07C533CE-FA44-4D5A-9B84-3F59A69D9D09}" name="Column10066"/>
    <tableColumn id="10074" xr3:uid="{61BCB7DC-ECE2-4DC3-BE5D-B1A8118E1930}" name="Column10067"/>
    <tableColumn id="10075" xr3:uid="{A5FFD71A-BA54-41E5-911B-EE81329E3C6B}" name="Column10068"/>
    <tableColumn id="10076" xr3:uid="{C87898EA-CD3B-4BE6-88A1-7EBAC27BDBAB}" name="Column10069"/>
    <tableColumn id="10077" xr3:uid="{DF3058EC-B57A-4169-9178-B965D3AE2DA1}" name="Column10070"/>
    <tableColumn id="10078" xr3:uid="{2135FF68-AA30-4E32-88EA-3071F4AF3F60}" name="Column10071"/>
    <tableColumn id="10079" xr3:uid="{F90B3E83-AA6B-4283-8CE0-34693C9CAD69}" name="Column10072"/>
    <tableColumn id="10080" xr3:uid="{EFFEB242-13E0-4A62-A253-58CC21A4FD0E}" name="Column10073"/>
    <tableColumn id="10081" xr3:uid="{8CDC9699-A2F9-42BD-A3DD-22A6F8AF923A}" name="Column10074"/>
    <tableColumn id="10082" xr3:uid="{B87B454F-D8D8-436F-BA9A-6ECC287DB0DD}" name="Column10075"/>
    <tableColumn id="10083" xr3:uid="{B9DC51C0-D43B-4C9D-B997-6E1648B35065}" name="Column10076"/>
    <tableColumn id="10084" xr3:uid="{83BC7AE4-26F8-48C1-90CB-54FE0070B925}" name="Column10077"/>
    <tableColumn id="10085" xr3:uid="{4BB65BC0-2F19-4DEC-9FE7-2E93D81146E4}" name="Column10078"/>
    <tableColumn id="10086" xr3:uid="{49156991-3E7A-4609-BABF-AA9F17BEA5C6}" name="Column10079"/>
    <tableColumn id="10087" xr3:uid="{71403FE5-55B2-4604-A9C9-97D072432EE8}" name="Column10080"/>
    <tableColumn id="10088" xr3:uid="{4501DEC4-891E-4EF2-B160-0DDB523FEBB0}" name="Column10081"/>
    <tableColumn id="10089" xr3:uid="{0AF1493A-83A6-492F-AF08-D169B7CEB574}" name="Column10082"/>
    <tableColumn id="10090" xr3:uid="{72698566-3B31-406C-BDAA-7C5BD1A7A49E}" name="Column10083"/>
    <tableColumn id="10091" xr3:uid="{1BD9FFA4-4C8B-47A0-8B67-4F2C90BC3DFF}" name="Column10084"/>
    <tableColumn id="10092" xr3:uid="{9E21B952-CE40-40FA-AA9C-852A9BBD279F}" name="Column10085"/>
    <tableColumn id="10093" xr3:uid="{FA1424FD-C97A-4DA9-A1D4-16370F573033}" name="Column10086"/>
    <tableColumn id="10094" xr3:uid="{2F545B16-238E-4857-A541-A9C0DA65F044}" name="Column10087"/>
    <tableColumn id="10095" xr3:uid="{91EE25A7-C10D-4B9E-8420-215D2B327A1B}" name="Column10088"/>
    <tableColumn id="10096" xr3:uid="{0C7942E2-45D3-4DB3-9796-DECA5427F0B7}" name="Column10089"/>
    <tableColumn id="10097" xr3:uid="{B63D79ED-CB21-4828-9D69-D58F725672D6}" name="Column10090"/>
    <tableColumn id="10098" xr3:uid="{35338DF2-47F1-4160-8C15-354FEC05BF25}" name="Column10091"/>
    <tableColumn id="10099" xr3:uid="{0E658F62-B158-43C2-A870-65989A489311}" name="Column10092"/>
    <tableColumn id="10100" xr3:uid="{960232A7-13AA-473E-944A-A0D0ADEB02DA}" name="Column10093"/>
    <tableColumn id="10101" xr3:uid="{77CA0364-FDF0-4293-9C35-281565107FE8}" name="Column10094"/>
    <tableColumn id="10102" xr3:uid="{8DBC01FC-3B72-4897-9F76-139E6DA954E1}" name="Column10095"/>
    <tableColumn id="10103" xr3:uid="{04D96F41-0FFE-4D60-BFDA-E0CC99AD061F}" name="Column10096"/>
    <tableColumn id="10104" xr3:uid="{596F6279-B22D-4557-9A20-BE37D2F28C00}" name="Column10097"/>
    <tableColumn id="10105" xr3:uid="{AE5DEEB3-EB67-4923-86E9-F57FE3E479CD}" name="Column10098"/>
    <tableColumn id="10106" xr3:uid="{0D041FCC-7E1D-4D5A-800D-2641B53A09E7}" name="Column10099"/>
    <tableColumn id="10107" xr3:uid="{75AA50B8-BD3A-4FE5-977D-22797C32C977}" name="Column10100"/>
    <tableColumn id="10108" xr3:uid="{C7533679-F47D-4AC4-87DA-9F82DC41A759}" name="Column10101"/>
    <tableColumn id="10109" xr3:uid="{52033289-086D-4764-965C-48C6F7D6B36B}" name="Column10102"/>
    <tableColumn id="10110" xr3:uid="{3EBA291D-2786-4262-9E13-122542ED5FD0}" name="Column10103"/>
    <tableColumn id="10111" xr3:uid="{537C4B27-A056-4146-B20E-7C455264E896}" name="Column10104"/>
    <tableColumn id="10112" xr3:uid="{172528E6-0A16-4A7C-B795-0D5F14ACF784}" name="Column10105"/>
    <tableColumn id="10113" xr3:uid="{3B1E10F9-8395-4171-B5AA-9AF4B304AC20}" name="Column10106"/>
    <tableColumn id="10114" xr3:uid="{97CA6382-AA28-4685-BB2D-1C2CB1748F96}" name="Column10107"/>
    <tableColumn id="10115" xr3:uid="{CD7CC19E-9BC2-4DF3-90CD-2BAA4CDABB62}" name="Column10108"/>
    <tableColumn id="10116" xr3:uid="{CE91D4E4-D156-4353-97D0-F11163AD52CF}" name="Column10109"/>
    <tableColumn id="10117" xr3:uid="{11BEE353-B244-484C-AECC-9AAF12CED9E6}" name="Column10110"/>
    <tableColumn id="10118" xr3:uid="{88E0D648-68B9-4F38-BC40-C96294E0FDC3}" name="Column10111"/>
    <tableColumn id="10119" xr3:uid="{65E0048C-2437-48E0-AB1B-7F4376544735}" name="Column10112"/>
    <tableColumn id="10120" xr3:uid="{3917B288-29B3-44D5-81BF-5B3C9E13C84D}" name="Column10113"/>
    <tableColumn id="10121" xr3:uid="{966E7DFE-28D8-46D9-A113-BBA9840BB4B4}" name="Column10114"/>
    <tableColumn id="10122" xr3:uid="{D8ED21C4-E7C3-41E2-BA0B-D7BB05762F05}" name="Column10115"/>
    <tableColumn id="10123" xr3:uid="{C12C82B0-E68F-4580-B1C0-A9000DBF5649}" name="Column10116"/>
    <tableColumn id="10124" xr3:uid="{FE0C6232-5294-4A71-9D13-DC50072063FE}" name="Column10117"/>
    <tableColumn id="10125" xr3:uid="{790366EA-2BB8-4461-862D-E5EC2FF3F51E}" name="Column10118"/>
    <tableColumn id="10126" xr3:uid="{BE596019-8643-4BAD-8BA4-B219223EF71E}" name="Column10119"/>
    <tableColumn id="10127" xr3:uid="{634E95E2-19E3-4848-B5FC-35A04E960F8F}" name="Column10120"/>
    <tableColumn id="10128" xr3:uid="{DFC4FEB4-0AF2-4970-92FA-5FBDE764F197}" name="Column10121"/>
    <tableColumn id="10129" xr3:uid="{24E77FB7-B157-43CF-9AF6-458177DF03BA}" name="Column10122"/>
    <tableColumn id="10130" xr3:uid="{E1B903C5-B2D1-4452-8A9F-6742058D9B62}" name="Column10123"/>
    <tableColumn id="10131" xr3:uid="{70A1ADE4-F53C-4909-9947-D1918993B30B}" name="Column10124"/>
    <tableColumn id="10132" xr3:uid="{233BB13C-7551-4F92-880D-010642D43825}" name="Column10125"/>
    <tableColumn id="10133" xr3:uid="{E310BCBD-3BC0-442D-96FC-3F2A1237B8A3}" name="Column10126"/>
    <tableColumn id="10134" xr3:uid="{829E1D33-F722-4D4B-A152-CDA0FE8FDD7F}" name="Column10127"/>
    <tableColumn id="10135" xr3:uid="{56E3ACDE-E481-4595-A43F-2C0797100AAE}" name="Column10128"/>
    <tableColumn id="10136" xr3:uid="{6714E678-034A-4B96-B357-4731B688FFB0}" name="Column10129"/>
    <tableColumn id="10137" xr3:uid="{8342CF04-F75C-4EF0-B004-C80A3CE6976B}" name="Column10130"/>
    <tableColumn id="10138" xr3:uid="{A89E1E4E-7ED4-4607-8081-2BB00562A4BD}" name="Column10131"/>
    <tableColumn id="10139" xr3:uid="{184FC909-388B-4A33-AB09-8001D8E99880}" name="Column10132"/>
    <tableColumn id="10140" xr3:uid="{5BAAD79F-D8B4-4F56-B35B-2B661250D3D3}" name="Column10133"/>
    <tableColumn id="10141" xr3:uid="{C11BDD92-97F0-45C3-898E-A25D7D93C7E4}" name="Column10134"/>
    <tableColumn id="10142" xr3:uid="{F512DA03-8016-4297-A404-AAB923503DCC}" name="Column10135"/>
    <tableColumn id="10143" xr3:uid="{D9D69A73-3A19-4736-ADB1-7DB6A0823511}" name="Column10136"/>
    <tableColumn id="10144" xr3:uid="{1827AB2F-0CF3-4113-A3CC-43212B1C540F}" name="Column10137"/>
    <tableColumn id="10145" xr3:uid="{8F78A219-E3EA-4991-BBDE-339B13B7D203}" name="Column10138"/>
    <tableColumn id="10146" xr3:uid="{33975932-5583-405E-AE06-1882673B8CE8}" name="Column10139"/>
    <tableColumn id="10147" xr3:uid="{CD5AF674-F2F3-4265-8C85-0598CF8FF0AA}" name="Column10140"/>
    <tableColumn id="10148" xr3:uid="{47E0E260-9F6D-46AA-BE03-E8D03A482E6E}" name="Column10141"/>
    <tableColumn id="10149" xr3:uid="{070BC94A-C128-4A48-85FF-5B49E6049828}" name="Column10142"/>
    <tableColumn id="10150" xr3:uid="{330D6339-F60C-4961-A8D0-AEEFFE2B9C3C}" name="Column10143"/>
    <tableColumn id="10151" xr3:uid="{D19BD95C-2390-4BD6-AE74-02A702057D22}" name="Column10144"/>
    <tableColumn id="10152" xr3:uid="{904687F8-A7E0-4D26-A124-B43D723355D7}" name="Column10145"/>
    <tableColumn id="10153" xr3:uid="{97F9E905-36B4-4CD1-B8EF-D751D9BEDBE4}" name="Column10146"/>
    <tableColumn id="10154" xr3:uid="{F8945AFF-18CE-4F3E-BB13-B7AB01BF459B}" name="Column10147"/>
    <tableColumn id="10155" xr3:uid="{3073EE65-7855-43B1-BC8E-ABF5AB62D760}" name="Column10148"/>
    <tableColumn id="10156" xr3:uid="{2B9C363E-3A17-46E3-8F88-4B45C6F60263}" name="Column10149"/>
    <tableColumn id="10157" xr3:uid="{35FB2DC8-4005-48AC-8C90-7EACEECB57DE}" name="Column10150"/>
    <tableColumn id="10158" xr3:uid="{0BD9C032-7CF0-4CFA-A550-A71F447CD513}" name="Column10151"/>
    <tableColumn id="10159" xr3:uid="{58D9E597-CDC1-48A9-8578-BCEB4163C61C}" name="Column10152"/>
    <tableColumn id="10160" xr3:uid="{BF8888CB-55A4-4F7E-B465-7C63F1BA08F5}" name="Column10153"/>
    <tableColumn id="10161" xr3:uid="{824C72F1-E488-4415-A12B-EE4E7AC9EB59}" name="Column10154"/>
    <tableColumn id="10162" xr3:uid="{F59DF31F-F76B-4317-8203-E64BC8637ED2}" name="Column10155"/>
    <tableColumn id="10163" xr3:uid="{47BE60E7-ED87-4313-8BB1-1B5A4CDB797A}" name="Column10156"/>
    <tableColumn id="10164" xr3:uid="{48BCFE92-3CEC-4F84-BAE0-D751A8089CE1}" name="Column10157"/>
    <tableColumn id="10165" xr3:uid="{7AF303A1-187B-4F1C-AE03-1E67287B62FB}" name="Column10158"/>
    <tableColumn id="10166" xr3:uid="{37C085F1-4CD4-40E4-B589-05213C107C3C}" name="Column10159"/>
    <tableColumn id="10167" xr3:uid="{AAF01BDF-B8A8-4A84-A014-6CB1AFAD3153}" name="Column10160"/>
    <tableColumn id="10168" xr3:uid="{E608FE26-B9D4-46BE-A1B1-8A667F59D446}" name="Column10161"/>
    <tableColumn id="10169" xr3:uid="{143E8A9E-0814-4CB0-9F48-4CD8431FDCA2}" name="Column10162"/>
    <tableColumn id="10170" xr3:uid="{C260B800-2199-4557-833C-6FE09948DF1A}" name="Column10163"/>
    <tableColumn id="10171" xr3:uid="{19B028D5-E2B8-4961-B8B7-8D7FBCE44253}" name="Column10164"/>
    <tableColumn id="10172" xr3:uid="{BA32D4C4-6353-43E0-AD8F-003DC4CA564A}" name="Column10165"/>
    <tableColumn id="10173" xr3:uid="{2122BE2F-E764-488D-9CC1-8EFEF21644C0}" name="Column10166"/>
    <tableColumn id="10174" xr3:uid="{8D104E06-A9B1-4D0D-9BFD-1ADCCF622951}" name="Column10167"/>
    <tableColumn id="10175" xr3:uid="{E9B3EBD0-E8D0-4EC5-B16B-34BA6A2DF3FD}" name="Column10168"/>
    <tableColumn id="10176" xr3:uid="{3AADAC55-3B89-45EA-9FAE-9BC216EDFC5A}" name="Column10169"/>
    <tableColumn id="10177" xr3:uid="{6AE3BF46-1510-46BE-A44C-FE5B690DD724}" name="Column10170"/>
    <tableColumn id="10178" xr3:uid="{9C28EB3C-3FF3-4678-B41E-08822E518C76}" name="Column10171"/>
    <tableColumn id="10179" xr3:uid="{C7630188-28C3-4FDA-9173-45102F8CA1A5}" name="Column10172"/>
    <tableColumn id="10180" xr3:uid="{88BACC98-E119-4622-AAFC-BA1DB6819F97}" name="Column10173"/>
    <tableColumn id="10181" xr3:uid="{E1D8566F-97CC-4DB8-AD96-F9F362285705}" name="Column10174"/>
    <tableColumn id="10182" xr3:uid="{C297905C-E8D9-4CB9-9204-7FE3367D190B}" name="Column10175"/>
    <tableColumn id="10183" xr3:uid="{BDB1C2C8-DC47-4C8A-B9F3-76B420BF70A2}" name="Column10176"/>
    <tableColumn id="10184" xr3:uid="{C43FF2BD-7A6E-4826-9329-A49E8DFC50AD}" name="Column10177"/>
    <tableColumn id="10185" xr3:uid="{FB6218F4-A070-4375-AC50-388ECF75BC30}" name="Column10178"/>
    <tableColumn id="10186" xr3:uid="{DE6E6734-66A5-4338-8BC4-80D897E12FD5}" name="Column10179"/>
    <tableColumn id="10187" xr3:uid="{F23A93E1-460C-4E20-9103-955D9D05C557}" name="Column10180"/>
    <tableColumn id="10188" xr3:uid="{E5CE9D44-B9AE-4176-B58C-659E7056F0EC}" name="Column10181"/>
    <tableColumn id="10189" xr3:uid="{DA9D5D83-FD4F-497F-88A6-D6A95D6A992A}" name="Column10182"/>
    <tableColumn id="10190" xr3:uid="{43850294-2748-4F3C-B13E-899064821AD0}" name="Column10183"/>
    <tableColumn id="10191" xr3:uid="{18F04517-1BC3-4B8D-9FD2-CF4EF3D6B1ED}" name="Column10184"/>
    <tableColumn id="10192" xr3:uid="{16FF7BFE-C6EF-4A6A-877C-E5C03279DDCF}" name="Column10185"/>
    <tableColumn id="10193" xr3:uid="{679C606A-1095-45E9-88FE-1EB2AFFED153}" name="Column10186"/>
    <tableColumn id="10194" xr3:uid="{431ADA5C-0DF0-4CF3-BED6-C5607090A0D4}" name="Column10187"/>
    <tableColumn id="10195" xr3:uid="{03F75BBE-BCF2-48E9-8B0B-A9DF902F4769}" name="Column10188"/>
    <tableColumn id="10196" xr3:uid="{5A36C46E-C2B9-411F-92CD-A479D8C0550A}" name="Column10189"/>
    <tableColumn id="10197" xr3:uid="{8B0188DA-3826-4E3B-B7D2-4D814015CB6C}" name="Column10190"/>
    <tableColumn id="10198" xr3:uid="{2DD6C6BB-8B33-41D2-BEB5-581FAF733D5B}" name="Column10191"/>
    <tableColumn id="10199" xr3:uid="{DBF914C6-6D17-4F0C-8410-831C0517923D}" name="Column10192"/>
    <tableColumn id="10200" xr3:uid="{1311DE07-3C7B-4D8B-8DBA-2EC6843C31BE}" name="Column10193"/>
    <tableColumn id="10201" xr3:uid="{092886A1-2583-4007-A725-EE503646BF06}" name="Column10194"/>
    <tableColumn id="10202" xr3:uid="{7118F939-2ABF-434E-9522-072EA97982F6}" name="Column10195"/>
    <tableColumn id="10203" xr3:uid="{7F794EAC-5066-4D13-BE4F-CF2F200523A1}" name="Column10196"/>
    <tableColumn id="10204" xr3:uid="{960B7284-4763-4695-B3A3-74A26B9DD765}" name="Column10197"/>
    <tableColumn id="10205" xr3:uid="{EC1A8F9C-D2FF-4BA2-9309-F92EC30B631B}" name="Column10198"/>
    <tableColumn id="10206" xr3:uid="{12C1D564-F981-460E-895A-9F101BB4733D}" name="Column10199"/>
    <tableColumn id="10207" xr3:uid="{92280D3E-F166-4586-BA82-A5EB3B72A509}" name="Column10200"/>
    <tableColumn id="10208" xr3:uid="{E132A47F-72D1-4F00-B2A7-942160582715}" name="Column10201"/>
    <tableColumn id="10209" xr3:uid="{5F0A7A2C-AB17-4A60-9A9C-6114FE63D93B}" name="Column10202"/>
    <tableColumn id="10210" xr3:uid="{284885FA-242D-4270-A79D-45F6474925E1}" name="Column10203"/>
    <tableColumn id="10211" xr3:uid="{59163291-1B77-4346-83B3-7DB5E3FE18A6}" name="Column10204"/>
    <tableColumn id="10212" xr3:uid="{EAF04AB9-1C90-4274-842D-0A7AE4464114}" name="Column10205"/>
    <tableColumn id="10213" xr3:uid="{6FCA8BF3-ECE4-48BB-B2D2-091A0B14B850}" name="Column10206"/>
    <tableColumn id="10214" xr3:uid="{2E075FA8-DF4A-4105-98FC-DBEE0CA0FE59}" name="Column10207"/>
    <tableColumn id="10215" xr3:uid="{1CFA9C92-1C34-43D4-B9E7-E105F2B6808B}" name="Column10208"/>
    <tableColumn id="10216" xr3:uid="{0FD54AA6-FE4B-4069-9C45-9ACBD75A707D}" name="Column10209"/>
    <tableColumn id="10217" xr3:uid="{9867BC80-AE40-4459-97DF-32954EFB263B}" name="Column10210"/>
    <tableColumn id="10218" xr3:uid="{3960C80A-9A30-44FB-AE8D-B376E52325B0}" name="Column10211"/>
    <tableColumn id="10219" xr3:uid="{7E1259AC-D7B5-477F-940C-EB5C25068D62}" name="Column10212"/>
    <tableColumn id="10220" xr3:uid="{404782B5-2D37-44C8-AF59-4956F9EC1E18}" name="Column10213"/>
    <tableColumn id="10221" xr3:uid="{2D55D012-B450-4BC6-A0E7-651B92E3751A}" name="Column10214"/>
    <tableColumn id="10222" xr3:uid="{C541397D-D9AC-45C5-B109-2DFA7F408E81}" name="Column10215"/>
    <tableColumn id="10223" xr3:uid="{1202ED8B-624F-4A63-A171-E36FD91D4A97}" name="Column10216"/>
    <tableColumn id="10224" xr3:uid="{500ABD65-3381-462D-9EDB-9D68FE470ADF}" name="Column10217"/>
    <tableColumn id="10225" xr3:uid="{CD876662-EFF5-4940-8911-F3E97AD4F3B6}" name="Column10218"/>
    <tableColumn id="10226" xr3:uid="{4B3B063A-210D-40F1-AB51-399969D9786A}" name="Column10219"/>
    <tableColumn id="10227" xr3:uid="{CB171ADA-1216-4AB4-984E-4DE1A058EF22}" name="Column10220"/>
    <tableColumn id="10228" xr3:uid="{D2FAC698-5C9B-4C45-A109-FCA040E4A2F2}" name="Column10221"/>
    <tableColumn id="10229" xr3:uid="{04F3E966-0833-4E0E-A15C-76EA826CD964}" name="Column10222"/>
    <tableColumn id="10230" xr3:uid="{187B4D8B-8D92-4B01-A133-4C28B3468189}" name="Column10223"/>
    <tableColumn id="10231" xr3:uid="{CC746262-D284-4139-839F-9B3D95C49D3A}" name="Column10224"/>
    <tableColumn id="10232" xr3:uid="{C0028594-0F91-4343-A5F6-03633672F868}" name="Column10225"/>
    <tableColumn id="10233" xr3:uid="{39EDBF51-ED2B-4C78-90F9-E3C812CCF7BF}" name="Column10226"/>
    <tableColumn id="10234" xr3:uid="{99D404AA-B952-4C43-BC6F-622E0F6C8665}" name="Column10227"/>
    <tableColumn id="10235" xr3:uid="{8F1D71BB-743D-4A77-88A0-E4797B8B54C2}" name="Column10228"/>
    <tableColumn id="10236" xr3:uid="{BCD8B60C-38A8-4911-9AA6-89108C5EBE9A}" name="Column10229"/>
    <tableColumn id="10237" xr3:uid="{DE09F549-6A95-4D4B-8376-A43257F2F915}" name="Column10230"/>
    <tableColumn id="10238" xr3:uid="{5A58E54B-50AC-4C40-A626-A61A90AE5A69}" name="Column10231"/>
    <tableColumn id="10239" xr3:uid="{D5BA0208-60DA-431E-9097-9DCFC5766078}" name="Column10232"/>
    <tableColumn id="10240" xr3:uid="{39E0AC0E-F040-4BAB-A6C7-86C45CBEC6F5}" name="Column10233"/>
    <tableColumn id="10241" xr3:uid="{CB67DB3C-C69D-4450-8643-E4FB52708ACB}" name="Column10234"/>
    <tableColumn id="10242" xr3:uid="{7AC7F601-AFC9-4BFE-BB7A-AC3B868C75A0}" name="Column10235"/>
    <tableColumn id="10243" xr3:uid="{849529A6-B8F0-4274-800B-53E310D4A93C}" name="Column10236"/>
    <tableColumn id="10244" xr3:uid="{6C45915B-31E9-4639-8AD6-42DEE9819B2A}" name="Column10237"/>
    <tableColumn id="10245" xr3:uid="{F1993859-4DE9-4A3C-A0EC-725EE2EC901A}" name="Column10238"/>
    <tableColumn id="10246" xr3:uid="{0B5BCE5E-CCAF-43A3-AAE3-7B0AA9F276A7}" name="Column10239"/>
    <tableColumn id="10247" xr3:uid="{C3C72295-B2C6-4229-A60C-04D0B5EAE456}" name="Column10240"/>
    <tableColumn id="10248" xr3:uid="{5DD0400B-6D31-474D-8028-12638F497DA8}" name="Column10241"/>
    <tableColumn id="10249" xr3:uid="{9C624136-0EA1-439B-B82C-CECF096C6730}" name="Column10242"/>
    <tableColumn id="10250" xr3:uid="{801C9874-F31B-4DB5-98B5-6BC4FA513D1D}" name="Column10243"/>
    <tableColumn id="10251" xr3:uid="{B5BEF45C-180C-4FB6-BD78-71B6C77E1670}" name="Column10244"/>
    <tableColumn id="10252" xr3:uid="{1AA9C1F8-12A6-40AE-AA8A-B6E4540CFF25}" name="Column10245"/>
    <tableColumn id="10253" xr3:uid="{D5EAEEC8-46A8-4A32-BC66-18A890875A33}" name="Column10246"/>
    <tableColumn id="10254" xr3:uid="{E1059321-AD0C-4CAF-BC4D-ABBD2B2B3EE6}" name="Column10247"/>
    <tableColumn id="10255" xr3:uid="{FE660BDE-DAD7-413C-93ED-CBBE9F847E4A}" name="Column10248"/>
    <tableColumn id="10256" xr3:uid="{E8B11D0F-CAFD-4992-8508-51EBF799A73E}" name="Column10249"/>
    <tableColumn id="10257" xr3:uid="{1A765FFF-59B5-4269-ADE5-A5025806CD8E}" name="Column10250"/>
    <tableColumn id="10258" xr3:uid="{152B02B7-2886-415A-BA3F-DA032A1911BF}" name="Column10251"/>
    <tableColumn id="10259" xr3:uid="{ABCE86EB-E097-4243-92E9-CBDAD8FFCC09}" name="Column10252"/>
    <tableColumn id="10260" xr3:uid="{8C86F6C6-9F1B-4A14-9979-7347521AEC58}" name="Column10253"/>
    <tableColumn id="10261" xr3:uid="{68DBD8A8-1185-4712-BE52-22BD4B7D0AFF}" name="Column10254"/>
    <tableColumn id="10262" xr3:uid="{AC7A9A42-5B13-404D-BFA3-D8853188C42B}" name="Column10255"/>
    <tableColumn id="10263" xr3:uid="{F5801EBC-7461-4AA2-BFBA-68DC9E90F2B4}" name="Column10256"/>
    <tableColumn id="10264" xr3:uid="{1763159B-E814-4F94-B0DC-4BEBF0D0FC5C}" name="Column10257"/>
    <tableColumn id="10265" xr3:uid="{D2D849BF-B4C8-4554-98CE-D2D2009CD5C6}" name="Column10258"/>
    <tableColumn id="10266" xr3:uid="{798593CC-EE1E-435F-8D92-CFCE6C968438}" name="Column10259"/>
    <tableColumn id="10267" xr3:uid="{E7965157-8E54-4113-A803-DB38A652E41A}" name="Column10260"/>
    <tableColumn id="10268" xr3:uid="{2DB61ADE-2AE9-48E7-8537-E996283BC84E}" name="Column10261"/>
    <tableColumn id="10269" xr3:uid="{804E11F6-9426-4767-9601-62662EF62BA0}" name="Column10262"/>
    <tableColumn id="10270" xr3:uid="{22C975F1-A5C6-4597-8DD7-5BFF421D8FEE}" name="Column10263"/>
    <tableColumn id="10271" xr3:uid="{3F541507-9E0C-4F8C-AB39-4F4211AFC96E}" name="Column10264"/>
    <tableColumn id="10272" xr3:uid="{CB811B9F-A48E-4A14-989E-AAFC8883F36C}" name="Column10265"/>
    <tableColumn id="10273" xr3:uid="{2D1364DB-2848-4DE3-B885-E5E5BF474390}" name="Column10266"/>
    <tableColumn id="10274" xr3:uid="{7AAB1078-7DED-4BD8-8AA7-DDEBD024C717}" name="Column10267"/>
    <tableColumn id="10275" xr3:uid="{89008386-4A03-405C-80ED-A4361CDE2B19}" name="Column10268"/>
    <tableColumn id="10276" xr3:uid="{72019844-55AB-4A62-8127-6E32545DCD89}" name="Column10269"/>
    <tableColumn id="10277" xr3:uid="{E061614F-B91A-454C-823F-825199BDF4E2}" name="Column10270"/>
    <tableColumn id="10278" xr3:uid="{644E40CA-C36E-4890-A707-7B6CE79B9BD3}" name="Column10271"/>
    <tableColumn id="10279" xr3:uid="{0D1D34D0-0BAA-4BCB-8DC6-C035C32797D2}" name="Column10272"/>
    <tableColumn id="10280" xr3:uid="{F7758122-6C84-4627-8BA0-93D316B59959}" name="Column10273"/>
    <tableColumn id="10281" xr3:uid="{5493D1F1-43E9-4BC0-9351-61164BBFB711}" name="Column10274"/>
    <tableColumn id="10282" xr3:uid="{AFB3F50D-A874-42AD-9034-E810CC3526D5}" name="Column10275"/>
    <tableColumn id="10283" xr3:uid="{A061DAC0-2848-4062-A9B7-8C221D635A92}" name="Column10276"/>
    <tableColumn id="10284" xr3:uid="{CC2A860B-63E8-476E-90B0-F79C7DEE4BBC}" name="Column10277"/>
    <tableColumn id="10285" xr3:uid="{5F6A7C59-8390-49A8-8881-D0A47D253FAE}" name="Column10278"/>
    <tableColumn id="10286" xr3:uid="{6F2531EE-397E-42A1-97C2-F3DF974E5670}" name="Column10279"/>
    <tableColumn id="10287" xr3:uid="{7987C07D-FAA5-4402-9745-9BB0C57C3EFB}" name="Column10280"/>
    <tableColumn id="10288" xr3:uid="{A250E720-8BEB-4319-94BD-09C54CACD00B}" name="Column10281"/>
    <tableColumn id="10289" xr3:uid="{A45C715F-CF13-4EA2-AE02-5C46DF4746AA}" name="Column10282"/>
    <tableColumn id="10290" xr3:uid="{E51C7783-5924-4514-8BD7-A8650D839315}" name="Column10283"/>
    <tableColumn id="10291" xr3:uid="{012F4312-F623-4EF5-8706-D0668819F3A2}" name="Column10284"/>
    <tableColumn id="10292" xr3:uid="{B0F4F5F4-2A20-44E8-B563-3B2E7D4AA153}" name="Column10285"/>
    <tableColumn id="10293" xr3:uid="{F24B2B68-1C31-4706-AF27-CD63112BD3B9}" name="Column10286"/>
    <tableColumn id="10294" xr3:uid="{599E9760-B40F-4125-8ACC-ED62F10C7178}" name="Column10287"/>
    <tableColumn id="10295" xr3:uid="{58A75183-7BC6-4AE3-B659-DF853648FF56}" name="Column10288"/>
    <tableColumn id="10296" xr3:uid="{D9E96CF5-E0E8-4706-8742-7255AC1A45E9}" name="Column10289"/>
    <tableColumn id="10297" xr3:uid="{F7223507-596C-4CE3-895D-4F9053EFD7DB}" name="Column10290"/>
    <tableColumn id="10298" xr3:uid="{D3BAE8E9-0621-4715-A876-4FC3BDAE325A}" name="Column10291"/>
    <tableColumn id="10299" xr3:uid="{D3A75301-E96A-49DD-B94B-3EB882ABD851}" name="Column10292"/>
    <tableColumn id="10300" xr3:uid="{F4C2652F-40D2-4B33-B568-ABDEF95C6885}" name="Column10293"/>
    <tableColumn id="10301" xr3:uid="{34FCE4A6-3299-4F95-931B-4DB1B6B57653}" name="Column10294"/>
    <tableColumn id="10302" xr3:uid="{E6D776D9-CEB2-4C4C-B63C-314F39B7E6D4}" name="Column10295"/>
    <tableColumn id="10303" xr3:uid="{050CCBCF-AB99-49F2-8156-08B92F5A2475}" name="Column10296"/>
    <tableColumn id="10304" xr3:uid="{27285366-CA16-41CA-BF82-A6C2AE129F25}" name="Column10297"/>
    <tableColumn id="10305" xr3:uid="{F8F4095F-3873-449B-825B-9F74FCA26E88}" name="Column10298"/>
    <tableColumn id="10306" xr3:uid="{B3133ADC-AF81-4E26-8BB3-C3A3F448EEFC}" name="Column10299"/>
    <tableColumn id="10307" xr3:uid="{DDBFF394-A8BD-401B-98C4-4BE33680AC99}" name="Column10300"/>
    <tableColumn id="10308" xr3:uid="{253F1375-52F0-4235-B261-99850F0F3873}" name="Column10301"/>
    <tableColumn id="10309" xr3:uid="{9344508E-725F-417A-8546-C35D37C1ACB3}" name="Column10302"/>
    <tableColumn id="10310" xr3:uid="{5C1AE3DF-BC24-4F89-A060-8086862A72E4}" name="Column10303"/>
    <tableColumn id="10311" xr3:uid="{8E3CEB11-5E64-4CDA-B835-D60C889C2A46}" name="Column10304"/>
    <tableColumn id="10312" xr3:uid="{CABCD03F-DB36-4C77-B76C-CA849D8CFC3B}" name="Column10305"/>
    <tableColumn id="10313" xr3:uid="{E4E58672-085D-44D5-AF29-E3974626C722}" name="Column10306"/>
    <tableColumn id="10314" xr3:uid="{FB7A081E-DBA1-43EB-B7AF-DAE9F8F8D364}" name="Column10307"/>
    <tableColumn id="10315" xr3:uid="{976D90A1-4260-4ADB-AB6A-B1E1537D2DF5}" name="Column10308"/>
    <tableColumn id="10316" xr3:uid="{911C339B-9898-4CE3-9141-F1486BDDE660}" name="Column10309"/>
    <tableColumn id="10317" xr3:uid="{AA96244A-F3D5-4442-A537-52A457A7FF94}" name="Column10310"/>
    <tableColumn id="10318" xr3:uid="{F038B3F8-B7FA-46DE-96D0-878D286BE13F}" name="Column10311"/>
    <tableColumn id="10319" xr3:uid="{8F131CEB-2FD1-4454-9355-ED00A80CE43C}" name="Column10312"/>
    <tableColumn id="10320" xr3:uid="{A0329792-F186-425D-92F4-CE84A6010D5A}" name="Column10313"/>
    <tableColumn id="10321" xr3:uid="{682B25E2-EAF1-4057-812E-FD3FC83CC36B}" name="Column10314"/>
    <tableColumn id="10322" xr3:uid="{9286C280-389F-4ABE-AFEB-4C770983C1B1}" name="Column10315"/>
    <tableColumn id="10323" xr3:uid="{9AED9F3D-721B-482F-9F9C-1347FF7266F7}" name="Column10316"/>
    <tableColumn id="10324" xr3:uid="{05FCFD46-99BE-4B75-B40C-C6B710F499F2}" name="Column10317"/>
    <tableColumn id="10325" xr3:uid="{5EE92C25-CB11-48DB-8D48-3CEFFFFC1600}" name="Column10318"/>
    <tableColumn id="10326" xr3:uid="{557A4601-E272-4856-B72B-BCCC828A7C04}" name="Column10319"/>
    <tableColumn id="10327" xr3:uid="{53678032-B213-47F0-80F4-7DD6AC6A6A6F}" name="Column10320"/>
    <tableColumn id="10328" xr3:uid="{0723BA5C-425E-4D4D-8E14-492922D980ED}" name="Column10321"/>
    <tableColumn id="10329" xr3:uid="{CBD5BF37-59F2-42A3-985B-84B7A855A8DB}" name="Column10322"/>
    <tableColumn id="10330" xr3:uid="{ED7A56E8-9FE0-4B6A-AAB0-7715B1F52942}" name="Column10323"/>
    <tableColumn id="10331" xr3:uid="{ABF6E847-AAC9-4765-9E34-CEB129CC70E6}" name="Column10324"/>
    <tableColumn id="10332" xr3:uid="{C9AF33D9-885C-4999-85F0-CCCB25427BB8}" name="Column10325"/>
    <tableColumn id="10333" xr3:uid="{F640E972-960C-4CFC-BE48-8385719A944E}" name="Column10326"/>
    <tableColumn id="10334" xr3:uid="{D842D18F-F653-4380-A709-ABDD49798A8D}" name="Column10327"/>
    <tableColumn id="10335" xr3:uid="{C25656A9-8752-4DF0-BE4C-7732730FFE61}" name="Column10328"/>
    <tableColumn id="10336" xr3:uid="{3F09E32F-CCE1-4C82-9ADF-1B99E1A54E16}" name="Column10329"/>
    <tableColumn id="10337" xr3:uid="{302D411F-7463-4982-85B0-5454DB1BF888}" name="Column10330"/>
    <tableColumn id="10338" xr3:uid="{F815D8C6-0C55-486B-9F56-58CFEED16E1E}" name="Column10331"/>
    <tableColumn id="10339" xr3:uid="{6C8EF6CA-ABD6-4C18-B1D2-A87BDB9FF051}" name="Column10332"/>
    <tableColumn id="10340" xr3:uid="{7392FD06-2282-495D-89F4-3A88689BCB9B}" name="Column10333"/>
    <tableColumn id="10341" xr3:uid="{FE899F8B-5175-4E9F-8877-23F9F6F00F05}" name="Column10334"/>
    <tableColumn id="10342" xr3:uid="{612C9DEA-5A6A-423C-8FDA-DCB94E0E5269}" name="Column10335"/>
    <tableColumn id="10343" xr3:uid="{A989672E-D851-4CAA-AA00-D708BA5559FC}" name="Column10336"/>
    <tableColumn id="10344" xr3:uid="{E6EE40F7-A725-456E-AEA7-139A4A79FB17}" name="Column10337"/>
    <tableColumn id="10345" xr3:uid="{32417302-CD83-488C-8F97-AD6CDF44C464}" name="Column10338"/>
    <tableColumn id="10346" xr3:uid="{B20E19A3-2C86-40F4-8B72-903C4575400B}" name="Column10339"/>
    <tableColumn id="10347" xr3:uid="{042647AE-2E00-4EF1-BB59-E344080DFB9F}" name="Column10340"/>
    <tableColumn id="10348" xr3:uid="{91C9001F-B191-4988-AF1B-D6FD74DB88DB}" name="Column10341"/>
    <tableColumn id="10349" xr3:uid="{F342AFC1-CAE6-4E9D-A7B3-8E35F4ED900F}" name="Column10342"/>
    <tableColumn id="10350" xr3:uid="{BA517811-59E7-4610-9170-464E8238373E}" name="Column10343"/>
    <tableColumn id="10351" xr3:uid="{34A75692-B70D-426F-8032-69D085EFF533}" name="Column10344"/>
    <tableColumn id="10352" xr3:uid="{BEFE5696-3A0D-4EAB-ACE6-9F2F304249A9}" name="Column10345"/>
    <tableColumn id="10353" xr3:uid="{BC1DC7AB-8797-47B2-8DDA-B671E2C553A1}" name="Column10346"/>
    <tableColumn id="10354" xr3:uid="{7E355628-E38E-440C-ABDB-91E52D7B6350}" name="Column10347"/>
    <tableColumn id="10355" xr3:uid="{A0A6B873-6F77-426B-B997-66416C6128F7}" name="Column10348"/>
    <tableColumn id="10356" xr3:uid="{F543AD9E-889B-4108-9866-70A25D3A9A9C}" name="Column10349"/>
    <tableColumn id="10357" xr3:uid="{A4BD3904-CE05-4C08-90AD-35A4FC465F09}" name="Column10350"/>
    <tableColumn id="10358" xr3:uid="{590DD624-024E-4E34-A1DD-E35139BBC2BD}" name="Column10351"/>
    <tableColumn id="10359" xr3:uid="{87A7AEFE-0C90-4D4F-972E-BCD4CA330292}" name="Column10352"/>
    <tableColumn id="10360" xr3:uid="{D1A554A7-D1B1-443A-B58B-A4BC7401F481}" name="Column10353"/>
    <tableColumn id="10361" xr3:uid="{BE9A4B7A-C09E-4CB7-A813-93764496DF99}" name="Column10354"/>
    <tableColumn id="10362" xr3:uid="{E80B89AA-D825-4A05-9F3C-0D2B1215AFD7}" name="Column10355"/>
    <tableColumn id="10363" xr3:uid="{42749778-30EA-4864-9694-D86CA29A2D5B}" name="Column10356"/>
    <tableColumn id="10364" xr3:uid="{C81D2E11-F6AC-4A88-9331-EC299EC9B895}" name="Column10357"/>
    <tableColumn id="10365" xr3:uid="{8A8BD3E8-D397-499D-B76F-A2AE537F5A74}" name="Column10358"/>
    <tableColumn id="10366" xr3:uid="{DC9D6A26-4E0E-4430-A14D-B1614FA1E647}" name="Column10359"/>
    <tableColumn id="10367" xr3:uid="{8B734490-CF8C-496B-8413-C681D641DC76}" name="Column10360"/>
    <tableColumn id="10368" xr3:uid="{B1C52710-BD13-4AFD-A8FF-699AA5F0A6F1}" name="Column10361"/>
    <tableColumn id="10369" xr3:uid="{0F989043-A3CE-43C8-B815-448CA9833B58}" name="Column10362"/>
    <tableColumn id="10370" xr3:uid="{693BABD0-D25A-4609-8D2E-71A3EA887565}" name="Column10363"/>
    <tableColumn id="10371" xr3:uid="{676BC7C0-33F0-46BC-8D76-DC154E26AC16}" name="Column10364"/>
    <tableColumn id="10372" xr3:uid="{2F395855-1D03-4412-92D3-05425FCECA68}" name="Column10365"/>
    <tableColumn id="10373" xr3:uid="{827B397C-DE4F-4A57-A40A-D38BDBBEC9B2}" name="Column10366"/>
    <tableColumn id="10374" xr3:uid="{3D4244C2-BF54-404A-93E7-24F25088B93C}" name="Column10367"/>
    <tableColumn id="10375" xr3:uid="{392A42B4-53CD-4F31-AA72-28802CC71465}" name="Column10368"/>
    <tableColumn id="10376" xr3:uid="{5719190B-640C-4EB6-883C-0CA3BDA0F1C0}" name="Column10369"/>
    <tableColumn id="10377" xr3:uid="{5496A76E-6531-430C-897E-642D753D1038}" name="Column10370"/>
    <tableColumn id="10378" xr3:uid="{B98851B7-B7DF-4E0D-B376-35C16FA63771}" name="Column10371"/>
    <tableColumn id="10379" xr3:uid="{25E163A6-98D1-4BCD-87FA-299D984D3764}" name="Column10372"/>
    <tableColumn id="10380" xr3:uid="{8C99717D-B972-4D2C-BC95-348C54D960E7}" name="Column10373"/>
    <tableColumn id="10381" xr3:uid="{D58E9B4A-3525-43AA-AF1C-0C1F46BCB1EA}" name="Column10374"/>
    <tableColumn id="10382" xr3:uid="{F3CB4A00-2DE0-49BD-AB8B-7F09736023DE}" name="Column10375"/>
    <tableColumn id="10383" xr3:uid="{3F6C8A0D-4BB8-40D1-8BD3-DF4B6783963A}" name="Column10376"/>
    <tableColumn id="10384" xr3:uid="{9BA4C0C4-6E69-4E4F-8534-F7B6FEC24235}" name="Column10377"/>
    <tableColumn id="10385" xr3:uid="{8C73292B-6B0B-43D1-A795-4713B18A2F22}" name="Column10378"/>
    <tableColumn id="10386" xr3:uid="{E95688D9-C44C-4AB8-A9AF-85C3519F0A65}" name="Column10379"/>
    <tableColumn id="10387" xr3:uid="{4DC302F5-108E-47DE-B9D8-910093FAD1A6}" name="Column10380"/>
    <tableColumn id="10388" xr3:uid="{09E5909D-B25E-4B00-B594-099CF275F0DB}" name="Column10381"/>
    <tableColumn id="10389" xr3:uid="{9ED46E59-9CE5-49A2-B277-D70120D4EB5E}" name="Column10382"/>
    <tableColumn id="10390" xr3:uid="{F86123F6-8AD7-496D-98BF-0E0712821122}" name="Column10383"/>
    <tableColumn id="10391" xr3:uid="{E158086A-49B7-47FC-A81B-211BCD4856B3}" name="Column10384"/>
    <tableColumn id="10392" xr3:uid="{2D730130-AAFF-4DCC-A5F3-7A00EB1A65D3}" name="Column10385"/>
    <tableColumn id="10393" xr3:uid="{B437D28A-C4C4-44F2-A5C7-CF7290FE413F}" name="Column10386"/>
    <tableColumn id="10394" xr3:uid="{C2645C67-91BE-4D50-B117-FC8F625255AE}" name="Column10387"/>
    <tableColumn id="10395" xr3:uid="{7A596920-836E-4E5D-8710-98DB4F941C87}" name="Column10388"/>
    <tableColumn id="10396" xr3:uid="{F0443BA6-5E9B-455F-9E45-84D02F640EAD}" name="Column10389"/>
    <tableColumn id="10397" xr3:uid="{AFCCD064-A0B8-4E21-93E6-01B11DE51664}" name="Column10390"/>
    <tableColumn id="10398" xr3:uid="{E3511B74-F391-4378-849B-F5F83BFAACE0}" name="Column10391"/>
    <tableColumn id="10399" xr3:uid="{2E79F129-AF7A-4137-A421-65FAF45FE74F}" name="Column10392"/>
    <tableColumn id="10400" xr3:uid="{EDB9DEFB-BCB5-4DC8-BC25-FF4D15950A59}" name="Column10393"/>
    <tableColumn id="10401" xr3:uid="{42161D59-E61C-462F-AB0A-B8AE14B804DB}" name="Column10394"/>
    <tableColumn id="10402" xr3:uid="{68E6E2D5-39EE-4C4E-B0E3-5595794B1E91}" name="Column10395"/>
    <tableColumn id="10403" xr3:uid="{2BAB74B6-4200-4A36-A9D6-DF1FCEEEA67F}" name="Column10396"/>
    <tableColumn id="10404" xr3:uid="{27C6B8D0-C0DD-4254-BBCC-0515B3FED94C}" name="Column10397"/>
    <tableColumn id="10405" xr3:uid="{E7D80E44-D9BF-424C-957F-054ED3BECFE7}" name="Column10398"/>
    <tableColumn id="10406" xr3:uid="{987C589B-5361-4BED-8A08-9207DB35D9A4}" name="Column10399"/>
    <tableColumn id="10407" xr3:uid="{088693CD-0BBC-42E3-A673-F72AE8B56B92}" name="Column10400"/>
    <tableColumn id="10408" xr3:uid="{2F23205F-6505-4952-94E0-BB745338CAE2}" name="Column10401"/>
    <tableColumn id="10409" xr3:uid="{B06056EC-4903-4B7C-8D58-51CA3B6EAD2C}" name="Column10402"/>
    <tableColumn id="10410" xr3:uid="{056C7AA1-8DB1-40F4-B25B-788F8D25B3DE}" name="Column10403"/>
    <tableColumn id="10411" xr3:uid="{65B182FF-7306-4031-96A8-9F3DC07EB029}" name="Column10404"/>
    <tableColumn id="10412" xr3:uid="{8D0C9D0D-83D9-49D0-B047-46D845BE2FAA}" name="Column10405"/>
    <tableColumn id="10413" xr3:uid="{B87A9A53-43DD-4783-ABCC-ED434A8E1B54}" name="Column10406"/>
    <tableColumn id="10414" xr3:uid="{DFD2240E-8BD6-4E21-85D1-188DFE84E92C}" name="Column10407"/>
    <tableColumn id="10415" xr3:uid="{6FE56A13-5CEE-4397-90F7-CC5E4F2CFCE2}" name="Column10408"/>
    <tableColumn id="10416" xr3:uid="{2F8AE701-B289-4376-8B5C-95D0243EE795}" name="Column10409"/>
    <tableColumn id="10417" xr3:uid="{3D7481B8-A28B-42AB-ACF6-568C97DF8932}" name="Column10410"/>
    <tableColumn id="10418" xr3:uid="{EFC2C8EA-25D3-4D56-89F2-899B516A77C9}" name="Column10411"/>
    <tableColumn id="10419" xr3:uid="{1DD9DBD4-917A-4091-BEAD-717BF71E2B80}" name="Column10412"/>
    <tableColumn id="10420" xr3:uid="{86277130-16E5-4422-BFED-13406E4202A7}" name="Column10413"/>
    <tableColumn id="10421" xr3:uid="{A0F1275C-98B5-4BE0-8C58-0058CA763AC5}" name="Column10414"/>
    <tableColumn id="10422" xr3:uid="{0A35414D-6AD5-47E4-8D5A-2414CD1D14D3}" name="Column10415"/>
    <tableColumn id="10423" xr3:uid="{98EAF014-0DD3-4C08-B7E1-F20A83CA7DED}" name="Column10416"/>
    <tableColumn id="10424" xr3:uid="{6CB8A4A7-1381-4B4A-9C74-99B783173523}" name="Column10417"/>
    <tableColumn id="10425" xr3:uid="{5F3FC2DD-59C4-4917-BF85-CA5DC6A3B9A2}" name="Column10418"/>
    <tableColumn id="10426" xr3:uid="{86231393-BD93-440D-AAE1-C2F9D279E440}" name="Column10419"/>
    <tableColumn id="10427" xr3:uid="{959391C8-FB2A-4B36-82BF-FAE31EF50950}" name="Column10420"/>
    <tableColumn id="10428" xr3:uid="{0A7D12E2-34FA-4357-A133-AFC513189317}" name="Column10421"/>
    <tableColumn id="10429" xr3:uid="{FA662CA1-DA2E-4FD6-8611-DEE4BEE31459}" name="Column10422"/>
    <tableColumn id="10430" xr3:uid="{043F53BB-24DD-44FE-9D47-1843DD4B4A81}" name="Column10423"/>
    <tableColumn id="10431" xr3:uid="{D26ED1F2-7956-4769-9CD0-48AC65F8FA0F}" name="Column10424"/>
    <tableColumn id="10432" xr3:uid="{844CB99A-5F4B-4B87-82B7-34551CF20AB8}" name="Column10425"/>
    <tableColumn id="10433" xr3:uid="{8CBB0849-3B4A-41F4-B589-33D43359C001}" name="Column10426"/>
    <tableColumn id="10434" xr3:uid="{9B3108E6-DDA5-46B4-94C1-6A3FA07475E2}" name="Column10427"/>
    <tableColumn id="10435" xr3:uid="{014ECCC8-0578-491C-903F-96FE321B71E6}" name="Column10428"/>
    <tableColumn id="10436" xr3:uid="{7C7BE672-978B-4499-8A4D-75F6ED0F149B}" name="Column10429"/>
    <tableColumn id="10437" xr3:uid="{888A8DCB-1DDC-479D-A226-B84C8E2DD50A}" name="Column10430"/>
    <tableColumn id="10438" xr3:uid="{139DB365-3F12-4CBE-B7AF-2C0D52C6290D}" name="Column10431"/>
    <tableColumn id="10439" xr3:uid="{58F663A1-56A7-4D67-BEE9-FD91F55DF880}" name="Column10432"/>
    <tableColumn id="10440" xr3:uid="{D4C2E23C-57EF-417A-8B11-3B84655DB88C}" name="Column10433"/>
    <tableColumn id="10441" xr3:uid="{D233F0BD-D484-444B-8D71-1C7E02C72DEE}" name="Column10434"/>
    <tableColumn id="10442" xr3:uid="{52090E0E-2591-4A28-A864-9806F4EFDB17}" name="Column10435"/>
    <tableColumn id="10443" xr3:uid="{A12B80BF-ECC4-4079-8339-848C998E1A1B}" name="Column10436"/>
    <tableColumn id="10444" xr3:uid="{E1B4E1D2-5BA1-4549-8B22-F0051FF7AA27}" name="Column10437"/>
    <tableColumn id="10445" xr3:uid="{4B87C30E-897C-4A58-8233-90AD15883924}" name="Column10438"/>
    <tableColumn id="10446" xr3:uid="{6AAF714C-C0EF-4840-B3CA-877B38F6A314}" name="Column10439"/>
    <tableColumn id="10447" xr3:uid="{BA5E7FDD-2926-47AB-8E90-028E7F2E1FF0}" name="Column10440"/>
    <tableColumn id="10448" xr3:uid="{B0937AAB-ADAF-4A4C-A805-649E929C5448}" name="Column10441"/>
    <tableColumn id="10449" xr3:uid="{FAA7D88D-6912-4575-8FC8-894BC2993713}" name="Column10442"/>
    <tableColumn id="10450" xr3:uid="{54863E6E-224F-49C1-9393-2AC7D33283A3}" name="Column10443"/>
    <tableColumn id="10451" xr3:uid="{A8C6452F-CAC1-4C72-A823-24046312387F}" name="Column10444"/>
    <tableColumn id="10452" xr3:uid="{7CED23A8-DB47-4312-896A-3669A730F385}" name="Column10445"/>
    <tableColumn id="10453" xr3:uid="{4ECF2118-65B3-4A83-9DEF-E73CB75398E9}" name="Column10446"/>
    <tableColumn id="10454" xr3:uid="{80C08B4C-A33B-4017-B12A-CCA2AB44AAE4}" name="Column10447"/>
    <tableColumn id="10455" xr3:uid="{90CF4A28-2C65-4002-AB53-5D78DB33D75B}" name="Column10448"/>
    <tableColumn id="10456" xr3:uid="{CF88C653-444A-4CD2-9F62-B26B530A9CF2}" name="Column10449"/>
    <tableColumn id="10457" xr3:uid="{80DF581C-AE17-4EDA-A7C4-F855FE8F32BE}" name="Column10450"/>
    <tableColumn id="10458" xr3:uid="{1C8343F4-C976-4CC3-BCCB-7987BF10B2B1}" name="Column10451"/>
    <tableColumn id="10459" xr3:uid="{3F6D3774-848F-400D-981C-4A4A95B5CC88}" name="Column10452"/>
    <tableColumn id="10460" xr3:uid="{368E073E-1A4E-4E0D-96CD-3B149F8F258E}" name="Column10453"/>
    <tableColumn id="10461" xr3:uid="{C3331F2A-A59D-4A90-875E-552750208446}" name="Column10454"/>
    <tableColumn id="10462" xr3:uid="{EA8DFB80-65FD-4EEE-BC75-5C83EAE20753}" name="Column10455"/>
    <tableColumn id="10463" xr3:uid="{AA035D9D-8E7D-4C46-90AA-2557D6543CB7}" name="Column10456"/>
    <tableColumn id="10464" xr3:uid="{8E5FF4D3-3D27-4EF7-B68F-A7D65287F305}" name="Column10457"/>
    <tableColumn id="10465" xr3:uid="{858DC87F-AC5C-4AE6-9154-19FA224D31A8}" name="Column10458"/>
    <tableColumn id="10466" xr3:uid="{E774824E-85C5-41A2-BC7B-689B4AD294C4}" name="Column10459"/>
    <tableColumn id="10467" xr3:uid="{5AAB2A3A-ACE9-431B-9A2C-6E2B54C3A628}" name="Column10460"/>
    <tableColumn id="10468" xr3:uid="{37B55265-8F06-49A7-89BC-8838C470DC6E}" name="Column10461"/>
    <tableColumn id="10469" xr3:uid="{A2260D7E-6BDE-4458-A069-6D3A4E96EBDB}" name="Column10462"/>
    <tableColumn id="10470" xr3:uid="{1ED9D846-7B3F-43AD-AFBC-2054C5D3884A}" name="Column10463"/>
    <tableColumn id="10471" xr3:uid="{394B0D92-7002-4B83-A3E2-8E18F5B1591F}" name="Column10464"/>
    <tableColumn id="10472" xr3:uid="{52DE5949-DAD3-49D0-A490-A1FFB0A941F3}" name="Column10465"/>
    <tableColumn id="10473" xr3:uid="{35034BA1-70FF-4EB8-847D-CB6370EF377C}" name="Column10466"/>
    <tableColumn id="10474" xr3:uid="{A0094187-DA22-48F7-A818-899B277323CF}" name="Column10467"/>
    <tableColumn id="10475" xr3:uid="{B2E7F8C0-9B5F-422B-9B5C-432CC632E1FA}" name="Column10468"/>
    <tableColumn id="10476" xr3:uid="{1FFA5764-3A3F-4EB2-BEA9-3897B47250C6}" name="Column10469"/>
    <tableColumn id="10477" xr3:uid="{D0DD5297-C7CA-4800-BA36-09388D02E39F}" name="Column10470"/>
    <tableColumn id="10478" xr3:uid="{D56B90D7-521A-4A22-B66C-B0AB8CBA9B98}" name="Column10471"/>
    <tableColumn id="10479" xr3:uid="{792F1FFB-FF8E-4B8B-AE12-CDFB80733068}" name="Column10472"/>
    <tableColumn id="10480" xr3:uid="{E5C239CB-F3A7-4265-B925-B91C8A211D05}" name="Column10473"/>
    <tableColumn id="10481" xr3:uid="{A0B353B5-0A08-4AC9-90AE-821DD123B2C2}" name="Column10474"/>
    <tableColumn id="10482" xr3:uid="{B5D2DA4E-CC6D-4F20-BCF8-5361C1218D98}" name="Column10475"/>
    <tableColumn id="10483" xr3:uid="{982F82B7-4F4A-4A8D-A4DB-B0BDB7C94157}" name="Column10476"/>
    <tableColumn id="10484" xr3:uid="{4A8E6AA2-0DC5-47ED-9CAC-2E17F699596E}" name="Column10477"/>
    <tableColumn id="10485" xr3:uid="{691EB726-0A62-4117-B362-D046BD825480}" name="Column10478"/>
    <tableColumn id="10486" xr3:uid="{8161B4D8-EF4E-46C4-8ACC-DDC7BC8FA7A7}" name="Column10479"/>
    <tableColumn id="10487" xr3:uid="{5B8C79C6-AF12-4175-9A99-017B399416B9}" name="Column10480"/>
    <tableColumn id="10488" xr3:uid="{DF321D4C-B911-4436-84F9-99EB29C15591}" name="Column10481"/>
    <tableColumn id="10489" xr3:uid="{B0A649D8-9D93-490D-BDEB-A9578F07DAE7}" name="Column10482"/>
    <tableColumn id="10490" xr3:uid="{27C4A5A1-A7E1-486E-8EE3-CE95A1B3AC95}" name="Column10483"/>
    <tableColumn id="10491" xr3:uid="{DF8BEA69-8A43-4EB7-A8D1-275C331CF233}" name="Column10484"/>
    <tableColumn id="10492" xr3:uid="{5E4D77B7-ECEE-41AB-A41A-81AECEB4C45C}" name="Column10485"/>
    <tableColumn id="10493" xr3:uid="{540689B9-F8C0-46BC-A128-76C2111B6DC5}" name="Column10486"/>
    <tableColumn id="10494" xr3:uid="{82A7D126-801C-4461-AB66-141086C8A0FF}" name="Column10487"/>
    <tableColumn id="10495" xr3:uid="{06C1B7FD-4107-43AD-A61B-15134F8F3D72}" name="Column10488"/>
    <tableColumn id="10496" xr3:uid="{267945EF-1587-4E4A-A831-DA1D8D3EA244}" name="Column10489"/>
    <tableColumn id="10497" xr3:uid="{00902F63-811B-4FD2-8127-34C688744283}" name="Column10490"/>
    <tableColumn id="10498" xr3:uid="{783B44D4-AFC2-4A88-81DC-A7C98CA20E1C}" name="Column10491"/>
    <tableColumn id="10499" xr3:uid="{BFE6D017-7D3D-4789-B05A-14FFE9F37B1B}" name="Column10492"/>
    <tableColumn id="10500" xr3:uid="{C0F32E01-88E8-4B07-840B-C7057534C5A5}" name="Column10493"/>
    <tableColumn id="10501" xr3:uid="{0BB9AF87-B1A5-4BC6-AFFF-D7EAA90529F7}" name="Column10494"/>
    <tableColumn id="10502" xr3:uid="{50380AB9-2295-486D-95B1-5E0812688BA6}" name="Column10495"/>
    <tableColumn id="10503" xr3:uid="{56D188B3-5E9E-454A-86A4-5C3BE44BDD73}" name="Column10496"/>
    <tableColumn id="10504" xr3:uid="{257BC1C7-DB0F-4D2F-80C6-DC191A40D99D}" name="Column10497"/>
    <tableColumn id="10505" xr3:uid="{46965153-70A3-4BF9-B2B6-F465169B917C}" name="Column10498"/>
    <tableColumn id="10506" xr3:uid="{871ACC7E-ADCE-4EF8-8679-E8FA57E48061}" name="Column10499"/>
    <tableColumn id="10507" xr3:uid="{555B8EC4-D623-46C3-B672-EA83505CA327}" name="Column10500"/>
    <tableColumn id="10508" xr3:uid="{9B54795B-A24E-410D-8905-D4C5AE87896E}" name="Column10501"/>
    <tableColumn id="10509" xr3:uid="{9D0F3B48-6FBC-4B15-9ECC-091960DEE58D}" name="Column10502"/>
    <tableColumn id="10510" xr3:uid="{AF60CDD4-0519-4A49-B46F-F796D1EDE151}" name="Column10503"/>
    <tableColumn id="10511" xr3:uid="{B0FDD8C4-7766-4E19-8A61-29E4B2027CF7}" name="Column10504"/>
    <tableColumn id="10512" xr3:uid="{5F550552-E153-4565-96EC-D70164F3BF1B}" name="Column10505"/>
    <tableColumn id="10513" xr3:uid="{BE16187A-0AE8-4163-ACA4-5134D7901F54}" name="Column10506"/>
    <tableColumn id="10514" xr3:uid="{9255B65B-AC5C-42E3-B6EE-6FFE69744BD9}" name="Column10507"/>
    <tableColumn id="10515" xr3:uid="{9AF838ED-F916-40AB-B828-D524ED931899}" name="Column10508"/>
    <tableColumn id="10516" xr3:uid="{6D76D4ED-4C81-4187-8240-B942650AA78B}" name="Column10509"/>
    <tableColumn id="10517" xr3:uid="{550669D4-C09D-44FB-9048-CB7A53A7C862}" name="Column10510"/>
    <tableColumn id="10518" xr3:uid="{F7C9F76C-FD80-4370-A0CD-AFAA0436955F}" name="Column10511"/>
    <tableColumn id="10519" xr3:uid="{626AE2F6-89FF-43E3-B064-A092905FAB51}" name="Column10512"/>
    <tableColumn id="10520" xr3:uid="{F9553C50-56AF-4CB7-BC96-24D5F39ED6E0}" name="Column10513"/>
    <tableColumn id="10521" xr3:uid="{89753439-79DC-44A6-BB15-B04ED8F5BE97}" name="Column10514"/>
    <tableColumn id="10522" xr3:uid="{2B47526A-F42F-418E-AA61-F8C7558B36E2}" name="Column10515"/>
    <tableColumn id="10523" xr3:uid="{219930DD-C48F-43CE-AB32-53F596A1689B}" name="Column10516"/>
    <tableColumn id="10524" xr3:uid="{46E8F611-9824-4E5B-9A74-C5A5EB508ECD}" name="Column10517"/>
    <tableColumn id="10525" xr3:uid="{597D4621-D872-4E45-815D-CE07762D1D0E}" name="Column10518"/>
    <tableColumn id="10526" xr3:uid="{025DFE87-F5C4-426B-A2DD-364C04960EA7}" name="Column10519"/>
    <tableColumn id="10527" xr3:uid="{58146CC1-3FA2-4AC7-802D-A7713CA7F90F}" name="Column10520"/>
    <tableColumn id="10528" xr3:uid="{836964EA-E66E-41B2-9004-8A7D1E5C3A5A}" name="Column10521"/>
    <tableColumn id="10529" xr3:uid="{D2EB0619-29A0-4E4D-BD07-C9289B8F7A02}" name="Column10522"/>
    <tableColumn id="10530" xr3:uid="{0CABEF63-931C-41B1-BCCA-E7510B9A9CF2}" name="Column10523"/>
    <tableColumn id="10531" xr3:uid="{6257E362-4241-45C9-A386-24409484890B}" name="Column10524"/>
    <tableColumn id="10532" xr3:uid="{18178D17-590C-40FE-9AD4-4B8880CC4535}" name="Column10525"/>
    <tableColumn id="10533" xr3:uid="{309D5B3E-E525-4D9C-8807-546791859D2C}" name="Column10526"/>
    <tableColumn id="10534" xr3:uid="{F43EAC2D-CD26-4E77-BE9A-EF9E4323DD00}" name="Column10527"/>
    <tableColumn id="10535" xr3:uid="{DBE2BAE4-8E63-48C2-865B-F0706CC571F9}" name="Column10528"/>
    <tableColumn id="10536" xr3:uid="{FE2519CA-A904-48F5-B4ED-FD1ED5C9A689}" name="Column10529"/>
    <tableColumn id="10537" xr3:uid="{D960591E-0E05-425B-8007-6A1D56802C0B}" name="Column10530"/>
    <tableColumn id="10538" xr3:uid="{393BF8C7-1E81-448F-93E9-AC131CDDECD3}" name="Column10531"/>
    <tableColumn id="10539" xr3:uid="{E89EFA29-BACD-44A3-8635-117595464024}" name="Column10532"/>
    <tableColumn id="10540" xr3:uid="{FB6CA950-0F3E-48AA-8B58-25BBADAB8DC7}" name="Column10533"/>
    <tableColumn id="10541" xr3:uid="{70C02647-6F5C-4DF2-9809-382CBCA23935}" name="Column10534"/>
    <tableColumn id="10542" xr3:uid="{1FFB22CF-216C-4596-BD2A-6628EAE10C2D}" name="Column10535"/>
    <tableColumn id="10543" xr3:uid="{47A070A1-5E41-440F-8175-0D79E29039BA}" name="Column10536"/>
    <tableColumn id="10544" xr3:uid="{36045C3A-0DCD-457F-9F5B-105EEFD45B03}" name="Column10537"/>
    <tableColumn id="10545" xr3:uid="{4C0FD109-0895-4610-B51A-6411D28D12A3}" name="Column10538"/>
    <tableColumn id="10546" xr3:uid="{5B709048-75F2-4D82-8544-36177EEC020C}" name="Column10539"/>
    <tableColumn id="10547" xr3:uid="{CC0B43A6-8AB1-4F8F-8DA2-FEFE9305AB55}" name="Column10540"/>
    <tableColumn id="10548" xr3:uid="{050015B9-0035-47EE-95DB-3D0BB82CBB5E}" name="Column10541"/>
    <tableColumn id="10549" xr3:uid="{EF9EA04B-F336-4567-AE3A-9120A9F01A83}" name="Column10542"/>
    <tableColumn id="10550" xr3:uid="{FAA33A9C-3280-4FE9-8934-994219D9AE98}" name="Column10543"/>
    <tableColumn id="10551" xr3:uid="{FC6201E7-7874-4342-864A-9667B1440621}" name="Column10544"/>
    <tableColumn id="10552" xr3:uid="{3C19393B-ABA5-4409-89E9-32FDB0FAAFD7}" name="Column10545"/>
    <tableColumn id="10553" xr3:uid="{327EC6A9-53A6-4D11-A0C7-C570B6105679}" name="Column10546"/>
    <tableColumn id="10554" xr3:uid="{D917A3E7-8D6E-412F-95DE-AE37EB8AC8A4}" name="Column10547"/>
    <tableColumn id="10555" xr3:uid="{BD58F99F-6DB3-4420-9B1D-E768B7EE4695}" name="Column10548"/>
    <tableColumn id="10556" xr3:uid="{F99EB9F9-4EDC-457B-80D3-B6F4FED15EC6}" name="Column10549"/>
    <tableColumn id="10557" xr3:uid="{162AF92B-92B3-45D2-A5B3-7DD25AAD9B5E}" name="Column10550"/>
    <tableColumn id="10558" xr3:uid="{FAD6C6ED-1FA0-4E09-AA09-41967F12819E}" name="Column10551"/>
    <tableColumn id="10559" xr3:uid="{E3DF354C-2150-45D7-81E4-1C51E9497B8E}" name="Column10552"/>
    <tableColumn id="10560" xr3:uid="{3DAC81C6-F0CF-4FF0-99B3-7BBFED192F83}" name="Column10553"/>
    <tableColumn id="10561" xr3:uid="{9795B83A-4A8D-471D-B85D-476974F21329}" name="Column10554"/>
    <tableColumn id="10562" xr3:uid="{04661D7A-28F7-4A70-8B11-3B6ABF1F9A28}" name="Column10555"/>
    <tableColumn id="10563" xr3:uid="{2AB2E0B7-EF1B-4102-9F76-AF589698B6C1}" name="Column10556"/>
    <tableColumn id="10564" xr3:uid="{0F789B3B-E39B-4F31-9613-812206B73A63}" name="Column10557"/>
    <tableColumn id="10565" xr3:uid="{5A8A1C3D-D966-452C-A51D-4411479DC64E}" name="Column10558"/>
    <tableColumn id="10566" xr3:uid="{24473C0A-A76D-4597-8964-AFAB8B5C8C5E}" name="Column10559"/>
    <tableColumn id="10567" xr3:uid="{AE59A7DE-4EF7-4199-8E49-1F2F72313990}" name="Column10560"/>
    <tableColumn id="10568" xr3:uid="{F0ABACA9-5EBB-4611-8F9E-C5A591CE8B68}" name="Column10561"/>
    <tableColumn id="10569" xr3:uid="{F3724332-E35C-4477-B112-3868A94A05EB}" name="Column10562"/>
    <tableColumn id="10570" xr3:uid="{9439605B-6169-4113-BDAA-9A95D24D95CC}" name="Column10563"/>
    <tableColumn id="10571" xr3:uid="{4DFC5EF3-AC58-4C3F-B072-50C41152E83B}" name="Column10564"/>
    <tableColumn id="10572" xr3:uid="{4B491962-3E0F-40E3-9189-00EEB6BFE088}" name="Column10565"/>
    <tableColumn id="10573" xr3:uid="{64431C90-66F4-49B6-9070-B39093623F08}" name="Column10566"/>
    <tableColumn id="10574" xr3:uid="{962BA608-CA20-4EBF-9DC1-DEC80B27CBBD}" name="Column10567"/>
    <tableColumn id="10575" xr3:uid="{285FCBBC-2345-4E24-9035-1F555D97006A}" name="Column10568"/>
    <tableColumn id="10576" xr3:uid="{571E4E18-1422-403B-9645-11EDF8B1E927}" name="Column10569"/>
    <tableColumn id="10577" xr3:uid="{3756178D-98BC-4CA7-898C-688DAD1AE41E}" name="Column10570"/>
    <tableColumn id="10578" xr3:uid="{4779EA38-79F2-4113-9873-FF46862EC946}" name="Column10571"/>
    <tableColumn id="10579" xr3:uid="{BACC1439-B07C-474E-BEE2-D05733952368}" name="Column10572"/>
    <tableColumn id="10580" xr3:uid="{F72CE0EA-C249-4ADA-AF7C-0A1168BF5795}" name="Column10573"/>
    <tableColumn id="10581" xr3:uid="{705BCD6D-6591-483F-8570-7B19B6FE63CC}" name="Column10574"/>
    <tableColumn id="10582" xr3:uid="{20B43F69-D51E-43D2-996B-F2FC07D7EF46}" name="Column10575"/>
    <tableColumn id="10583" xr3:uid="{F62617B8-5214-46C1-8014-9881AEF22FA0}" name="Column10576"/>
    <tableColumn id="10584" xr3:uid="{0431AAD8-9993-48C9-87BD-14442A80E510}" name="Column10577"/>
    <tableColumn id="10585" xr3:uid="{3CDEA439-4868-4A61-923A-0380FF6B0A63}" name="Column10578"/>
    <tableColumn id="10586" xr3:uid="{2B37B6DB-6C87-4DDA-B509-60EF04A6D368}" name="Column10579"/>
    <tableColumn id="10587" xr3:uid="{AE0806D7-8238-4BB9-8460-EEE82E22CB65}" name="Column10580"/>
    <tableColumn id="10588" xr3:uid="{AEA3A928-E08D-4C19-A884-8CB0898BDB15}" name="Column10581"/>
    <tableColumn id="10589" xr3:uid="{E2774E91-ED69-4A51-B10D-31B6ACDF9C04}" name="Column10582"/>
    <tableColumn id="10590" xr3:uid="{E47B8F2C-058A-460C-B600-BB804B56B85D}" name="Column10583"/>
    <tableColumn id="10591" xr3:uid="{7DF9531B-A718-4D94-AB28-097279151C27}" name="Column10584"/>
    <tableColumn id="10592" xr3:uid="{2DD3CFC4-458F-4E0A-957E-EB20689F731F}" name="Column10585"/>
    <tableColumn id="10593" xr3:uid="{7C04104E-F8E4-45C4-ACF4-7F0785CD45CA}" name="Column10586"/>
    <tableColumn id="10594" xr3:uid="{C43D8561-7E3B-48B8-9144-0580405FBA27}" name="Column10587"/>
    <tableColumn id="10595" xr3:uid="{8AC9D97D-8482-45B2-8385-3085F83AF30A}" name="Column10588"/>
    <tableColumn id="10596" xr3:uid="{0304C583-3470-4E9E-B182-DE790D31EA3A}" name="Column10589"/>
    <tableColumn id="10597" xr3:uid="{D999B30D-F5C8-4313-B75E-5281D9A71E7C}" name="Column10590"/>
    <tableColumn id="10598" xr3:uid="{1A4432F1-4EA8-4474-81C3-8B30621368DF}" name="Column10591"/>
    <tableColumn id="10599" xr3:uid="{18376629-D6D8-440D-99B2-32E489CBCAE1}" name="Column10592"/>
    <tableColumn id="10600" xr3:uid="{974F5655-370F-4D60-A91E-C0531991DB76}" name="Column10593"/>
    <tableColumn id="10601" xr3:uid="{C0B6E3BB-C0E4-4E5A-B103-AF8E0FF26A1E}" name="Column10594"/>
    <tableColumn id="10602" xr3:uid="{46AAE352-F935-46C2-83CD-534DF5143B06}" name="Column10595"/>
    <tableColumn id="10603" xr3:uid="{03647308-8092-4F32-AC31-3D08BEAB2E38}" name="Column10596"/>
    <tableColumn id="10604" xr3:uid="{2CA84EB3-BDE8-4075-98CE-AE134E61485D}" name="Column10597"/>
    <tableColumn id="10605" xr3:uid="{3D7B4B99-C339-4252-BE1D-FA2674A6C0A8}" name="Column10598"/>
    <tableColumn id="10606" xr3:uid="{87EB8F22-4088-428C-B053-6213747B3EDA}" name="Column10599"/>
    <tableColumn id="10607" xr3:uid="{3F80EC37-37A4-407C-AFD0-2288FB7A2653}" name="Column10600"/>
    <tableColumn id="10608" xr3:uid="{21ADD890-F020-4B68-923D-ECE388F85B74}" name="Column10601"/>
    <tableColumn id="10609" xr3:uid="{B682FFAC-A606-462E-AE07-F9B3CC3BDA1A}" name="Column10602"/>
    <tableColumn id="10610" xr3:uid="{8238F55F-A319-4331-AAFE-D57B3D0D64AC}" name="Column10603"/>
    <tableColumn id="10611" xr3:uid="{6F6BD5E3-DCCE-4E16-A77C-86ED5A746C5E}" name="Column10604"/>
    <tableColumn id="10612" xr3:uid="{1C9081A9-356B-4EF5-B134-3C67B0C676ED}" name="Column10605"/>
    <tableColumn id="10613" xr3:uid="{87A0D436-36DF-4D4A-BBB6-399C50488DB0}" name="Column10606"/>
    <tableColumn id="10614" xr3:uid="{A7615C39-06E9-4EA4-B189-155494D4AD1D}" name="Column10607"/>
    <tableColumn id="10615" xr3:uid="{834D7C6C-7F32-4ED7-9FC2-84D8E117836B}" name="Column10608"/>
    <tableColumn id="10616" xr3:uid="{110F09EF-BD9E-4DD2-9C8C-09D4EECC04C9}" name="Column10609"/>
    <tableColumn id="10617" xr3:uid="{300307A4-CDEE-4D94-9037-5DA030B77653}" name="Column10610"/>
    <tableColumn id="10618" xr3:uid="{A479159F-5576-44D9-8229-B2030304850A}" name="Column10611"/>
    <tableColumn id="10619" xr3:uid="{4E856FC8-16BD-4ED3-AF8E-C5C9E3303258}" name="Column10612"/>
    <tableColumn id="10620" xr3:uid="{A7BE280A-8F7F-4E72-A3EF-C18C02DED33C}" name="Column10613"/>
    <tableColumn id="10621" xr3:uid="{549E59CE-1434-4640-8BE4-6E3FA915BAEF}" name="Column10614"/>
    <tableColumn id="10622" xr3:uid="{DBD86BCD-0971-47B5-B726-0A04B109CBEC}" name="Column10615"/>
    <tableColumn id="10623" xr3:uid="{5E62E209-86C1-40B8-8564-76482C4D6A5A}" name="Column10616"/>
    <tableColumn id="10624" xr3:uid="{B8FCAB55-18A8-441E-B199-B6866952370A}" name="Column10617"/>
    <tableColumn id="10625" xr3:uid="{C70754C3-A1AC-4241-8A2A-C16F75202037}" name="Column10618"/>
    <tableColumn id="10626" xr3:uid="{3B87AF68-5274-4F71-817B-5E12A6802157}" name="Column10619"/>
    <tableColumn id="10627" xr3:uid="{F56DC6D3-DEB1-43DC-8BDD-E0198AC92884}" name="Column10620"/>
    <tableColumn id="10628" xr3:uid="{61437B78-96A4-437B-B5CA-183C52157543}" name="Column10621"/>
    <tableColumn id="10629" xr3:uid="{5E0D5747-2F99-4A20-90DF-70779785002E}" name="Column10622"/>
    <tableColumn id="10630" xr3:uid="{E4435D96-BC3D-4EE1-867B-1A04308F6560}" name="Column10623"/>
    <tableColumn id="10631" xr3:uid="{8A4F6063-3806-4F11-9677-066F81AD1061}" name="Column10624"/>
    <tableColumn id="10632" xr3:uid="{E5E1C6DA-BA4A-48E1-B44D-94B6B06E20BA}" name="Column10625"/>
    <tableColumn id="10633" xr3:uid="{14DB46F2-9669-4753-B24F-B8C7A534FC5D}" name="Column10626"/>
    <tableColumn id="10634" xr3:uid="{FB68A1C2-D04D-4409-9746-90897E100A02}" name="Column10627"/>
    <tableColumn id="10635" xr3:uid="{CA850A3F-A82F-4ACA-87F9-24DA626A3631}" name="Column10628"/>
    <tableColumn id="10636" xr3:uid="{9440EC00-2AB5-4A3A-A061-11EE760AC273}" name="Column10629"/>
    <tableColumn id="10637" xr3:uid="{91BE3A1D-24CC-4C50-B0B8-DAADC0813F92}" name="Column10630"/>
    <tableColumn id="10638" xr3:uid="{AD4B30E1-78A7-4C81-B018-4C4922FD9D6F}" name="Column10631"/>
    <tableColumn id="10639" xr3:uid="{0B6A5010-C1B3-49A2-AB4C-9B9BDEC81BEF}" name="Column10632"/>
    <tableColumn id="10640" xr3:uid="{36EA9317-BB4F-4EE2-9D9D-D0AF83686682}" name="Column10633"/>
    <tableColumn id="10641" xr3:uid="{A006F953-C82E-42AE-ACD6-9353E1D2B465}" name="Column10634"/>
    <tableColumn id="10642" xr3:uid="{227BB8FB-DE03-4850-820E-EB44FD1CC471}" name="Column10635"/>
    <tableColumn id="10643" xr3:uid="{6987EF12-D975-4452-BA41-89D9EB10030B}" name="Column10636"/>
    <tableColumn id="10644" xr3:uid="{4B1D3F2F-2FB4-43AD-9121-C7529FA9182E}" name="Column10637"/>
    <tableColumn id="10645" xr3:uid="{870A170A-D744-40F3-9C37-67D1DA2B0C10}" name="Column10638"/>
    <tableColumn id="10646" xr3:uid="{5CD90E24-57EB-446E-AE77-67FC58A9DFD4}" name="Column10639"/>
    <tableColumn id="10647" xr3:uid="{12750E7A-B79A-4ED6-A0C7-7991A072907A}" name="Column10640"/>
    <tableColumn id="10648" xr3:uid="{BBDF5617-9244-4BC3-90D2-07C0908A31A8}" name="Column10641"/>
    <tableColumn id="10649" xr3:uid="{6C7DE341-A7F5-4AEA-950F-0FB05B7E7F02}" name="Column10642"/>
    <tableColumn id="10650" xr3:uid="{EBEAB418-6648-4860-8793-50413F6A75D4}" name="Column10643"/>
    <tableColumn id="10651" xr3:uid="{179FCC82-3B33-4EE2-9066-69B01C1ACADF}" name="Column10644"/>
    <tableColumn id="10652" xr3:uid="{5AC4371C-6793-4B0C-A131-6AC49F6F5267}" name="Column10645"/>
    <tableColumn id="10653" xr3:uid="{0B817FA1-1EFB-4222-B74C-3E80B8A2B8C3}" name="Column10646"/>
    <tableColumn id="10654" xr3:uid="{CC513780-4E17-475E-B2D8-D3792B3FB28A}" name="Column10647"/>
    <tableColumn id="10655" xr3:uid="{DAF0D8D0-C235-41C2-B2AC-2B1DC0B4C3E3}" name="Column10648"/>
    <tableColumn id="10656" xr3:uid="{C2D0E930-A5A8-4B9B-938A-ADCE4EAB0609}" name="Column10649"/>
    <tableColumn id="10657" xr3:uid="{45FC840E-43D2-4EF5-ADC2-FDEBA0D40665}" name="Column10650"/>
    <tableColumn id="10658" xr3:uid="{15E0754D-491B-4D99-BB82-44A255BD299A}" name="Column10651"/>
    <tableColumn id="10659" xr3:uid="{6A5665CF-8644-4C7A-9695-6AE1DBAC8280}" name="Column10652"/>
    <tableColumn id="10660" xr3:uid="{23BE4778-9557-4F13-B862-EA878AF87847}" name="Column10653"/>
    <tableColumn id="10661" xr3:uid="{3224E196-AD69-4260-A5A1-C37A1557C5C1}" name="Column10654"/>
    <tableColumn id="10662" xr3:uid="{E58D8333-75B5-476C-8967-C6D27CD7EC99}" name="Column10655"/>
    <tableColumn id="10663" xr3:uid="{A16CC225-AF45-4298-B365-AB32C3D9C9D4}" name="Column10656"/>
    <tableColumn id="10664" xr3:uid="{CE5E1D62-EECF-4782-8DB7-9494EC86D7D2}" name="Column10657"/>
    <tableColumn id="10665" xr3:uid="{6DD2C47A-E8B5-402A-8A2D-6CA1A55B5A8E}" name="Column10658"/>
    <tableColumn id="10666" xr3:uid="{7C17173B-953F-4AF7-961F-F6714BD2ECD0}" name="Column10659"/>
    <tableColumn id="10667" xr3:uid="{D774C6B3-3410-481F-84EB-494BD9B7D8F5}" name="Column10660"/>
    <tableColumn id="10668" xr3:uid="{915CA5C9-E9A1-4313-9470-20362CBED3EF}" name="Column10661"/>
    <tableColumn id="10669" xr3:uid="{2D345022-3372-49C9-B97E-4613AF2B6B67}" name="Column10662"/>
    <tableColumn id="10670" xr3:uid="{461608A8-CACF-42A0-87B9-AD60A57055CF}" name="Column10663"/>
    <tableColumn id="10671" xr3:uid="{A95418D2-406B-4057-8C0D-7C2A66CEC27D}" name="Column10664"/>
    <tableColumn id="10672" xr3:uid="{DA4B2AD2-0313-4129-948D-66EFEEC48BD2}" name="Column10665"/>
    <tableColumn id="10673" xr3:uid="{753A3B7B-3377-4E5E-8490-167DF99080DF}" name="Column10666"/>
    <tableColumn id="10674" xr3:uid="{72D64DF8-C1C8-411E-9143-3F4F5D87BE87}" name="Column10667"/>
    <tableColumn id="10675" xr3:uid="{7A29293E-EA36-4B8E-AF0A-9900ADE25885}" name="Column10668"/>
    <tableColumn id="10676" xr3:uid="{C52508EE-36B3-4D02-A18E-BE79C4CE3580}" name="Column10669"/>
    <tableColumn id="10677" xr3:uid="{953D0B25-28C4-4F6C-8593-5EF279597502}" name="Column10670"/>
    <tableColumn id="10678" xr3:uid="{F3894F6F-F39C-4D92-BA28-163664D0D34A}" name="Column10671"/>
    <tableColumn id="10679" xr3:uid="{89B12B75-D30A-4CB6-97EE-1B0E382A77E8}" name="Column10672"/>
    <tableColumn id="10680" xr3:uid="{5CAA9727-C23C-49AB-8E05-5E8EF67DD602}" name="Column10673"/>
    <tableColumn id="10681" xr3:uid="{BAD43FC8-BFD9-46D1-92D5-4F9667CE516A}" name="Column10674"/>
    <tableColumn id="10682" xr3:uid="{C74FC898-C559-4881-8DCA-18C15FA47628}" name="Column10675"/>
    <tableColumn id="10683" xr3:uid="{1D903B23-9F17-4369-8EA7-A57798901B76}" name="Column10676"/>
    <tableColumn id="10684" xr3:uid="{23C08578-3433-4A5A-A930-741A5F6CA11A}" name="Column10677"/>
    <tableColumn id="10685" xr3:uid="{DCDC6C6D-44BF-472B-924A-106301383076}" name="Column10678"/>
    <tableColumn id="10686" xr3:uid="{A89BB0C2-D307-4704-B52C-D04E387992B7}" name="Column10679"/>
    <tableColumn id="10687" xr3:uid="{51641943-3941-42A8-A4C0-45C427446400}" name="Column10680"/>
    <tableColumn id="10688" xr3:uid="{12D7B815-0C40-40C8-B63E-061B956B4750}" name="Column10681"/>
    <tableColumn id="10689" xr3:uid="{1308E8DC-F4E3-470F-9655-A7EF85ACC858}" name="Column10682"/>
    <tableColumn id="10690" xr3:uid="{DBD00B3B-03C1-446B-819C-927092FFF5F1}" name="Column10683"/>
    <tableColumn id="10691" xr3:uid="{C1EFF802-20B2-49DF-99CC-439335611253}" name="Column10684"/>
    <tableColumn id="10692" xr3:uid="{69DE254E-939D-416E-8CD1-99F433EA249E}" name="Column10685"/>
    <tableColumn id="10693" xr3:uid="{CD5AFC4E-F15E-4251-8629-9F44B4E8ECDD}" name="Column10686"/>
    <tableColumn id="10694" xr3:uid="{8B455FC8-3F06-40CE-9973-DA614E355FD4}" name="Column10687"/>
    <tableColumn id="10695" xr3:uid="{B9B32E9A-7FF8-46CB-BDF0-4756307DC449}" name="Column10688"/>
    <tableColumn id="10696" xr3:uid="{5011F57F-3A84-4A91-B793-B43788DD0023}" name="Column10689"/>
    <tableColumn id="10697" xr3:uid="{35F7EE16-08CE-41B7-B863-E3DD2D3583F3}" name="Column10690"/>
    <tableColumn id="10698" xr3:uid="{01D5DF82-5D40-4A55-9DA0-007C6135F6F8}" name="Column10691"/>
    <tableColumn id="10699" xr3:uid="{1EB6DF63-C344-4095-BAAA-F41BABFB9F0F}" name="Column10692"/>
    <tableColumn id="10700" xr3:uid="{A41E318C-016A-4156-B8DD-7AF2A14CC56A}" name="Column10693"/>
    <tableColumn id="10701" xr3:uid="{DE1DC80D-C2F9-4A66-9506-588052DB9F15}" name="Column10694"/>
    <tableColumn id="10702" xr3:uid="{A7125EB6-AA6C-4B58-8533-9C7583F06F92}" name="Column10695"/>
    <tableColumn id="10703" xr3:uid="{C1FD8895-3ECA-413A-ADE4-CD45EEDEB15D}" name="Column10696"/>
    <tableColumn id="10704" xr3:uid="{5971DD20-4874-42DF-BF94-D7BDFBAAA631}" name="Column10697"/>
    <tableColumn id="10705" xr3:uid="{63C90632-17B4-418A-9018-A70BDE074CA2}" name="Column10698"/>
    <tableColumn id="10706" xr3:uid="{6B2E9364-05DC-4F47-9492-F53A150AC119}" name="Column10699"/>
    <tableColumn id="10707" xr3:uid="{092D0C14-995D-4B39-800E-6CF883CFBF30}" name="Column10700"/>
    <tableColumn id="10708" xr3:uid="{6444534F-5138-479E-A04B-2419DA0997DB}" name="Column10701"/>
    <tableColumn id="10709" xr3:uid="{1F84F545-B2BA-478B-9F69-998041577783}" name="Column10702"/>
    <tableColumn id="10710" xr3:uid="{01B7AE36-5599-4455-859B-496D73AFF7A2}" name="Column10703"/>
    <tableColumn id="10711" xr3:uid="{54E1F566-D892-4B16-83BE-DC33FA6BF9C1}" name="Column10704"/>
    <tableColumn id="10712" xr3:uid="{AEAF80C3-2D44-420A-92D2-BDF0596E725C}" name="Column10705"/>
    <tableColumn id="10713" xr3:uid="{2A579ED8-54A8-4849-ABE2-512EEF00628B}" name="Column10706"/>
    <tableColumn id="10714" xr3:uid="{F8E2B2AC-CD25-4533-8C4C-67336784DFDE}" name="Column10707"/>
    <tableColumn id="10715" xr3:uid="{2A670831-87E9-45E5-AD58-FDB86513EE70}" name="Column10708"/>
    <tableColumn id="10716" xr3:uid="{BDF0BB90-0CD4-402D-B5BD-012CB80EEA57}" name="Column10709"/>
    <tableColumn id="10717" xr3:uid="{29E59156-D944-446A-A4FB-77401DCDB43A}" name="Column10710"/>
    <tableColumn id="10718" xr3:uid="{3EDA4B1E-6B78-4912-AC9F-0031434B9F73}" name="Column10711"/>
    <tableColumn id="10719" xr3:uid="{5FC1B3C3-47E2-4569-8DDE-D61AE8E21D9B}" name="Column10712"/>
    <tableColumn id="10720" xr3:uid="{535650D6-A4A3-4E78-A830-C4C1631D97BE}" name="Column10713"/>
    <tableColumn id="10721" xr3:uid="{AE8D40B3-CC90-43D3-9D3E-AA1131B94680}" name="Column10714"/>
    <tableColumn id="10722" xr3:uid="{A5553119-6930-428F-998D-1A21F0340862}" name="Column10715"/>
    <tableColumn id="10723" xr3:uid="{38C1E518-5F9C-4D37-81BE-9D7721916F01}" name="Column10716"/>
    <tableColumn id="10724" xr3:uid="{7CFD103B-6C00-4FA7-B87D-B550A199D6A6}" name="Column10717"/>
    <tableColumn id="10725" xr3:uid="{EBE3CC93-A1B2-4D99-8ED3-97AE18CF7EF9}" name="Column10718"/>
    <tableColumn id="10726" xr3:uid="{3C68A817-1765-4951-8CB6-F9AB4A71BB23}" name="Column10719"/>
    <tableColumn id="10727" xr3:uid="{39B2759C-7C23-4AB3-9BA1-817AAEE541BE}" name="Column10720"/>
    <tableColumn id="10728" xr3:uid="{8EEA04D0-BCCE-4FF7-8DAB-DBB24A224235}" name="Column10721"/>
    <tableColumn id="10729" xr3:uid="{68ACDABE-76B0-48EE-961A-4A2B604A581E}" name="Column10722"/>
    <tableColumn id="10730" xr3:uid="{A0B20418-DD57-49B3-94FE-D997F28D7179}" name="Column10723"/>
    <tableColumn id="10731" xr3:uid="{E583CCAF-6B56-4049-8FBA-97021339543D}" name="Column10724"/>
    <tableColumn id="10732" xr3:uid="{E7328861-341D-4A7F-86ED-671BBF2FD09C}" name="Column10725"/>
    <tableColumn id="10733" xr3:uid="{4326ACB5-F955-41E4-8F64-3E3743A70AF6}" name="Column10726"/>
    <tableColumn id="10734" xr3:uid="{9F693173-1C05-4EF4-AED4-210EF488BAA5}" name="Column10727"/>
    <tableColumn id="10735" xr3:uid="{01531C3A-4EB6-4FF2-935B-121054B3D9E8}" name="Column10728"/>
    <tableColumn id="10736" xr3:uid="{652130D0-8A0E-40C7-A233-FA9704F03E7D}" name="Column10729"/>
    <tableColumn id="10737" xr3:uid="{85CEFCF6-4C2A-4A7D-B6A8-5ED4219F7678}" name="Column10730"/>
    <tableColumn id="10738" xr3:uid="{E0EC6371-EF58-4726-8AB6-46E4110C78BE}" name="Column10731"/>
    <tableColumn id="10739" xr3:uid="{F833C768-0E4A-4198-A1DC-41B842896F97}" name="Column10732"/>
    <tableColumn id="10740" xr3:uid="{D93BFD6B-D968-4D29-B53C-CAD83FA40E70}" name="Column10733"/>
    <tableColumn id="10741" xr3:uid="{59148F40-F7BA-448D-9986-DCCDD107F801}" name="Column10734"/>
    <tableColumn id="10742" xr3:uid="{3C73BAE0-3085-4357-9EE1-7134B25AE6DE}" name="Column10735"/>
    <tableColumn id="10743" xr3:uid="{7C0FE9A0-7599-4A70-9504-72477527A1F5}" name="Column10736"/>
    <tableColumn id="10744" xr3:uid="{BD472407-4142-4F7B-9F3B-B6619529A60C}" name="Column10737"/>
    <tableColumn id="10745" xr3:uid="{332C1EAD-E6B1-4C2D-9074-78A8D6AC9554}" name="Column10738"/>
    <tableColumn id="10746" xr3:uid="{8C5E3E60-3AFE-4680-9DFD-760507E4C817}" name="Column10739"/>
    <tableColumn id="10747" xr3:uid="{0600519B-BD00-4618-AF1E-B454FA2C40AC}" name="Column10740"/>
    <tableColumn id="10748" xr3:uid="{849FD8DF-80AE-4C06-98AF-19BB7FC0B326}" name="Column10741"/>
    <tableColumn id="10749" xr3:uid="{D4A1DA67-2C5E-49E2-821B-F0006EAC5CFA}" name="Column10742"/>
    <tableColumn id="10750" xr3:uid="{ACD4A9D9-8A43-4AEA-8B06-F141862DC327}" name="Column10743"/>
    <tableColumn id="10751" xr3:uid="{DAFCA5E2-AAC1-41C8-8813-2282F11145DB}" name="Column10744"/>
    <tableColumn id="10752" xr3:uid="{914BE504-C32E-40CA-B61A-9C32735EDC54}" name="Column10745"/>
    <tableColumn id="10753" xr3:uid="{B86F8D13-8ABC-4FB6-90C9-1712E1773887}" name="Column10746"/>
    <tableColumn id="10754" xr3:uid="{ACCF3B5E-67CC-4DE6-883B-DA798A675C56}" name="Column10747"/>
    <tableColumn id="10755" xr3:uid="{5A77B1AD-DCA0-4DB4-8C6C-B6ED53AA2902}" name="Column10748"/>
    <tableColumn id="10756" xr3:uid="{6B4542D9-4030-4C93-989D-345A80A9F4B7}" name="Column10749"/>
    <tableColumn id="10757" xr3:uid="{143F85C9-C842-4976-97BE-CD124D29399D}" name="Column10750"/>
    <tableColumn id="10758" xr3:uid="{F2065F93-E3A3-47A9-807A-2ECA760247D2}" name="Column10751"/>
    <tableColumn id="10759" xr3:uid="{F93FD74D-4A46-42C9-B457-D6469B6000AF}" name="Column10752"/>
    <tableColumn id="10760" xr3:uid="{F1ED5CFF-9DF3-4F2D-8130-B80B4153AB75}" name="Column10753"/>
    <tableColumn id="10761" xr3:uid="{2BF650C9-0F10-481A-B031-F464F2D2767F}" name="Column10754"/>
    <tableColumn id="10762" xr3:uid="{30E911E5-847E-40EB-A3C0-8B4F62C4DB5C}" name="Column10755"/>
    <tableColumn id="10763" xr3:uid="{30BAE075-78A0-4D68-A03F-1CC33E82690F}" name="Column10756"/>
    <tableColumn id="10764" xr3:uid="{C3433E57-5504-46DB-995A-8F530C9C5E9D}" name="Column10757"/>
    <tableColumn id="10765" xr3:uid="{2CA38E4F-B73A-48A6-8FC9-1628CEC52739}" name="Column10758"/>
    <tableColumn id="10766" xr3:uid="{5D65E060-BC19-4B73-9D3E-859523C36F41}" name="Column10759"/>
    <tableColumn id="10767" xr3:uid="{03C8DC3A-BCB1-403D-8D0C-559016ED4F18}" name="Column10760"/>
    <tableColumn id="10768" xr3:uid="{316030AE-47F1-4600-95F9-E636A38734DF}" name="Column10761"/>
    <tableColumn id="10769" xr3:uid="{87B87A2D-C612-46D7-BD6E-29CEBF78566C}" name="Column10762"/>
    <tableColumn id="10770" xr3:uid="{CF3FB642-44E0-40AB-9E3D-298F49E964E1}" name="Column10763"/>
    <tableColumn id="10771" xr3:uid="{CC9B3F50-0C22-4EF5-B619-24C3C07FFDE4}" name="Column10764"/>
    <tableColumn id="10772" xr3:uid="{F6CA06E8-883F-4547-9E67-7C870D369919}" name="Column10765"/>
    <tableColumn id="10773" xr3:uid="{57DADC13-33FD-45DC-8FA4-13D8522DD86B}" name="Column10766"/>
    <tableColumn id="10774" xr3:uid="{D8B47A48-1C6F-483F-9AC7-8BE6A5A0B348}" name="Column10767"/>
    <tableColumn id="10775" xr3:uid="{4F1602F3-A611-4955-872B-150D2419796F}" name="Column10768"/>
    <tableColumn id="10776" xr3:uid="{B5F417D0-CDFA-4D3F-BC46-41B2157A52C2}" name="Column10769"/>
    <tableColumn id="10777" xr3:uid="{6DBB9017-DA17-4A5F-8034-2300ED587B5F}" name="Column10770"/>
    <tableColumn id="10778" xr3:uid="{0BC371AC-ED59-4F1C-8884-F84C115B0B93}" name="Column10771"/>
    <tableColumn id="10779" xr3:uid="{F577E0A1-7FF4-4C01-9312-93C0A0FD9B59}" name="Column10772"/>
    <tableColumn id="10780" xr3:uid="{E9CD4B8D-4876-4543-A5FD-FF8C7D1397BB}" name="Column10773"/>
    <tableColumn id="10781" xr3:uid="{DFFE5A56-5955-443E-BCC7-4AADD15F77A0}" name="Column10774"/>
    <tableColumn id="10782" xr3:uid="{BB4E5302-0609-4C2F-BA7B-AF2112039BF4}" name="Column10775"/>
    <tableColumn id="10783" xr3:uid="{A349BD10-4FE8-466B-BBD3-ABFE9965B1AE}" name="Column10776"/>
    <tableColumn id="10784" xr3:uid="{A36E6B36-0886-46E9-A1C2-5345FC0798FF}" name="Column10777"/>
    <tableColumn id="10785" xr3:uid="{CFC1A9B3-399E-4224-A4D8-F754F978800D}" name="Column10778"/>
    <tableColumn id="10786" xr3:uid="{271A31E1-8D97-4E33-8C7E-0CF42EF585E4}" name="Column10779"/>
    <tableColumn id="10787" xr3:uid="{D854C1D1-C943-4373-8379-389CE3A7D18A}" name="Column10780"/>
    <tableColumn id="10788" xr3:uid="{16C98415-BCB8-4A08-BECC-34B0FB974B32}" name="Column10781"/>
    <tableColumn id="10789" xr3:uid="{CBCA48C0-3B89-4483-BD5B-967D68359B1B}" name="Column10782"/>
    <tableColumn id="10790" xr3:uid="{334641C1-033D-45ED-B8F1-5BE79E67531F}" name="Column10783"/>
    <tableColumn id="10791" xr3:uid="{58EF74D7-3984-4507-8594-87F4BBA1E935}" name="Column10784"/>
    <tableColumn id="10792" xr3:uid="{9EB8F356-E00B-4937-8452-BB0D0752A14B}" name="Column10785"/>
    <tableColumn id="10793" xr3:uid="{0E6E4445-C071-4E34-8949-696B815C1AFE}" name="Column10786"/>
    <tableColumn id="10794" xr3:uid="{0668A5FB-5AD9-4A92-9127-35246F0789CF}" name="Column10787"/>
    <tableColumn id="10795" xr3:uid="{037EE773-5448-4F32-A0AB-93A28C357A50}" name="Column10788"/>
    <tableColumn id="10796" xr3:uid="{C4E60670-074F-4F4C-86F3-571F65934A4D}" name="Column10789"/>
    <tableColumn id="10797" xr3:uid="{8B48144D-3117-46CB-AD50-EDDF1016A680}" name="Column10790"/>
    <tableColumn id="10798" xr3:uid="{250BBF1E-441A-4763-9BEE-20C1CB0CBCCD}" name="Column10791"/>
    <tableColumn id="10799" xr3:uid="{2A366C1B-0597-4301-9D30-39791E98113C}" name="Column10792"/>
    <tableColumn id="10800" xr3:uid="{41092A77-4995-4754-B469-8FE0B3E41AA1}" name="Column10793"/>
    <tableColumn id="10801" xr3:uid="{19BC962B-1C57-4F2B-BC8E-0A329E226433}" name="Column10794"/>
    <tableColumn id="10802" xr3:uid="{CC671479-7199-4093-9912-3D22C501C0FA}" name="Column10795"/>
    <tableColumn id="10803" xr3:uid="{69993099-2607-4462-95B5-7E876AE1A56C}" name="Column10796"/>
    <tableColumn id="10804" xr3:uid="{17FAB338-5010-430E-B0AE-DFF9931404B6}" name="Column10797"/>
    <tableColumn id="10805" xr3:uid="{55162109-B0D9-4A50-984F-9650EE90DAE4}" name="Column10798"/>
    <tableColumn id="10806" xr3:uid="{131C6DCA-20CE-4C7C-9123-137781AC3478}" name="Column10799"/>
    <tableColumn id="10807" xr3:uid="{82D0BAF6-D4FF-42CD-8AF6-F6B8D8885907}" name="Column10800"/>
    <tableColumn id="10808" xr3:uid="{FC9D09A5-27EC-4ECD-B5DB-CDD1A3E020FF}" name="Column10801"/>
    <tableColumn id="10809" xr3:uid="{4B544DC4-F41C-4C59-A423-32E2298D9D83}" name="Column10802"/>
    <tableColumn id="10810" xr3:uid="{4A575310-00A4-45C6-AE8A-352F72CA4FA2}" name="Column10803"/>
    <tableColumn id="10811" xr3:uid="{D34231C8-45EE-47D8-B605-6F5B5B1368FC}" name="Column10804"/>
    <tableColumn id="10812" xr3:uid="{1414AC35-6021-40B0-922C-6B8F22C65056}" name="Column10805"/>
    <tableColumn id="10813" xr3:uid="{417F7499-297B-471C-B218-A8B98FB26965}" name="Column10806"/>
    <tableColumn id="10814" xr3:uid="{67CE763E-097C-4608-BEE8-784D4F61C41F}" name="Column10807"/>
    <tableColumn id="10815" xr3:uid="{6ECE8B63-066B-4EF0-8129-676F8A423BC5}" name="Column10808"/>
    <tableColumn id="10816" xr3:uid="{A1C8CFF6-1450-4C48-80FD-53A403C232E2}" name="Column10809"/>
    <tableColumn id="10817" xr3:uid="{EC182596-307D-449D-BA04-3A6A3DDB827A}" name="Column10810"/>
    <tableColumn id="10818" xr3:uid="{E2113EB3-C4DA-4EFA-B142-847A9385FABF}" name="Column10811"/>
    <tableColumn id="10819" xr3:uid="{17BE83DD-3B72-4429-BF52-F4E571CC2AE7}" name="Column10812"/>
    <tableColumn id="10820" xr3:uid="{8030FCEF-41EA-434A-9DA2-9A20493ADD83}" name="Column10813"/>
    <tableColumn id="10821" xr3:uid="{90E6C421-1AC7-4083-B10E-AA9252106174}" name="Column10814"/>
    <tableColumn id="10822" xr3:uid="{A6C08C98-E3F3-4975-B18B-6C184136CD4F}" name="Column10815"/>
    <tableColumn id="10823" xr3:uid="{D5BCD89F-52EA-47E7-9FD1-635EB0CBFF65}" name="Column10816"/>
    <tableColumn id="10824" xr3:uid="{1F942BD0-A919-4767-A2B6-364FEFC5EC11}" name="Column10817"/>
    <tableColumn id="10825" xr3:uid="{5A05B438-1960-4CCD-8DC2-5AB95DF6C232}" name="Column10818"/>
    <tableColumn id="10826" xr3:uid="{57A02B2E-F5E9-4AED-966E-17DF82F805FB}" name="Column10819"/>
    <tableColumn id="10827" xr3:uid="{77FEEE2C-331C-4398-BEDF-DA8803D9753F}" name="Column10820"/>
    <tableColumn id="10828" xr3:uid="{07710F98-3424-458F-BC00-966C3328365D}" name="Column10821"/>
    <tableColumn id="10829" xr3:uid="{BBCBBDEA-9A1E-4DE2-95A2-989E9CCB5D38}" name="Column10822"/>
    <tableColumn id="10830" xr3:uid="{DCCA7ABB-B770-4BFC-B05E-D100A089DD55}" name="Column10823"/>
    <tableColumn id="10831" xr3:uid="{DC08468E-E01B-40B0-8D76-6CB812970E6F}" name="Column10824"/>
    <tableColumn id="10832" xr3:uid="{30A6D653-CA5F-4EEE-B792-D607650DDF2D}" name="Column10825"/>
    <tableColumn id="10833" xr3:uid="{1D795113-D4C2-4094-98E8-6F77EC3C74AE}" name="Column10826"/>
    <tableColumn id="10834" xr3:uid="{8F8E09FD-ED27-446F-95BF-4EB0E5C9F155}" name="Column10827"/>
    <tableColumn id="10835" xr3:uid="{D973151B-2D17-43FC-B4C3-6486BDB01A22}" name="Column10828"/>
    <tableColumn id="10836" xr3:uid="{8D03D13D-C95F-4A7E-8F92-B8DF78A4D3A4}" name="Column10829"/>
    <tableColumn id="10837" xr3:uid="{F5CC89FE-8B30-4A21-AFC6-831754C59478}" name="Column10830"/>
    <tableColumn id="10838" xr3:uid="{EE42EA3B-F76B-47DF-8BF5-E9D5A83C0EE8}" name="Column10831"/>
    <tableColumn id="10839" xr3:uid="{EFC59E10-124B-4ABB-BB3E-BFFAA2374A19}" name="Column10832"/>
    <tableColumn id="10840" xr3:uid="{957B5F8F-8093-4D48-A6B5-F1D950784CFA}" name="Column10833"/>
    <tableColumn id="10841" xr3:uid="{2ED25BDF-F040-44A8-8E95-1E0B7E64A9D7}" name="Column10834"/>
    <tableColumn id="10842" xr3:uid="{012EEB15-A037-4CF0-AE51-4BA7027BE99E}" name="Column10835"/>
    <tableColumn id="10843" xr3:uid="{D8F50BAC-F2B4-4E67-B255-65BFE09EA659}" name="Column10836"/>
    <tableColumn id="10844" xr3:uid="{3E3DB813-7C6B-447E-A4D7-7E1DF278D810}" name="Column10837"/>
    <tableColumn id="10845" xr3:uid="{3FD620D7-5039-48F0-835D-EA4F699F04C9}" name="Column10838"/>
    <tableColumn id="10846" xr3:uid="{2DC30686-E4F5-496B-9EA6-CCA6A2C2F4AF}" name="Column10839"/>
    <tableColumn id="10847" xr3:uid="{0F8EEED9-78A4-406E-BF63-38401ECF473E}" name="Column10840"/>
    <tableColumn id="10848" xr3:uid="{8C9D61CC-050B-4921-9448-2E179C8EAE00}" name="Column10841"/>
    <tableColumn id="10849" xr3:uid="{736DE057-EC10-405F-AA99-FD14955DE59C}" name="Column10842"/>
    <tableColumn id="10850" xr3:uid="{1DB535C9-2180-4F5F-AD2C-71261612C96F}" name="Column10843"/>
    <tableColumn id="10851" xr3:uid="{F47433DB-85DD-48AF-A83B-01B7D7406841}" name="Column10844"/>
    <tableColumn id="10852" xr3:uid="{1C473496-82F0-4EF4-9644-CF19F283AC4A}" name="Column10845"/>
    <tableColumn id="10853" xr3:uid="{FF2DF52C-7E69-4463-9FDA-3BB766423594}" name="Column10846"/>
    <tableColumn id="10854" xr3:uid="{312B6420-BEB1-4264-B820-2EC6EBD9B7E3}" name="Column10847"/>
    <tableColumn id="10855" xr3:uid="{4B567529-5B50-403A-A64C-CB5495353B45}" name="Column10848"/>
    <tableColumn id="10856" xr3:uid="{0E01A108-B3A7-4347-AAFB-21E9F527C8E2}" name="Column10849"/>
    <tableColumn id="10857" xr3:uid="{55F989C1-C582-4062-B961-9782AE06D8FA}" name="Column10850"/>
    <tableColumn id="10858" xr3:uid="{1B8E0A12-22E4-4FC2-8757-2E347AF21795}" name="Column10851"/>
    <tableColumn id="10859" xr3:uid="{41E8A5DE-8B88-4695-8B4C-A7C5111B089B}" name="Column10852"/>
    <tableColumn id="10860" xr3:uid="{23E11F5C-EFA0-44C0-B1BB-A2EB8BFF68BF}" name="Column10853"/>
    <tableColumn id="10861" xr3:uid="{DC1CDD49-58B6-4A62-9A38-3487064C9FE8}" name="Column10854"/>
    <tableColumn id="10862" xr3:uid="{BB85C306-188B-4FD8-B69E-96185771D2EC}" name="Column10855"/>
    <tableColumn id="10863" xr3:uid="{C0637691-BCF4-41E3-928A-8B3541417229}" name="Column10856"/>
    <tableColumn id="10864" xr3:uid="{D426999D-22FB-4BE6-9AD6-E4B1467564B0}" name="Column10857"/>
    <tableColumn id="10865" xr3:uid="{5B5D4D3E-3D57-43F5-B52E-514586A6F1A7}" name="Column10858"/>
    <tableColumn id="10866" xr3:uid="{ACD9AB71-248B-4C36-A58B-3289E3DE2248}" name="Column10859"/>
    <tableColumn id="10867" xr3:uid="{00E86FDD-FFE6-4D57-808A-8607AECA838B}" name="Column10860"/>
    <tableColumn id="10868" xr3:uid="{C85EEAD3-F86F-4909-9613-491B2CA9FEA2}" name="Column10861"/>
    <tableColumn id="10869" xr3:uid="{BE4701CE-F455-46C0-9E4A-5BB0D38C2622}" name="Column10862"/>
    <tableColumn id="10870" xr3:uid="{C2A97581-C5A5-4095-B34C-22E0AE42639D}" name="Column10863"/>
    <tableColumn id="10871" xr3:uid="{34A8F35E-54C3-46B2-9515-99C11219AC53}" name="Column10864"/>
    <tableColumn id="10872" xr3:uid="{A5CE8CF0-3A81-4214-9E9A-3D25E9AFCFEE}" name="Column10865"/>
    <tableColumn id="10873" xr3:uid="{67E932F3-174C-4B08-BBC4-E537D6E0AFB1}" name="Column10866"/>
    <tableColumn id="10874" xr3:uid="{BD33A27F-0D31-445D-AE57-7DD4FB5C5BC9}" name="Column10867"/>
    <tableColumn id="10875" xr3:uid="{E5414142-0617-47F1-BE7D-DD2E2ADF1726}" name="Column10868"/>
    <tableColumn id="10876" xr3:uid="{770B3635-3A2D-42B6-8613-193A46DAF887}" name="Column10869"/>
    <tableColumn id="10877" xr3:uid="{55CCE767-C1FB-46F1-9F2D-23482330B043}" name="Column10870"/>
    <tableColumn id="10878" xr3:uid="{632EAB1F-8F31-4B97-A30D-95D9062A4FEA}" name="Column10871"/>
    <tableColumn id="10879" xr3:uid="{0F151AAC-8A77-4779-BE11-A67F5D8CADC4}" name="Column10872"/>
    <tableColumn id="10880" xr3:uid="{F4AAD4AB-DA6E-4119-B93B-42E587CFB31B}" name="Column10873"/>
    <tableColumn id="10881" xr3:uid="{85A1611D-230D-46C4-B31B-C6F9BECF5EDE}" name="Column10874"/>
    <tableColumn id="10882" xr3:uid="{D29BF05E-6FC0-4618-8207-7F47592E49C0}" name="Column10875"/>
    <tableColumn id="10883" xr3:uid="{8DB55E88-413E-4513-BC8F-1D9A68AD158D}" name="Column10876"/>
    <tableColumn id="10884" xr3:uid="{998A4E2B-37AA-4A98-85B5-6EFA9F6C2A0B}" name="Column10877"/>
    <tableColumn id="10885" xr3:uid="{8C087468-D894-46D7-9930-F46EB000B850}" name="Column10878"/>
    <tableColumn id="10886" xr3:uid="{F7F597CD-0545-4D4E-88EE-8B7492701975}" name="Column10879"/>
    <tableColumn id="10887" xr3:uid="{6BEF9C2F-1000-4890-9DC0-C4AE5449D938}" name="Column10880"/>
    <tableColumn id="10888" xr3:uid="{A8C0C69E-8FDC-4780-904E-FAD9C227ACBA}" name="Column10881"/>
    <tableColumn id="10889" xr3:uid="{253DE4EC-D518-476A-986B-75265B7BE620}" name="Column10882"/>
    <tableColumn id="10890" xr3:uid="{BB72BB65-D19C-42B9-A778-7B360619DAE4}" name="Column10883"/>
    <tableColumn id="10891" xr3:uid="{A0363887-8FEE-4447-BA61-E7AB15C02758}" name="Column10884"/>
    <tableColumn id="10892" xr3:uid="{44D258D0-793D-4689-968F-A5FBB6997880}" name="Column10885"/>
    <tableColumn id="10893" xr3:uid="{486346E6-786A-47A6-92D0-64DA97726E48}" name="Column10886"/>
    <tableColumn id="10894" xr3:uid="{54A681DA-BF3A-428E-ADAA-14B293C91610}" name="Column10887"/>
    <tableColumn id="10895" xr3:uid="{A227CEF3-9A3C-41E1-B2B7-F120CBD982B8}" name="Column10888"/>
    <tableColumn id="10896" xr3:uid="{7B1E1C2F-421E-490B-A563-20A9E0BC2254}" name="Column10889"/>
    <tableColumn id="10897" xr3:uid="{A09A7350-4E21-4A3C-B3C0-B40290F11626}" name="Column10890"/>
    <tableColumn id="10898" xr3:uid="{EB5FC0FA-7210-476C-B124-B21813F607CE}" name="Column10891"/>
    <tableColumn id="10899" xr3:uid="{83B2F0A7-9FDE-4785-AC29-15DDFD622BAD}" name="Column10892"/>
    <tableColumn id="10900" xr3:uid="{B5519501-A9C2-4778-B69E-B33A26F4E6EF}" name="Column10893"/>
    <tableColumn id="10901" xr3:uid="{F9EECB0C-C844-4039-92B2-69FDD78CA160}" name="Column10894"/>
    <tableColumn id="10902" xr3:uid="{889E69A9-5970-455F-814D-4E6842E34A50}" name="Column10895"/>
    <tableColumn id="10903" xr3:uid="{2F66E193-70D2-4E7B-9A4B-402ADCBAA6FD}" name="Column10896"/>
    <tableColumn id="10904" xr3:uid="{70DBB974-62EC-497A-AB00-6E3B9B4C46D7}" name="Column10897"/>
    <tableColumn id="10905" xr3:uid="{9F3EEFF2-D739-4451-A7D2-4DFB3A07501E}" name="Column10898"/>
    <tableColumn id="10906" xr3:uid="{3C2B92B3-2132-4613-B63B-56ABD1F61A57}" name="Column10899"/>
    <tableColumn id="10907" xr3:uid="{C367564D-49C0-4EDB-819E-E7720ADD03E1}" name="Column10900"/>
    <tableColumn id="10908" xr3:uid="{2995246E-E1A8-4CD5-924E-6D52384C0BBF}" name="Column10901"/>
    <tableColumn id="10909" xr3:uid="{89F4695C-35ED-46A0-AFC9-49B2AD401302}" name="Column10902"/>
    <tableColumn id="10910" xr3:uid="{EF9071EF-853A-47E7-A8E2-32D98C0B4B9F}" name="Column10903"/>
    <tableColumn id="10911" xr3:uid="{EE4740C7-08C0-4F08-9C9E-A280429F3DC9}" name="Column10904"/>
    <tableColumn id="10912" xr3:uid="{2B6DD0D2-29E1-49DA-8B85-FCAE348352A8}" name="Column10905"/>
    <tableColumn id="10913" xr3:uid="{0110E1BF-B39D-42D2-8BF5-36DA772C2D1C}" name="Column10906"/>
    <tableColumn id="10914" xr3:uid="{9B516F33-5162-4313-B8F5-4F88C6D63A39}" name="Column10907"/>
    <tableColumn id="10915" xr3:uid="{FCC02E50-96EE-40E6-8ABF-F90CE9D21F57}" name="Column10908"/>
    <tableColumn id="10916" xr3:uid="{C55975FC-57F5-4932-B337-2E20AE697086}" name="Column10909"/>
    <tableColumn id="10917" xr3:uid="{6F848A69-CAF9-448D-907E-946B62537F69}" name="Column10910"/>
    <tableColumn id="10918" xr3:uid="{CC8D724F-121B-41AB-96AC-3E725188C90F}" name="Column10911"/>
    <tableColumn id="10919" xr3:uid="{A94FAA19-440B-4B84-9271-DAC89DF51390}" name="Column10912"/>
    <tableColumn id="10920" xr3:uid="{04F027D0-7D39-4B59-BB4B-3CF647FEC450}" name="Column10913"/>
    <tableColumn id="10921" xr3:uid="{6582A742-C7FE-4251-B48C-9CC28F4009B3}" name="Column10914"/>
    <tableColumn id="10922" xr3:uid="{9F765994-063B-4F38-93EF-6714A824135D}" name="Column10915"/>
    <tableColumn id="10923" xr3:uid="{3D572541-905B-4F6D-A812-B5840AE8D0DB}" name="Column10916"/>
    <tableColumn id="10924" xr3:uid="{574233AA-E7AA-4F9D-AB60-14879D4F45CC}" name="Column10917"/>
    <tableColumn id="10925" xr3:uid="{812A1529-78A4-4DE6-9680-439D99EFB32A}" name="Column10918"/>
    <tableColumn id="10926" xr3:uid="{737CD5C4-0301-4A91-B9D8-8B7D3D4D2363}" name="Column10919"/>
    <tableColumn id="10927" xr3:uid="{C93B3ED2-F52C-4E51-B13A-AD50D5ED41EE}" name="Column10920"/>
    <tableColumn id="10928" xr3:uid="{98F79BF9-AF57-4AB4-8AF5-2CB976831DDC}" name="Column10921"/>
    <tableColumn id="10929" xr3:uid="{47743C41-6B7E-474B-80E6-B4AA9CFCD1DC}" name="Column10922"/>
    <tableColumn id="10930" xr3:uid="{611BBF5B-12BA-4579-8D92-1E78C1205316}" name="Column10923"/>
    <tableColumn id="10931" xr3:uid="{8594EA3F-49A6-440C-9CCF-B1B10BDE7B1A}" name="Column10924"/>
    <tableColumn id="10932" xr3:uid="{6161B24C-7398-4EBF-8E89-274C2329AA4C}" name="Column10925"/>
    <tableColumn id="10933" xr3:uid="{462C830B-AFD8-4E1C-96FD-4990CA2019AF}" name="Column10926"/>
    <tableColumn id="10934" xr3:uid="{8BFC7F0B-68AC-401B-9563-EF44ED2B3C19}" name="Column10927"/>
    <tableColumn id="10935" xr3:uid="{6F534157-E5E9-4AFB-A668-E4590E49FE1D}" name="Column10928"/>
    <tableColumn id="10936" xr3:uid="{6A069B75-1FD6-4E02-816D-C6C400ADF027}" name="Column10929"/>
    <tableColumn id="10937" xr3:uid="{F36E0B33-204C-4F4C-9539-C3CEEF2FECDA}" name="Column10930"/>
    <tableColumn id="10938" xr3:uid="{2E9119A9-E85C-4A20-9BD1-0D7B9F49944B}" name="Column10931"/>
    <tableColumn id="10939" xr3:uid="{BD3C4051-0E88-42F0-83FC-F35F40592518}" name="Column10932"/>
    <tableColumn id="10940" xr3:uid="{3001EF76-4F4D-44B2-BD95-A1E67E9796D6}" name="Column10933"/>
    <tableColumn id="10941" xr3:uid="{CEDBCEB3-A2FA-4403-AE6D-82DDA18FA472}" name="Column10934"/>
    <tableColumn id="10942" xr3:uid="{BE248EE0-456D-4922-A2E6-257FD633C997}" name="Column10935"/>
    <tableColumn id="10943" xr3:uid="{68F825BA-E84C-465B-BC08-3A55B20D0773}" name="Column10936"/>
    <tableColumn id="10944" xr3:uid="{0ED52F23-E7F7-4BA0-AC62-A07F9A9A4DC1}" name="Column10937"/>
    <tableColumn id="10945" xr3:uid="{8712C69C-50C6-4B11-98BB-0DAA6EDD3AC2}" name="Column10938"/>
    <tableColumn id="10946" xr3:uid="{85707D05-A79C-43A8-A652-B7F759273C4D}" name="Column10939"/>
    <tableColumn id="10947" xr3:uid="{C568827C-91A4-4C75-8639-0606CD1588A5}" name="Column10940"/>
    <tableColumn id="10948" xr3:uid="{BA071D72-37FB-443B-B381-6C01B9195E8F}" name="Column10941"/>
    <tableColumn id="10949" xr3:uid="{05469EEE-D4D3-4EA6-BB0E-82BFB30235A9}" name="Column10942"/>
    <tableColumn id="10950" xr3:uid="{EDA73BE1-B4C1-49BC-9D6E-24F0FA672F45}" name="Column10943"/>
    <tableColumn id="10951" xr3:uid="{185FE21A-2BA0-4874-8B2E-BE12324BCBAC}" name="Column10944"/>
    <tableColumn id="10952" xr3:uid="{061E1DE4-1D17-42CE-8CA3-A160CF499A98}" name="Column10945"/>
    <tableColumn id="10953" xr3:uid="{B8BB9B34-DE59-44BA-ADC7-2549A6ABF6A0}" name="Column10946"/>
    <tableColumn id="10954" xr3:uid="{42FF3FA0-E03E-489D-A6DD-E9B354A6337E}" name="Column10947"/>
    <tableColumn id="10955" xr3:uid="{A3899DBC-BA1F-468A-94AD-D3C7EA67E4EF}" name="Column10948"/>
    <tableColumn id="10956" xr3:uid="{86694042-00C4-4767-B78F-71C005BDC894}" name="Column10949"/>
    <tableColumn id="10957" xr3:uid="{24A7A174-7AE5-4115-804B-8182D07CDD08}" name="Column10950"/>
    <tableColumn id="10958" xr3:uid="{316F8417-D390-4564-8729-5C3ECA4A1F3E}" name="Column10951"/>
    <tableColumn id="10959" xr3:uid="{6C3F2AA9-BE82-485A-AD0F-A647E6136980}" name="Column10952"/>
    <tableColumn id="10960" xr3:uid="{1427A8AF-0CB8-4F7E-9259-30F40D12A039}" name="Column10953"/>
    <tableColumn id="10961" xr3:uid="{0EAD14F4-7D0B-4EE7-8AA2-9FDD0BEA4A81}" name="Column10954"/>
    <tableColumn id="10962" xr3:uid="{78272090-DFAA-426B-9787-423DFA04E8F9}" name="Column10955"/>
    <tableColumn id="10963" xr3:uid="{66A53226-9832-469B-BF8F-28293C2B30C4}" name="Column10956"/>
    <tableColumn id="10964" xr3:uid="{B744652E-A090-4E8B-8E4D-47A9A3E5457A}" name="Column10957"/>
    <tableColumn id="10965" xr3:uid="{F3E000C3-7001-4FBC-8AF2-363FC9323336}" name="Column10958"/>
    <tableColumn id="10966" xr3:uid="{D70A0A15-2A05-4D27-9D1B-A121FCCB861A}" name="Column10959"/>
    <tableColumn id="10967" xr3:uid="{0056C568-D7E6-40EF-9EBE-C80CB9368235}" name="Column10960"/>
    <tableColumn id="10968" xr3:uid="{FCCAE41F-72F6-46BC-98E8-C5C9155ACDD4}" name="Column10961"/>
    <tableColumn id="10969" xr3:uid="{8D45533C-C812-4A4A-938D-5BB4EFD90C01}" name="Column10962"/>
    <tableColumn id="10970" xr3:uid="{C5FB2D26-B0C6-4902-939A-030B21A474B4}" name="Column10963"/>
    <tableColumn id="10971" xr3:uid="{FE250CE3-DB95-49CE-83B3-35A1BA8114DE}" name="Column10964"/>
    <tableColumn id="10972" xr3:uid="{3FCAD0AE-12ED-4E0A-A4BE-CEB288C665B4}" name="Column10965"/>
    <tableColumn id="10973" xr3:uid="{63EBBE24-5E47-430F-9615-7BF2DE81054C}" name="Column10966"/>
    <tableColumn id="10974" xr3:uid="{676F3249-4616-40CA-960B-AA7BEE3CE06A}" name="Column10967"/>
    <tableColumn id="10975" xr3:uid="{8FF87716-8A76-4EF7-B77D-176F8BBB72D0}" name="Column10968"/>
    <tableColumn id="10976" xr3:uid="{2CD4B930-BC68-403E-BF83-07FAF1476A46}" name="Column10969"/>
    <tableColumn id="10977" xr3:uid="{6EF50234-A112-450A-8FA0-269BC0B0E217}" name="Column10970"/>
    <tableColumn id="10978" xr3:uid="{F4C0E096-9D86-4B90-A767-F89D4E1EE6D6}" name="Column10971"/>
    <tableColumn id="10979" xr3:uid="{96E77273-12AE-4D66-ADF9-3C81B92F295C}" name="Column10972"/>
    <tableColumn id="10980" xr3:uid="{A6ECA8FF-3D08-42F8-A489-13836E4D707A}" name="Column10973"/>
    <tableColumn id="10981" xr3:uid="{C467335C-CF17-4AD6-9969-ACF1E067D3D7}" name="Column10974"/>
    <tableColumn id="10982" xr3:uid="{34BD9ACF-D8D4-418F-9B43-19E119671BDB}" name="Column10975"/>
    <tableColumn id="10983" xr3:uid="{31BE9BDD-13EC-46F7-86BA-6F2B54921AD3}" name="Column10976"/>
    <tableColumn id="10984" xr3:uid="{ECA66CF7-D199-45D9-A178-B7243071548C}" name="Column10977"/>
    <tableColumn id="10985" xr3:uid="{FDAD5EB5-1969-4276-BAF7-4A2ABCD2F978}" name="Column10978"/>
    <tableColumn id="10986" xr3:uid="{2952B68D-67C7-4CCE-B9F7-9011741188F3}" name="Column10979"/>
    <tableColumn id="10987" xr3:uid="{B4A65137-6C56-4FEA-9878-36A948F45E78}" name="Column10980"/>
    <tableColumn id="10988" xr3:uid="{C34CD8F1-4CBD-4571-B536-4749689118AB}" name="Column10981"/>
    <tableColumn id="10989" xr3:uid="{DF5A22B9-F247-4D68-82F6-2A358F549821}" name="Column10982"/>
    <tableColumn id="10990" xr3:uid="{60C6FA90-E6B9-4BD1-8E68-55332A029D35}" name="Column10983"/>
    <tableColumn id="10991" xr3:uid="{739FD90F-2E63-4FD4-860B-3D93EF4A6D71}" name="Column10984"/>
    <tableColumn id="10992" xr3:uid="{4641E15F-DA42-45C8-A533-8BC5D7F89FDA}" name="Column10985"/>
    <tableColumn id="10993" xr3:uid="{E5F98695-2B24-47A3-A880-6AB181481310}" name="Column10986"/>
    <tableColumn id="10994" xr3:uid="{E0206995-AF8D-4B87-A5FC-A27A5C8300E8}" name="Column10987"/>
    <tableColumn id="10995" xr3:uid="{2985B68F-50D7-4F79-BA89-99556CBE85FE}" name="Column10988"/>
    <tableColumn id="10996" xr3:uid="{4714191A-FFF2-4DA0-A4CC-19EECBFAE354}" name="Column10989"/>
    <tableColumn id="10997" xr3:uid="{1674483C-CA21-4A84-BDD3-C1D6C4592C06}" name="Column10990"/>
    <tableColumn id="10998" xr3:uid="{7DE3B34B-8954-4BF0-94EC-5693A62F9848}" name="Column10991"/>
    <tableColumn id="10999" xr3:uid="{53BFD963-216D-4A72-BF0A-FC54B42E09AB}" name="Column10992"/>
    <tableColumn id="11000" xr3:uid="{878F9A0D-2FF5-4FC4-B34C-0C5CB5128384}" name="Column10993"/>
    <tableColumn id="11001" xr3:uid="{7D103F3B-E4F4-4883-A9F8-5A32458A175F}" name="Column10994"/>
    <tableColumn id="11002" xr3:uid="{0EFEED2C-9520-4BB4-BA79-C17DBA2ADB9C}" name="Column10995"/>
    <tableColumn id="11003" xr3:uid="{D3DF59E5-4137-4BA1-929E-6CA251D571EF}" name="Column10996"/>
    <tableColumn id="11004" xr3:uid="{B960D2D7-A54C-4020-ACF0-9948A3F5FA43}" name="Column10997"/>
    <tableColumn id="11005" xr3:uid="{06C28855-8FED-46D4-BCAD-7C994DA38E55}" name="Column10998"/>
    <tableColumn id="11006" xr3:uid="{95D1B762-E58E-45B4-B438-8DD6BD24D656}" name="Column10999"/>
    <tableColumn id="11007" xr3:uid="{86EC2A9A-75F1-41D0-9675-3012ABCF11B2}" name="Column11000"/>
    <tableColumn id="11008" xr3:uid="{52646A6F-DD45-4221-BCCF-1328AD57F448}" name="Column11001"/>
    <tableColumn id="11009" xr3:uid="{E35C98BC-D25C-4373-99DC-090AC547E3B3}" name="Column11002"/>
    <tableColumn id="11010" xr3:uid="{5B926894-1EFC-428A-8C32-9224CE992A3F}" name="Column11003"/>
    <tableColumn id="11011" xr3:uid="{4427585B-4779-4D1E-B827-63CA3E8EF32D}" name="Column11004"/>
    <tableColumn id="11012" xr3:uid="{D941E363-7450-47E9-9AC8-0CA4396481F4}" name="Column11005"/>
    <tableColumn id="11013" xr3:uid="{C03F442D-AAF7-46F8-8442-13A7BF5EFA67}" name="Column11006"/>
    <tableColumn id="11014" xr3:uid="{C72F0B0B-7C08-4F39-90C3-FBE88AF53B73}" name="Column11007"/>
    <tableColumn id="11015" xr3:uid="{E5D851C5-B55B-47C0-B046-72C0FD71245E}" name="Column11008"/>
    <tableColumn id="11016" xr3:uid="{FE4695D1-641A-4A59-B65F-2122230282D5}" name="Column11009"/>
    <tableColumn id="11017" xr3:uid="{9DDB1989-A419-4420-A5DB-F286AE61158C}" name="Column11010"/>
    <tableColumn id="11018" xr3:uid="{CA3D6F33-A8FE-41D4-9957-50BB84D6DDEF}" name="Column11011"/>
    <tableColumn id="11019" xr3:uid="{3B6F1DD8-58AE-42E5-BDD7-3DDFC7E9B858}" name="Column11012"/>
    <tableColumn id="11020" xr3:uid="{7046BB77-2BAF-4B31-9312-EA9EE0F35903}" name="Column11013"/>
    <tableColumn id="11021" xr3:uid="{1E444B01-1DE7-4BE1-B8CA-0515C97C8301}" name="Column11014"/>
    <tableColumn id="11022" xr3:uid="{460BE39A-6E67-4CC0-9C38-6759296727C6}" name="Column11015"/>
    <tableColumn id="11023" xr3:uid="{487ADA2E-E6B3-42D4-B53E-1EB28F2C43E3}" name="Column11016"/>
    <tableColumn id="11024" xr3:uid="{BDF395B0-90F2-4406-8AF7-901F1C27E70A}" name="Column11017"/>
    <tableColumn id="11025" xr3:uid="{7CE6F09C-ECB0-47B6-8E66-61BF7DCB7855}" name="Column11018"/>
    <tableColumn id="11026" xr3:uid="{C461468F-6CBC-4FEC-97D0-575D05FA5704}" name="Column11019"/>
    <tableColumn id="11027" xr3:uid="{B44A1067-41FC-4DCF-8FCD-33AAB5B600E6}" name="Column11020"/>
    <tableColumn id="11028" xr3:uid="{177808F0-4209-4BF9-A488-0A387DEC0BB3}" name="Column11021"/>
    <tableColumn id="11029" xr3:uid="{56BD511D-D9AB-42E7-BE49-DFEAEA626EC2}" name="Column11022"/>
    <tableColumn id="11030" xr3:uid="{0BA0F285-1935-4884-AD0F-D1451F6CE06C}" name="Column11023"/>
    <tableColumn id="11031" xr3:uid="{6BAB3EB7-8618-4705-81C2-A89290621E94}" name="Column11024"/>
    <tableColumn id="11032" xr3:uid="{DA9B0E63-EA87-4A7F-BBEA-A18FDEECD803}" name="Column11025"/>
    <tableColumn id="11033" xr3:uid="{C57B5C8F-24B4-47B3-877D-3B3B72312D98}" name="Column11026"/>
    <tableColumn id="11034" xr3:uid="{8BE74776-2644-4F45-BA56-ACE2C34FE518}" name="Column11027"/>
    <tableColumn id="11035" xr3:uid="{E42F910B-6810-4CFC-A199-6E22654863AD}" name="Column11028"/>
    <tableColumn id="11036" xr3:uid="{B50F96D1-869F-4E99-85A9-AD62C31BE431}" name="Column11029"/>
    <tableColumn id="11037" xr3:uid="{900F2C32-0333-407F-8BBF-8D1AD0D482B1}" name="Column11030"/>
    <tableColumn id="11038" xr3:uid="{7DDE6A1C-71A4-4783-9EF6-1568C28B77B5}" name="Column11031"/>
    <tableColumn id="11039" xr3:uid="{4B40B3B1-704E-4239-AD93-2E2B306C888C}" name="Column11032"/>
    <tableColumn id="11040" xr3:uid="{E2115FBE-E7D7-47E8-B6A7-1A906F16F08E}" name="Column11033"/>
    <tableColumn id="11041" xr3:uid="{E657A55E-F160-4857-BC0D-5EB605B1487E}" name="Column11034"/>
    <tableColumn id="11042" xr3:uid="{F367B7DF-F78E-4D1D-B7A1-3135BD006BA6}" name="Column11035"/>
    <tableColumn id="11043" xr3:uid="{206A176A-17C3-4168-9FDA-CA47DBB709B6}" name="Column11036"/>
    <tableColumn id="11044" xr3:uid="{39B20C15-C0CE-45C6-ACDA-539C57AEDDC1}" name="Column11037"/>
    <tableColumn id="11045" xr3:uid="{E106670A-554F-4F49-B1F0-97F2F56A168B}" name="Column11038"/>
    <tableColumn id="11046" xr3:uid="{A280D019-F03D-4826-ADD9-CBD49862B119}" name="Column11039"/>
    <tableColumn id="11047" xr3:uid="{671D5B36-5FFB-4BFC-9690-4D971D8545A4}" name="Column11040"/>
    <tableColumn id="11048" xr3:uid="{F9C89391-1CAF-4992-87BD-09DB931A45AE}" name="Column11041"/>
    <tableColumn id="11049" xr3:uid="{BB2492B7-F0B3-4D2F-B962-B3C9A3EEF71C}" name="Column11042"/>
    <tableColumn id="11050" xr3:uid="{E099170E-454E-4BEA-AE86-00D0264E0854}" name="Column11043"/>
    <tableColumn id="11051" xr3:uid="{2550D928-1154-4534-9391-045F59431556}" name="Column11044"/>
    <tableColumn id="11052" xr3:uid="{1FDD2D6C-47AC-438C-B01F-2BD65350109A}" name="Column11045"/>
    <tableColumn id="11053" xr3:uid="{0BF7EB1D-194B-4F46-A13D-FCE6C52B539A}" name="Column11046"/>
    <tableColumn id="11054" xr3:uid="{C9612F66-5B28-4552-89F9-7527A4F6821B}" name="Column11047"/>
    <tableColumn id="11055" xr3:uid="{138AFD19-2CE6-4DA9-95F3-7F8B838AE201}" name="Column11048"/>
    <tableColumn id="11056" xr3:uid="{5EC7F66C-57CB-4586-8901-1D3327D1813F}" name="Column11049"/>
    <tableColumn id="11057" xr3:uid="{CB766B4B-C0D5-4257-B142-58EFF9D40000}" name="Column11050"/>
    <tableColumn id="11058" xr3:uid="{54B3EF16-A242-4084-8F7A-FB2C923FED4F}" name="Column11051"/>
    <tableColumn id="11059" xr3:uid="{EC60C7C6-50CA-4972-A1B8-771BDAD31077}" name="Column11052"/>
    <tableColumn id="11060" xr3:uid="{149C0546-5BE8-4E17-85DF-89118FE653C5}" name="Column11053"/>
    <tableColumn id="11061" xr3:uid="{DE8BBAAC-F515-4027-8949-BD35AFAD8A8D}" name="Column11054"/>
    <tableColumn id="11062" xr3:uid="{A7FF0124-3502-4A0F-A9EC-64E2A46BC778}" name="Column11055"/>
    <tableColumn id="11063" xr3:uid="{42A69A44-9D5E-4AEA-B1B9-64432F6064E2}" name="Column11056"/>
    <tableColumn id="11064" xr3:uid="{F384D1DE-90E8-4A90-BF25-45A804CE0ABF}" name="Column11057"/>
    <tableColumn id="11065" xr3:uid="{C88B202F-5772-4C35-9685-518D5BDD3059}" name="Column11058"/>
    <tableColumn id="11066" xr3:uid="{541841CE-C232-402D-869A-098E51B05D01}" name="Column11059"/>
    <tableColumn id="11067" xr3:uid="{2009FD1E-3C80-40DC-99C1-61BD85E76BC8}" name="Column11060"/>
    <tableColumn id="11068" xr3:uid="{F9B91CEB-AA93-4FBF-9125-E4D4CD1FE44C}" name="Column11061"/>
    <tableColumn id="11069" xr3:uid="{D6A0298F-01B1-4797-92FE-D7A64FC998DA}" name="Column11062"/>
    <tableColumn id="11070" xr3:uid="{2FCBC30F-5CBF-4733-BEF4-271FBD9D67CC}" name="Column11063"/>
    <tableColumn id="11071" xr3:uid="{ED2996E0-7733-4442-BEA2-F9F7857EE550}" name="Column11064"/>
    <tableColumn id="11072" xr3:uid="{5934DF23-F5D6-4EA1-AF3A-3289460F4D5B}" name="Column11065"/>
    <tableColumn id="11073" xr3:uid="{B2EB2B87-E869-481B-98A0-A8D1EC312C07}" name="Column11066"/>
    <tableColumn id="11074" xr3:uid="{741CE028-2EFA-49EC-A2E9-A22EBC8EED56}" name="Column11067"/>
    <tableColumn id="11075" xr3:uid="{BE330A96-A098-4741-B592-3A50F8307903}" name="Column11068"/>
    <tableColumn id="11076" xr3:uid="{49737DBC-16F6-48F6-A230-97CA1F0CAC9E}" name="Column11069"/>
    <tableColumn id="11077" xr3:uid="{DE7CAC8F-D5F1-44BD-9CF6-DC3629BD0421}" name="Column11070"/>
    <tableColumn id="11078" xr3:uid="{F684C621-AFFA-421C-BFB7-EF5536C736D6}" name="Column11071"/>
    <tableColumn id="11079" xr3:uid="{924C35D1-9EC6-40A8-8E26-3F7F5E24F834}" name="Column11072"/>
    <tableColumn id="11080" xr3:uid="{AB29180D-08F3-4DCB-9A82-42F8A572B048}" name="Column11073"/>
    <tableColumn id="11081" xr3:uid="{631A3FEC-4BCF-4FA6-83E3-8C4D5CB846D1}" name="Column11074"/>
    <tableColumn id="11082" xr3:uid="{300DFA2D-2559-418D-B00F-0D8A5747F215}" name="Column11075"/>
    <tableColumn id="11083" xr3:uid="{5CD2386C-7BDC-4D98-A4F3-4DEA4A2459CF}" name="Column11076"/>
    <tableColumn id="11084" xr3:uid="{ECD30286-CA25-4A6E-A24D-07C1CBF020B7}" name="Column11077"/>
    <tableColumn id="11085" xr3:uid="{AD1BBE34-341F-4230-93C7-A85F392C0EC1}" name="Column11078"/>
    <tableColumn id="11086" xr3:uid="{DD0C64DE-549C-447D-B1AF-C33EAD964A57}" name="Column11079"/>
    <tableColumn id="11087" xr3:uid="{F4170354-8693-470F-8F92-14ACDEF87FE1}" name="Column11080"/>
    <tableColumn id="11088" xr3:uid="{180E4C84-C979-488B-AAD5-7CF080FA8079}" name="Column11081"/>
    <tableColumn id="11089" xr3:uid="{D94A8B84-F4CB-45A4-8835-4EC836110406}" name="Column11082"/>
    <tableColumn id="11090" xr3:uid="{DD039A28-774D-428B-9C5C-8F874542433F}" name="Column11083"/>
    <tableColumn id="11091" xr3:uid="{A74231F8-861C-49B9-9F53-6C7262FE80D5}" name="Column11084"/>
    <tableColumn id="11092" xr3:uid="{87664488-C804-4DC3-889F-CCFE4EFE6D8D}" name="Column11085"/>
    <tableColumn id="11093" xr3:uid="{42A0F269-5ACC-4F18-A7C7-526E3F81C9AE}" name="Column11086"/>
    <tableColumn id="11094" xr3:uid="{D38C2AB7-1386-4BCC-8309-08CA8DD67008}" name="Column11087"/>
    <tableColumn id="11095" xr3:uid="{03DFC00C-D038-4621-AE27-0CFE92DA9203}" name="Column11088"/>
    <tableColumn id="11096" xr3:uid="{69CE541D-44E4-488A-B0A9-869785744F59}" name="Column11089"/>
    <tableColumn id="11097" xr3:uid="{42CDB305-5212-45E4-B877-6E0A50E1858D}" name="Column11090"/>
    <tableColumn id="11098" xr3:uid="{74834EA0-41BC-48B8-ABB5-2C6E6B619E2D}" name="Column11091"/>
    <tableColumn id="11099" xr3:uid="{43C76B4C-5D66-46EA-9730-47E360E9E628}" name="Column11092"/>
    <tableColumn id="11100" xr3:uid="{78FC23E2-90D9-43AA-9805-EB927B58B506}" name="Column11093"/>
    <tableColumn id="11101" xr3:uid="{2229933E-9F06-4D36-9848-0751434929E3}" name="Column11094"/>
    <tableColumn id="11102" xr3:uid="{83EB3FA6-4189-4784-AEE6-53E5A63FF019}" name="Column11095"/>
    <tableColumn id="11103" xr3:uid="{11FC88CD-74B6-40EC-B607-72E9121F5827}" name="Column11096"/>
    <tableColumn id="11104" xr3:uid="{0939DD52-0F75-4EE1-BB22-79080D7E9B2E}" name="Column11097"/>
    <tableColumn id="11105" xr3:uid="{C6EA5CCE-2B7C-435A-824B-DC5FC6E0FA62}" name="Column11098"/>
    <tableColumn id="11106" xr3:uid="{AAECE50E-A2AF-4DAE-9CCF-C24B302C6248}" name="Column11099"/>
    <tableColumn id="11107" xr3:uid="{34A18501-DAC1-4D4D-92B5-725A0565D291}" name="Column11100"/>
    <tableColumn id="11108" xr3:uid="{E084ADB9-F908-42F4-8912-06AB703C512F}" name="Column11101"/>
    <tableColumn id="11109" xr3:uid="{627EFEAF-C7CA-44DD-AFF1-C137D580F23C}" name="Column11102"/>
    <tableColumn id="11110" xr3:uid="{D48EA91B-228C-4BA2-993F-0FF136A623FA}" name="Column11103"/>
    <tableColumn id="11111" xr3:uid="{81AB532C-63F9-4C73-A7FC-0F3F3002E7EE}" name="Column11104"/>
    <tableColumn id="11112" xr3:uid="{573E8635-CF73-4538-ABE4-EF339060B584}" name="Column11105"/>
    <tableColumn id="11113" xr3:uid="{9F60B326-82D2-41BA-B2F4-D91DD46C5134}" name="Column11106"/>
    <tableColumn id="11114" xr3:uid="{BEC8C329-C617-4114-B15A-87C60DD56C29}" name="Column11107"/>
    <tableColumn id="11115" xr3:uid="{16D56188-8302-42C3-BD84-901F55A8B275}" name="Column11108"/>
    <tableColumn id="11116" xr3:uid="{8FF8F4B8-EDAA-41DA-A975-E0085829A871}" name="Column11109"/>
    <tableColumn id="11117" xr3:uid="{5AC09FBA-8707-4F75-8EEE-7A1487437E59}" name="Column11110"/>
    <tableColumn id="11118" xr3:uid="{DEDDD5FF-F8A7-4DFA-B46E-E4E45EAB7BD9}" name="Column11111"/>
    <tableColumn id="11119" xr3:uid="{1C90D16C-05C9-4A06-A801-DEAB21C6238E}" name="Column11112"/>
    <tableColumn id="11120" xr3:uid="{1554B5D7-942E-470C-A66B-7B0CBF0639B2}" name="Column11113"/>
    <tableColumn id="11121" xr3:uid="{2EF0DE26-D3EA-434D-9850-E24282D1F1B0}" name="Column11114"/>
    <tableColumn id="11122" xr3:uid="{76C4AFD5-482C-48D2-9C1D-6819D42EACF6}" name="Column11115"/>
    <tableColumn id="11123" xr3:uid="{A7675E59-8AFC-45F3-9CFA-4E63D067EB2B}" name="Column11116"/>
    <tableColumn id="11124" xr3:uid="{979FA6D3-9C79-45AA-B9D8-13D7DF17AFE0}" name="Column11117"/>
    <tableColumn id="11125" xr3:uid="{FB0EB69D-2905-403B-8F71-EFDB4F14EE33}" name="Column11118"/>
    <tableColumn id="11126" xr3:uid="{A21CBD29-E899-4A80-BFB0-3AF52F2B2BC0}" name="Column11119"/>
    <tableColumn id="11127" xr3:uid="{DAFEA0DD-9113-44B5-9376-357E4D7042D0}" name="Column11120"/>
    <tableColumn id="11128" xr3:uid="{AFD2706C-3357-4974-A01A-57C3935A0099}" name="Column11121"/>
    <tableColumn id="11129" xr3:uid="{1CFF97B1-EEA7-4CAE-A25F-FC7BEC48A28F}" name="Column11122"/>
    <tableColumn id="11130" xr3:uid="{88A18823-46F8-462A-9A48-D580A9712F92}" name="Column11123"/>
    <tableColumn id="11131" xr3:uid="{D8D9D884-EA2F-446E-B93E-7E0E2358AE86}" name="Column11124"/>
    <tableColumn id="11132" xr3:uid="{12F5D830-0CA6-4C0B-B80E-9C33307854FC}" name="Column11125"/>
    <tableColumn id="11133" xr3:uid="{B46D09B4-36D0-4BE5-8FBA-22FE28445118}" name="Column11126"/>
    <tableColumn id="11134" xr3:uid="{D7EEA72E-774A-4EE0-88F7-ABAAACCB1443}" name="Column11127"/>
    <tableColumn id="11135" xr3:uid="{858343D3-6670-43AE-B4A9-97F1D3CF7B2D}" name="Column11128"/>
    <tableColumn id="11136" xr3:uid="{E8C0DAE7-EE09-47AB-8873-7EE1F42013B3}" name="Column11129"/>
    <tableColumn id="11137" xr3:uid="{573FB8C7-2E7C-479A-B48E-C6337BD82B28}" name="Column11130"/>
    <tableColumn id="11138" xr3:uid="{7CD37B92-72E4-4C75-AACB-718378FCEA50}" name="Column11131"/>
    <tableColumn id="11139" xr3:uid="{54B70915-20D3-4E59-83C1-CB7B9E5DA37E}" name="Column11132"/>
    <tableColumn id="11140" xr3:uid="{49D6F9EE-C1A1-4686-B2A8-2DF3B8C9F2FA}" name="Column11133"/>
    <tableColumn id="11141" xr3:uid="{4E0C2925-C739-4E25-A1BA-31953D13114D}" name="Column11134"/>
    <tableColumn id="11142" xr3:uid="{D82DCA62-441B-46C5-968E-561E729D9696}" name="Column11135"/>
    <tableColumn id="11143" xr3:uid="{9E128AA6-EE9E-4E08-AE72-8C1732FD337C}" name="Column11136"/>
    <tableColumn id="11144" xr3:uid="{28F6D6E5-1631-467F-8C01-FBD0769BC234}" name="Column11137"/>
    <tableColumn id="11145" xr3:uid="{3F1BE493-F352-44EB-BC27-FD251335D51B}" name="Column11138"/>
    <tableColumn id="11146" xr3:uid="{3397FE77-06BE-4E0C-95A6-457A2899C87E}" name="Column11139"/>
    <tableColumn id="11147" xr3:uid="{F0A02D8F-E8C4-4BAF-BE7C-F37728A03F88}" name="Column11140"/>
    <tableColumn id="11148" xr3:uid="{D4119C9D-BA4D-4BDC-9497-046B1D1EFD4C}" name="Column11141"/>
    <tableColumn id="11149" xr3:uid="{02D88175-8DA5-4F87-87E0-76661749D7E5}" name="Column11142"/>
    <tableColumn id="11150" xr3:uid="{EC128F53-7997-4383-99E0-C721F4E6D6F8}" name="Column11143"/>
    <tableColumn id="11151" xr3:uid="{B4662379-C5B3-477E-9DD0-3AE66865C2FD}" name="Column11144"/>
    <tableColumn id="11152" xr3:uid="{4DAFAD29-94C9-4B62-819F-F3914F38CDC9}" name="Column11145"/>
    <tableColumn id="11153" xr3:uid="{E65E0FF1-F98F-46D5-9007-9EA6CA666ED8}" name="Column11146"/>
    <tableColumn id="11154" xr3:uid="{107FD59B-6C8B-4BDE-80D3-C9C997A7AEF3}" name="Column11147"/>
    <tableColumn id="11155" xr3:uid="{7D870388-9140-4BDB-B3B6-2F862AD2B12D}" name="Column11148"/>
    <tableColumn id="11156" xr3:uid="{283AC5A2-6945-4ADD-AD23-917E1EC5CF27}" name="Column11149"/>
    <tableColumn id="11157" xr3:uid="{C7CC212B-1C23-40B7-BDF4-0BF1AB031BE4}" name="Column11150"/>
    <tableColumn id="11158" xr3:uid="{6EDBC0FC-5524-4CD1-B27F-E9EC4BC756EA}" name="Column11151"/>
    <tableColumn id="11159" xr3:uid="{051169CE-0D59-45ED-B985-A0BD259A8717}" name="Column11152"/>
    <tableColumn id="11160" xr3:uid="{0ADF2A12-7F5E-405F-9081-FD2DD95F6F16}" name="Column11153"/>
    <tableColumn id="11161" xr3:uid="{C5403999-5973-46D8-A34C-9B768CCAC920}" name="Column11154"/>
    <tableColumn id="11162" xr3:uid="{D0B0C249-67D3-4529-BF80-A41B0F10D302}" name="Column11155"/>
    <tableColumn id="11163" xr3:uid="{2DEDAE48-AC3C-47C1-8F8E-4B730DE4AAC2}" name="Column11156"/>
    <tableColumn id="11164" xr3:uid="{3A96BC3C-35C6-4BC5-9652-A88F76CF7C1F}" name="Column11157"/>
    <tableColumn id="11165" xr3:uid="{62839D01-6462-46DA-B22D-06A5901E2DE8}" name="Column11158"/>
    <tableColumn id="11166" xr3:uid="{59BF845E-532E-41E9-AB75-2F0C1D07E081}" name="Column11159"/>
    <tableColumn id="11167" xr3:uid="{538896D7-3978-4FCE-9A71-61FA7FAD533B}" name="Column11160"/>
    <tableColumn id="11168" xr3:uid="{0E1DB032-607B-4E1C-BC28-2F31F6D2D07F}" name="Column11161"/>
    <tableColumn id="11169" xr3:uid="{C0EAD18F-B102-408D-9FCA-3B397CACADB6}" name="Column11162"/>
    <tableColumn id="11170" xr3:uid="{84403368-03F0-42F2-A892-EC59BD8E815B}" name="Column11163"/>
    <tableColumn id="11171" xr3:uid="{6B51A82C-2270-4AD9-AC1C-E993FDBBC190}" name="Column11164"/>
    <tableColumn id="11172" xr3:uid="{35086FFE-9C93-4C8A-B63E-B442901FF755}" name="Column11165"/>
    <tableColumn id="11173" xr3:uid="{3BBB74B0-482F-4F8F-A839-0100C4C7D702}" name="Column11166"/>
    <tableColumn id="11174" xr3:uid="{F703FF8D-8B37-4600-82B9-CE690FA8D9BA}" name="Column11167"/>
    <tableColumn id="11175" xr3:uid="{83D5B962-5D12-4385-937B-39ACF273523A}" name="Column11168"/>
    <tableColumn id="11176" xr3:uid="{282B1AB7-2C3B-40E6-A8BD-5B450595CCFC}" name="Column11169"/>
    <tableColumn id="11177" xr3:uid="{3EF5D223-4ABF-44A3-9F4C-459631D10733}" name="Column11170"/>
    <tableColumn id="11178" xr3:uid="{66952F2D-1D73-4531-B014-F5B1EF3FE615}" name="Column11171"/>
    <tableColumn id="11179" xr3:uid="{036E3A25-44D4-4253-92D8-AC60CD2749FC}" name="Column11172"/>
    <tableColumn id="11180" xr3:uid="{A7D8F551-1C30-4277-962C-23EFCEAF579D}" name="Column11173"/>
    <tableColumn id="11181" xr3:uid="{6BC4BB08-2D09-49F2-937B-012716A37297}" name="Column11174"/>
    <tableColumn id="11182" xr3:uid="{CF143066-B6D3-4C97-88FA-6FB0AF473AD5}" name="Column11175"/>
    <tableColumn id="11183" xr3:uid="{63A12F67-8ABC-48F5-AD3D-DC9445D5B201}" name="Column11176"/>
    <tableColumn id="11184" xr3:uid="{188AC765-D08A-43FC-A98D-9DF605C3A99B}" name="Column11177"/>
    <tableColumn id="11185" xr3:uid="{4343019D-BDBC-4063-B3C9-364184E3FB91}" name="Column11178"/>
    <tableColumn id="11186" xr3:uid="{020FDDE1-F784-4365-A995-C522A8A740D3}" name="Column11179"/>
    <tableColumn id="11187" xr3:uid="{C424B509-F88D-456C-B428-1FF768ABA4B1}" name="Column11180"/>
    <tableColumn id="11188" xr3:uid="{DD656951-F20C-4C64-BFE2-8E7C0DC3FDCB}" name="Column11181"/>
    <tableColumn id="11189" xr3:uid="{4ECB832B-2B1E-435B-8B19-4579D7AB7926}" name="Column11182"/>
    <tableColumn id="11190" xr3:uid="{AF2134F6-10EA-412C-8579-4128177AE5A5}" name="Column11183"/>
    <tableColumn id="11191" xr3:uid="{7CCA2712-905B-49DE-983D-16CD1C86476F}" name="Column11184"/>
    <tableColumn id="11192" xr3:uid="{404A4471-FA85-44B8-A75B-FA9D6ED18FC5}" name="Column11185"/>
    <tableColumn id="11193" xr3:uid="{AB893CC2-6A82-4E8C-8012-1BA356B6DD17}" name="Column11186"/>
    <tableColumn id="11194" xr3:uid="{99685604-05B5-482F-93B2-02E8B643C1E2}" name="Column11187"/>
    <tableColumn id="11195" xr3:uid="{41D0370F-3829-4080-95ED-B2209B4FC7E9}" name="Column11188"/>
    <tableColumn id="11196" xr3:uid="{D45746C6-6D37-4D55-9B48-E31FE227E6B3}" name="Column11189"/>
    <tableColumn id="11197" xr3:uid="{DC3F1F39-6FC9-4A8E-A861-0DC1AB0089DC}" name="Column11190"/>
    <tableColumn id="11198" xr3:uid="{0A3F1CB2-694F-4FEF-BFE2-466CBD161F70}" name="Column11191"/>
    <tableColumn id="11199" xr3:uid="{3B8E0DA0-0BF4-4EC0-93AE-C447AAB8F75E}" name="Column11192"/>
    <tableColumn id="11200" xr3:uid="{69068772-DE0C-465F-B146-372C1FCF5144}" name="Column11193"/>
    <tableColumn id="11201" xr3:uid="{36DE4D7D-A675-4857-A2BA-90D7A1051899}" name="Column11194"/>
    <tableColumn id="11202" xr3:uid="{5CD6C05C-DB57-41EA-9C35-7351D84C026C}" name="Column11195"/>
    <tableColumn id="11203" xr3:uid="{BA49F18B-7432-4586-A736-2E92A6470C0C}" name="Column11196"/>
    <tableColumn id="11204" xr3:uid="{14B26A7D-202C-4F80-9931-F29446403413}" name="Column11197"/>
    <tableColumn id="11205" xr3:uid="{79788E94-5CEA-42BF-8F88-1BF364F714A1}" name="Column11198"/>
    <tableColumn id="11206" xr3:uid="{A0670C9E-A616-4B96-B9BE-F4A0CD1D222E}" name="Column11199"/>
    <tableColumn id="11207" xr3:uid="{CE9764DE-80F5-44E7-AE9E-5F7329FDC299}" name="Column11200"/>
    <tableColumn id="11208" xr3:uid="{B503B855-A855-40C5-A48C-BB8D1C921D22}" name="Column11201"/>
    <tableColumn id="11209" xr3:uid="{491B30B2-D2F7-4CE0-9247-D80C05D4323F}" name="Column11202"/>
    <tableColumn id="11210" xr3:uid="{8CDD36C8-EC49-4987-8618-74D1733586F6}" name="Column11203"/>
    <tableColumn id="11211" xr3:uid="{9365ED49-A750-47EA-91C1-3835D133AFB1}" name="Column11204"/>
    <tableColumn id="11212" xr3:uid="{ED12CCFD-04AE-4728-A1CD-AF78AA5295BF}" name="Column11205"/>
    <tableColumn id="11213" xr3:uid="{5BFCA6A2-BB62-45E8-85D1-787AAD40965E}" name="Column11206"/>
    <tableColumn id="11214" xr3:uid="{866C7507-5F01-43FD-8000-211E8896C102}" name="Column11207"/>
    <tableColumn id="11215" xr3:uid="{EF3D56E1-5D32-44D0-B493-36A8909A9AC2}" name="Column11208"/>
    <tableColumn id="11216" xr3:uid="{C05056A3-95E4-4C82-80F5-BEDEFBEC803B}" name="Column11209"/>
    <tableColumn id="11217" xr3:uid="{69E86452-8F7E-4FB9-B7FA-4EB7C5AEC9E2}" name="Column11210"/>
    <tableColumn id="11218" xr3:uid="{BD485124-9285-4A00-B4B7-E03F1EE418DF}" name="Column11211"/>
    <tableColumn id="11219" xr3:uid="{9E9C2CF1-9B1A-48BE-9D8F-4627EEB03B29}" name="Column11212"/>
    <tableColumn id="11220" xr3:uid="{80466600-4685-4F18-B580-99B49451CFD3}" name="Column11213"/>
    <tableColumn id="11221" xr3:uid="{2E873BD5-1EE3-4712-8414-A6CE354F88EF}" name="Column11214"/>
    <tableColumn id="11222" xr3:uid="{035CDAB2-BF99-4DBC-BDA2-860F57377C57}" name="Column11215"/>
    <tableColumn id="11223" xr3:uid="{8AC9A758-7C99-42B3-A892-8C4A39181B36}" name="Column11216"/>
    <tableColumn id="11224" xr3:uid="{A12B4F8E-B96E-47B3-8BF6-05DC585E2B35}" name="Column11217"/>
    <tableColumn id="11225" xr3:uid="{03A04CC8-55C1-4D4C-8E4D-E97BE8804C25}" name="Column11218"/>
    <tableColumn id="11226" xr3:uid="{BD1371ED-E1B9-4B6F-BAC8-A5BC051DD7E3}" name="Column11219"/>
    <tableColumn id="11227" xr3:uid="{3F8E1DB9-1A95-4CB7-8B8D-9F98C78C6832}" name="Column11220"/>
    <tableColumn id="11228" xr3:uid="{ECB1651B-9996-42DF-816F-866CEDEEAFD4}" name="Column11221"/>
    <tableColumn id="11229" xr3:uid="{FCA54C5A-8C31-4181-AD5B-CCE67BDCE07C}" name="Column11222"/>
    <tableColumn id="11230" xr3:uid="{D2DC01EF-1657-45F0-9F62-DB09F807D212}" name="Column11223"/>
    <tableColumn id="11231" xr3:uid="{CC00D770-A2E7-40A9-8ED5-F05929F753D0}" name="Column11224"/>
    <tableColumn id="11232" xr3:uid="{DF7DE724-1513-403A-B5B9-90A8DE7CEC08}" name="Column11225"/>
    <tableColumn id="11233" xr3:uid="{968250DE-181E-47DE-B076-31F25B10F267}" name="Column11226"/>
    <tableColumn id="11234" xr3:uid="{A85FE580-7300-4A87-AEB7-6E7659A3CDB4}" name="Column11227"/>
    <tableColumn id="11235" xr3:uid="{8E0D51EF-460B-461E-BA1C-9C1D0B4616A7}" name="Column11228"/>
    <tableColumn id="11236" xr3:uid="{8E6DB307-09BE-459E-A605-592EFC2D8AC7}" name="Column11229"/>
    <tableColumn id="11237" xr3:uid="{C9B6DBDB-800F-42CA-BE1C-7EE37C93B958}" name="Column11230"/>
    <tableColumn id="11238" xr3:uid="{8A2C4023-D3A3-4E84-9681-9704002FC2F2}" name="Column11231"/>
    <tableColumn id="11239" xr3:uid="{05FB8E9A-8C72-4238-9463-BEA317F06F1F}" name="Column11232"/>
    <tableColumn id="11240" xr3:uid="{FA6E9B51-A93A-4081-B1AD-D13FCA4A6D83}" name="Column11233"/>
    <tableColumn id="11241" xr3:uid="{3CEAE8AA-8FD3-472A-BBAC-D01386E7B676}" name="Column11234"/>
    <tableColumn id="11242" xr3:uid="{DAC4B878-B354-4F70-9574-ED7525F12605}" name="Column11235"/>
    <tableColumn id="11243" xr3:uid="{C5FED87B-4CF3-4A65-9709-36A6BB1F0240}" name="Column11236"/>
    <tableColumn id="11244" xr3:uid="{721A1FF3-26BC-4853-8EFB-7EEB7D35BEAB}" name="Column11237"/>
    <tableColumn id="11245" xr3:uid="{10F8B79F-C2D5-4387-B8BC-9B8901279298}" name="Column11238"/>
    <tableColumn id="11246" xr3:uid="{284A87C4-4FB9-4808-B6B4-0F1F2BEDBCDC}" name="Column11239"/>
    <tableColumn id="11247" xr3:uid="{7D2085BC-1CEC-461E-849E-7372C23BB6A9}" name="Column11240"/>
    <tableColumn id="11248" xr3:uid="{7BD7EBED-15FA-4E0D-ACBD-5ACF04FB3249}" name="Column11241"/>
    <tableColumn id="11249" xr3:uid="{4F420D6E-B69D-4130-9D45-AA09451B2F31}" name="Column11242"/>
    <tableColumn id="11250" xr3:uid="{DDB49D5C-C200-458D-90C6-20B9AAC636C3}" name="Column11243"/>
    <tableColumn id="11251" xr3:uid="{4573E10E-6EEC-4791-84E6-CF09EED08BC5}" name="Column11244"/>
    <tableColumn id="11252" xr3:uid="{F5A0D880-EF3A-4D86-9833-39574E81A062}" name="Column11245"/>
    <tableColumn id="11253" xr3:uid="{51DD6A61-49F0-4C21-95A0-98CE8BA6502B}" name="Column11246"/>
    <tableColumn id="11254" xr3:uid="{4672A3D8-A144-42B6-AFA0-DA04FA13E692}" name="Column11247"/>
    <tableColumn id="11255" xr3:uid="{CEF4CA37-886E-4632-9E1F-5BD5798A6B30}" name="Column11248"/>
    <tableColumn id="11256" xr3:uid="{322CAB05-5A33-4726-8927-261AE5A2DF91}" name="Column11249"/>
    <tableColumn id="11257" xr3:uid="{A3341802-7FE5-4741-BD44-123F9A5F80CA}" name="Column11250"/>
    <tableColumn id="11258" xr3:uid="{49D2EAE2-A76A-4395-B53A-E81F203BC548}" name="Column11251"/>
    <tableColumn id="11259" xr3:uid="{D17C0167-7E1D-47F5-BDA6-2ECDF236E7E1}" name="Column11252"/>
    <tableColumn id="11260" xr3:uid="{86586D77-8639-4500-BC46-4644EB160F6E}" name="Column11253"/>
    <tableColumn id="11261" xr3:uid="{06863C17-435E-44BD-96D5-5802FB672385}" name="Column11254"/>
    <tableColumn id="11262" xr3:uid="{8ED20875-6958-4956-80B8-6D7F438E38E9}" name="Column11255"/>
    <tableColumn id="11263" xr3:uid="{C3650B36-AA31-4227-861B-1316122BFF88}" name="Column11256"/>
    <tableColumn id="11264" xr3:uid="{F9C5B841-C080-43BA-BA66-0167826A2542}" name="Column11257"/>
    <tableColumn id="11265" xr3:uid="{AB3B0501-C3BD-4E67-AA5B-5B93A2F3A4F7}" name="Column11258"/>
    <tableColumn id="11266" xr3:uid="{5B8B3F4A-DE8F-4B04-9FE9-1B5AD6B74D51}" name="Column11259"/>
    <tableColumn id="11267" xr3:uid="{DCD64DE5-568E-42AB-93BA-02B017E37882}" name="Column11260"/>
    <tableColumn id="11268" xr3:uid="{47FCC0C1-8227-4264-8095-13369CD096F0}" name="Column11261"/>
    <tableColumn id="11269" xr3:uid="{F0F9FCDF-C025-4DCC-A55D-19ECF9B9AE12}" name="Column11262"/>
    <tableColumn id="11270" xr3:uid="{2B97E153-9834-4458-AA20-298602C91B61}" name="Column11263"/>
    <tableColumn id="11271" xr3:uid="{AE9269B0-8171-4806-8BD6-0B3FC8C46006}" name="Column11264"/>
    <tableColumn id="11272" xr3:uid="{84B5FCB2-0C87-4C4A-847B-585164BB524D}" name="Column11265"/>
    <tableColumn id="11273" xr3:uid="{8BBB1699-2D5E-4459-89B8-EC619213AA38}" name="Column11266"/>
    <tableColumn id="11274" xr3:uid="{9DB876C5-8466-4B38-BF7F-64613238DF95}" name="Column11267"/>
    <tableColumn id="11275" xr3:uid="{DC970789-E784-45CD-BD05-2ECE615C687C}" name="Column11268"/>
    <tableColumn id="11276" xr3:uid="{85D376A7-F877-47FD-82B7-C987AC42E199}" name="Column11269"/>
    <tableColumn id="11277" xr3:uid="{D7620CF3-0A6A-4840-89A5-6959053D0ED5}" name="Column11270"/>
    <tableColumn id="11278" xr3:uid="{734989EB-9C1A-4515-9F60-BD075D6CE82F}" name="Column11271"/>
    <tableColumn id="11279" xr3:uid="{CC43AD3D-A49B-438E-B150-6CB2255043CF}" name="Column11272"/>
    <tableColumn id="11280" xr3:uid="{8D096363-32D9-4BAE-AFEF-8D1FCBE81467}" name="Column11273"/>
    <tableColumn id="11281" xr3:uid="{4699D519-71B8-4D76-BD4E-E76B0C620FBE}" name="Column11274"/>
    <tableColumn id="11282" xr3:uid="{E9F20F7A-62C2-4AAC-9E60-CF07CAD4F0A9}" name="Column11275"/>
    <tableColumn id="11283" xr3:uid="{533D7AF8-FEC4-4F12-AD0B-23614DBC4CF6}" name="Column11276"/>
    <tableColumn id="11284" xr3:uid="{F2B2F7BD-B65D-44B3-9531-23310FD6EAF5}" name="Column11277"/>
    <tableColumn id="11285" xr3:uid="{F74BB2E2-F18A-4678-8DA7-B250F63D072C}" name="Column11278"/>
    <tableColumn id="11286" xr3:uid="{B7600609-8EB6-4BDD-8946-9ED4350039CA}" name="Column11279"/>
    <tableColumn id="11287" xr3:uid="{A877904C-496C-486B-9802-C37E0DC1829D}" name="Column11280"/>
    <tableColumn id="11288" xr3:uid="{A14A5C78-4F04-4AAF-B2A0-A6C26F81CC3A}" name="Column11281"/>
    <tableColumn id="11289" xr3:uid="{A5421E2C-B256-4D0A-933E-0A04F2AD03CF}" name="Column11282"/>
    <tableColumn id="11290" xr3:uid="{8C6DA55E-6A4B-4AC8-A43E-3C24677EA18E}" name="Column11283"/>
    <tableColumn id="11291" xr3:uid="{D0CE08FF-30D7-4070-9DEE-0909E6EB9C93}" name="Column11284"/>
    <tableColumn id="11292" xr3:uid="{DB2077F8-1EED-4F0A-B7DA-EB0B03A60770}" name="Column11285"/>
    <tableColumn id="11293" xr3:uid="{960275E5-5934-423B-8080-5EF160CE40E5}" name="Column11286"/>
    <tableColumn id="11294" xr3:uid="{63FDCD0B-3275-4938-939A-396CA328BC0D}" name="Column11287"/>
    <tableColumn id="11295" xr3:uid="{56ADA79F-2E40-4EC7-AC76-28F07E2D31FE}" name="Column11288"/>
    <tableColumn id="11296" xr3:uid="{C72DEF17-B310-4A75-B73C-70CB4EB0A67B}" name="Column11289"/>
    <tableColumn id="11297" xr3:uid="{6BAFFB27-8DB3-4E7D-BCC8-E77193540E43}" name="Column11290"/>
    <tableColumn id="11298" xr3:uid="{60073533-B482-451C-A3AF-02A8970DF5F9}" name="Column11291"/>
    <tableColumn id="11299" xr3:uid="{9E58D495-D343-4994-9E72-B062E849BE33}" name="Column11292"/>
    <tableColumn id="11300" xr3:uid="{C789FCB8-4E44-48B0-8B92-FD96D917A77B}" name="Column11293"/>
    <tableColumn id="11301" xr3:uid="{2E6D4C2E-6BCE-41BE-A8EB-660D6A641326}" name="Column11294"/>
    <tableColumn id="11302" xr3:uid="{A1FD98C9-610E-44C1-9D5C-3CDAA16C259D}" name="Column11295"/>
    <tableColumn id="11303" xr3:uid="{B5B67AD7-8807-4D7E-A2D7-AAF2B5786C86}" name="Column11296"/>
    <tableColumn id="11304" xr3:uid="{6BFBFAAF-2260-4DFC-9567-5FD80A1C9F22}" name="Column11297"/>
    <tableColumn id="11305" xr3:uid="{1D92AB63-E78A-4141-B8C1-71790A2176DC}" name="Column11298"/>
    <tableColumn id="11306" xr3:uid="{BB56EC21-39CB-4C60-A1D2-88F66E73687B}" name="Column11299"/>
    <tableColumn id="11307" xr3:uid="{C98B7D7C-BC23-42C2-93A6-2D617E6C26E2}" name="Column11300"/>
    <tableColumn id="11308" xr3:uid="{BB572970-DEBA-40CF-B05A-B397D95BAD74}" name="Column11301"/>
    <tableColumn id="11309" xr3:uid="{991641D0-4271-466E-914D-47A518C17A9C}" name="Column11302"/>
    <tableColumn id="11310" xr3:uid="{616390E1-9C1E-43F8-BBA3-E3DDD24018A0}" name="Column11303"/>
    <tableColumn id="11311" xr3:uid="{EAF7CECD-4CA1-4433-AA0B-83BB6996B0CE}" name="Column11304"/>
    <tableColumn id="11312" xr3:uid="{4B0E9026-4534-4062-B962-EB7CB9B7E18A}" name="Column11305"/>
    <tableColumn id="11313" xr3:uid="{4A704882-1749-411E-844B-6EC56A32B523}" name="Column11306"/>
    <tableColumn id="11314" xr3:uid="{54D4D30D-A8B4-47E8-A331-4CD1208A03F5}" name="Column11307"/>
    <tableColumn id="11315" xr3:uid="{FD002647-DC4E-4DD9-8DA5-BCD0E160AA7A}" name="Column11308"/>
    <tableColumn id="11316" xr3:uid="{A8C2AECC-6528-480C-8AFF-2C0A0207C44F}" name="Column11309"/>
    <tableColumn id="11317" xr3:uid="{B32CF258-1E87-4CE6-9CD3-665900412C84}" name="Column11310"/>
    <tableColumn id="11318" xr3:uid="{2F3188A6-C684-4520-BD53-B728A244AC80}" name="Column11311"/>
    <tableColumn id="11319" xr3:uid="{D373158D-084F-46C6-9835-BA7D15042D89}" name="Column11312"/>
    <tableColumn id="11320" xr3:uid="{49BCBE0A-6C39-49B4-BA9C-7AF9195E52BB}" name="Column11313"/>
    <tableColumn id="11321" xr3:uid="{C73A4440-9E2A-4219-9CF8-08AB99A262EE}" name="Column11314"/>
    <tableColumn id="11322" xr3:uid="{C681C9AC-1B2F-4E06-AB04-8D646000127C}" name="Column11315"/>
    <tableColumn id="11323" xr3:uid="{50B8FDFA-5A01-4B13-B0F9-E666D22BE962}" name="Column11316"/>
    <tableColumn id="11324" xr3:uid="{F0DE5E7C-A31F-4368-8A96-A155C0444C80}" name="Column11317"/>
    <tableColumn id="11325" xr3:uid="{068B3FB1-9D6A-4F6F-9996-06D6F990D681}" name="Column11318"/>
    <tableColumn id="11326" xr3:uid="{8E48136C-14F2-4050-84FA-978DA66DCFEB}" name="Column11319"/>
    <tableColumn id="11327" xr3:uid="{A0804AB1-4EA8-4D98-9A7E-FE1C93AFB195}" name="Column11320"/>
    <tableColumn id="11328" xr3:uid="{A49E3E36-4FD5-460B-A7E6-2B9372E49296}" name="Column11321"/>
    <tableColumn id="11329" xr3:uid="{6DA8A2A2-9507-416E-B23E-2C1BBB0379B4}" name="Column11322"/>
    <tableColumn id="11330" xr3:uid="{1A6FDC7E-CEBC-436A-A697-FA1571748CDB}" name="Column11323"/>
    <tableColumn id="11331" xr3:uid="{B51DACF6-6C62-4F02-BA70-9E52DC387E3A}" name="Column11324"/>
    <tableColumn id="11332" xr3:uid="{1D84A1F4-2A19-4F1F-A186-A65D9C09E5BE}" name="Column11325"/>
    <tableColumn id="11333" xr3:uid="{4D6A1B19-D52F-41A0-9F4F-C09B2B893747}" name="Column11326"/>
    <tableColumn id="11334" xr3:uid="{2236F37A-7B85-46ED-8D02-E837D91182DE}" name="Column11327"/>
    <tableColumn id="11335" xr3:uid="{4BBDF2E2-9F5B-4C0D-871A-BB128F097A9B}" name="Column11328"/>
    <tableColumn id="11336" xr3:uid="{1AF7BD15-0208-4EA4-AB34-B210BBBEE0E2}" name="Column11329"/>
    <tableColumn id="11337" xr3:uid="{0951416F-63C5-4748-9156-0EF857A184BE}" name="Column11330"/>
    <tableColumn id="11338" xr3:uid="{5BD3E28B-B68E-46AE-9B46-C830949B648B}" name="Column11331"/>
    <tableColumn id="11339" xr3:uid="{9B835253-E51B-464E-B111-E3E2998179C2}" name="Column11332"/>
    <tableColumn id="11340" xr3:uid="{808F6415-DD53-4657-9C8E-C8C42A41A14D}" name="Column11333"/>
    <tableColumn id="11341" xr3:uid="{71E51988-C616-4347-9C90-6FE591D1164A}" name="Column11334"/>
    <tableColumn id="11342" xr3:uid="{80C640B0-B084-4A28-8A7E-BEE90CD50BD6}" name="Column11335"/>
    <tableColumn id="11343" xr3:uid="{D549A233-490A-4EDC-8C25-EB8BE28B98BB}" name="Column11336"/>
    <tableColumn id="11344" xr3:uid="{6200CB54-7370-47A2-B364-47FC0B3224DB}" name="Column11337"/>
    <tableColumn id="11345" xr3:uid="{98B6B7B2-1E42-4EC0-AA78-193513AF5C3D}" name="Column11338"/>
    <tableColumn id="11346" xr3:uid="{D43E4F9D-A986-4053-81B4-3ECCA43C0540}" name="Column11339"/>
    <tableColumn id="11347" xr3:uid="{0C2D5BED-D774-44D7-92F6-AA076E41B700}" name="Column11340"/>
    <tableColumn id="11348" xr3:uid="{A7DEC8CE-C9CA-4B09-B0BF-1F70938A1F1C}" name="Column11341"/>
    <tableColumn id="11349" xr3:uid="{AD3681C7-1248-423A-A7AC-4060B4BBC96C}" name="Column11342"/>
    <tableColumn id="11350" xr3:uid="{88FC89EB-60CF-45B2-84AA-FB99300455EB}" name="Column11343"/>
    <tableColumn id="11351" xr3:uid="{4FA71C96-0768-4C97-A104-1E9FEBA79E87}" name="Column11344"/>
    <tableColumn id="11352" xr3:uid="{ADEBFE8B-68BB-49F8-971F-EBCFAA5D401C}" name="Column11345"/>
    <tableColumn id="11353" xr3:uid="{B04B96C0-1191-4670-9620-BFF35D4E74EE}" name="Column11346"/>
    <tableColumn id="11354" xr3:uid="{7CB60AF1-5B97-4EFC-8FA6-AF26228C7B06}" name="Column11347"/>
    <tableColumn id="11355" xr3:uid="{FE87C269-D573-4376-834E-3F4DB7382D46}" name="Column11348"/>
    <tableColumn id="11356" xr3:uid="{EBE7866A-3B83-4328-A71B-D95F4FBE4DCE}" name="Column11349"/>
    <tableColumn id="11357" xr3:uid="{19A004D9-8EBA-4315-8B5E-A86682AD28B2}" name="Column11350"/>
    <tableColumn id="11358" xr3:uid="{871EE6FE-E082-4DED-B54C-713CC9DD5935}" name="Column11351"/>
    <tableColumn id="11359" xr3:uid="{A91BF58D-376A-4E0A-8B8B-77A21A29BC29}" name="Column11352"/>
    <tableColumn id="11360" xr3:uid="{35ED4920-A6DA-45B8-9E73-D6B355752353}" name="Column11353"/>
    <tableColumn id="11361" xr3:uid="{052FDAB9-EC7F-454D-B441-233F718EA163}" name="Column11354"/>
    <tableColumn id="11362" xr3:uid="{DDF95128-A373-4637-B060-157538EDC525}" name="Column11355"/>
    <tableColumn id="11363" xr3:uid="{53374C47-EA1F-407C-BD1B-D0B00CB8B7F4}" name="Column11356"/>
    <tableColumn id="11364" xr3:uid="{0B005FFA-7FFC-4478-B412-DF1F4A952E4C}" name="Column11357"/>
    <tableColumn id="11365" xr3:uid="{E0ABD88C-BA80-4DD2-B217-CE882A822024}" name="Column11358"/>
    <tableColumn id="11366" xr3:uid="{EA5BD104-E563-4F95-822D-D87788EC2ED5}" name="Column11359"/>
    <tableColumn id="11367" xr3:uid="{6CD60E10-4967-40D8-A92B-37545F2A036F}" name="Column11360"/>
    <tableColumn id="11368" xr3:uid="{A273CDEF-CF7A-4516-9CFC-D84A2667EC9D}" name="Column11361"/>
    <tableColumn id="11369" xr3:uid="{89F30E93-3E96-4728-A1F2-3A71B1E38CF9}" name="Column11362"/>
    <tableColumn id="11370" xr3:uid="{E9C7C897-6BC2-44A5-A287-9D827D6B65D2}" name="Column11363"/>
    <tableColumn id="11371" xr3:uid="{7E0AA090-C2D0-4222-8FEF-60562AF49542}" name="Column11364"/>
    <tableColumn id="11372" xr3:uid="{D9E4A548-FD4A-4C94-A907-9173AD881076}" name="Column11365"/>
    <tableColumn id="11373" xr3:uid="{EC3B3F99-EEFA-4810-8773-E6B916DB508B}" name="Column11366"/>
    <tableColumn id="11374" xr3:uid="{12F261E4-E711-42A2-A535-58D03E82EFA7}" name="Column11367"/>
    <tableColumn id="11375" xr3:uid="{B9323AD9-A535-4B73-A384-F624600C1E9F}" name="Column11368"/>
    <tableColumn id="11376" xr3:uid="{A3BDEC41-2023-4220-A112-2AEA7A6C7337}" name="Column11369"/>
    <tableColumn id="11377" xr3:uid="{04E3B778-B17B-491F-83D0-2CEA8859AE62}" name="Column11370"/>
    <tableColumn id="11378" xr3:uid="{CE94302E-FB2A-46F2-836B-E19C6AEBC20C}" name="Column11371"/>
    <tableColumn id="11379" xr3:uid="{3FF910D6-D423-4D92-B3DA-89F735B36432}" name="Column11372"/>
    <tableColumn id="11380" xr3:uid="{3CCAC6FC-7F89-4415-916C-9082AA1B1A98}" name="Column11373"/>
    <tableColumn id="11381" xr3:uid="{14D3087C-0AF4-4A65-8ACE-C7AE2B8B087A}" name="Column11374"/>
    <tableColumn id="11382" xr3:uid="{C5271438-ACBE-4D35-BC7C-C65D302F0C80}" name="Column11375"/>
    <tableColumn id="11383" xr3:uid="{764922EB-FE7C-49D3-BC31-56048ED6472C}" name="Column11376"/>
    <tableColumn id="11384" xr3:uid="{0FA613E3-4D5D-4316-B065-36BBA08AEFE9}" name="Column11377"/>
    <tableColumn id="11385" xr3:uid="{1D81397B-0188-40AC-BCD7-81510B229BF2}" name="Column11378"/>
    <tableColumn id="11386" xr3:uid="{9011B8C8-7A72-4F17-92EB-BA881093C4A4}" name="Column11379"/>
    <tableColumn id="11387" xr3:uid="{16AE8AF2-E65D-4077-B58E-90433C5C19F4}" name="Column11380"/>
    <tableColumn id="11388" xr3:uid="{76283B9B-3684-4C79-8E1B-97DE2F157489}" name="Column11381"/>
    <tableColumn id="11389" xr3:uid="{6071B910-513D-4026-A181-6629B6745781}" name="Column11382"/>
    <tableColumn id="11390" xr3:uid="{C13E715A-CC20-4F98-8C92-F986F8BD6684}" name="Column11383"/>
    <tableColumn id="11391" xr3:uid="{29F58B60-6E80-40D4-BA80-D668FC4A8E06}" name="Column11384"/>
    <tableColumn id="11392" xr3:uid="{0A377AF5-6F2E-43BE-91DE-EC3AB368C4AB}" name="Column11385"/>
    <tableColumn id="11393" xr3:uid="{EA0639E0-E245-438F-AFED-CBEC11E57396}" name="Column11386"/>
    <tableColumn id="11394" xr3:uid="{26B935D3-1223-4B45-AA3B-D34856006F36}" name="Column11387"/>
    <tableColumn id="11395" xr3:uid="{570AAADD-64D5-46C7-8B07-7494411655F7}" name="Column11388"/>
    <tableColumn id="11396" xr3:uid="{AF0AD9F0-3244-4302-AC9C-B48E7EAE22F3}" name="Column11389"/>
    <tableColumn id="11397" xr3:uid="{88B45342-5CEC-4B83-89CA-8FFD8057224B}" name="Column11390"/>
    <tableColumn id="11398" xr3:uid="{FF0BDB5E-A74F-4300-8EB7-4F3C24D6998F}" name="Column11391"/>
    <tableColumn id="11399" xr3:uid="{59353F91-BF50-40F8-89E6-B5E3CA8FA528}" name="Column11392"/>
    <tableColumn id="11400" xr3:uid="{8C4FA4EA-EE9A-4479-9E26-7339811EF7D2}" name="Column11393"/>
    <tableColumn id="11401" xr3:uid="{1C5854B7-F1CA-44B8-B646-AFEC0A56816D}" name="Column11394"/>
    <tableColumn id="11402" xr3:uid="{76EEEBFE-A55C-4F67-994D-2ED1144D5D52}" name="Column11395"/>
    <tableColumn id="11403" xr3:uid="{EA2899F2-4A1D-4105-A1FC-2B25382C0633}" name="Column11396"/>
    <tableColumn id="11404" xr3:uid="{BFF5E62A-2CFF-4AA7-B798-56C1EBBC32CC}" name="Column11397"/>
    <tableColumn id="11405" xr3:uid="{8459CB1F-BAE1-404F-A44D-4D4717F9ADF5}" name="Column11398"/>
    <tableColumn id="11406" xr3:uid="{1DAC2AB5-4CA1-430F-B31E-B7CF8568486C}" name="Column11399"/>
    <tableColumn id="11407" xr3:uid="{1D40E2DD-FB24-42F9-BA82-A318EC605B28}" name="Column11400"/>
    <tableColumn id="11408" xr3:uid="{00AF6EED-0EB9-490D-B5EF-559FC9BD7BAE}" name="Column11401"/>
    <tableColumn id="11409" xr3:uid="{D7D6E75A-C5CD-4A0D-8D9B-D63906AF42BA}" name="Column11402"/>
    <tableColumn id="11410" xr3:uid="{F87BF28C-3F4B-43F3-A4E5-3F4C69E5DFF2}" name="Column11403"/>
    <tableColumn id="11411" xr3:uid="{F04A369B-11C8-46E6-9212-0FEB62E43E47}" name="Column11404"/>
    <tableColumn id="11412" xr3:uid="{C45ED32B-6790-4A22-9AA1-F2E430E5A444}" name="Column11405"/>
    <tableColumn id="11413" xr3:uid="{EB810C0C-7B05-4F6B-9C8F-106F47ABE1FE}" name="Column11406"/>
    <tableColumn id="11414" xr3:uid="{8089EC7D-52A7-4DC7-B317-8680DED4BE76}" name="Column11407"/>
    <tableColumn id="11415" xr3:uid="{D961D400-8CC5-419A-83BB-376FEDD9A794}" name="Column11408"/>
    <tableColumn id="11416" xr3:uid="{2FB66C22-1F72-45AA-B68F-23B7A99DDD04}" name="Column11409"/>
    <tableColumn id="11417" xr3:uid="{3F483A5E-4537-4752-A5D2-7651C4C4345A}" name="Column11410"/>
    <tableColumn id="11418" xr3:uid="{ACB00258-89B4-4552-9D74-414A1A52326C}" name="Column11411"/>
    <tableColumn id="11419" xr3:uid="{B85BA416-E304-4FEE-A456-1D91CC1E3D8B}" name="Column11412"/>
    <tableColumn id="11420" xr3:uid="{669EFB98-FCB0-4F36-9276-EFE9D987FE3F}" name="Column11413"/>
    <tableColumn id="11421" xr3:uid="{6782FFD0-78BF-46BF-BC7D-4380665D8326}" name="Column11414"/>
    <tableColumn id="11422" xr3:uid="{A98A2C8A-13C6-4410-8FAC-23A1092DD784}" name="Column11415"/>
    <tableColumn id="11423" xr3:uid="{12FAFD45-612A-41B7-9B47-573241F87EA3}" name="Column11416"/>
    <tableColumn id="11424" xr3:uid="{DBEBCFFB-A373-4360-BE85-2DCA50FD82B2}" name="Column11417"/>
    <tableColumn id="11425" xr3:uid="{57FE2E31-1A77-4FDB-9E8E-46B92FE48551}" name="Column11418"/>
    <tableColumn id="11426" xr3:uid="{ED489E62-5050-4384-9E61-4801FE1A54B9}" name="Column11419"/>
    <tableColumn id="11427" xr3:uid="{F92916F2-6309-4354-80A4-91262A50E676}" name="Column11420"/>
    <tableColumn id="11428" xr3:uid="{D6EECD9A-37D4-4071-83B9-0FE0821A1FDA}" name="Column11421"/>
    <tableColumn id="11429" xr3:uid="{9156ACA1-4E4F-4ECC-9243-5C2573A3FFFA}" name="Column11422"/>
    <tableColumn id="11430" xr3:uid="{94C23A11-F0CE-4DE6-9245-046F03ABAA82}" name="Column11423"/>
    <tableColumn id="11431" xr3:uid="{671E9B6C-C244-48EF-9AD8-584C5787FBE5}" name="Column11424"/>
    <tableColumn id="11432" xr3:uid="{0EE0400D-78EB-4B68-B797-30499AEAB4E3}" name="Column11425"/>
    <tableColumn id="11433" xr3:uid="{401543A8-2215-464A-AC61-5381601C7C00}" name="Column11426"/>
    <tableColumn id="11434" xr3:uid="{FAA2095E-37E2-4825-AE26-0AE08152FFEA}" name="Column11427"/>
    <tableColumn id="11435" xr3:uid="{618A6616-0C6D-4FA7-A728-9B4FB3B1BA33}" name="Column11428"/>
    <tableColumn id="11436" xr3:uid="{C5DB9F5A-0750-45B3-A135-BA17EBB50886}" name="Column11429"/>
    <tableColumn id="11437" xr3:uid="{0F766377-7A6A-4992-BBF7-8EC6997CE281}" name="Column11430"/>
    <tableColumn id="11438" xr3:uid="{EFD1B65A-2FCF-4432-8DF0-0B6C376B7E48}" name="Column11431"/>
    <tableColumn id="11439" xr3:uid="{5E2DC721-BA81-49E7-A576-A42563D679D9}" name="Column11432"/>
    <tableColumn id="11440" xr3:uid="{FD77B59D-C16B-45C4-A2C7-85E5EAF2D2F5}" name="Column11433"/>
    <tableColumn id="11441" xr3:uid="{2A897DF3-1E33-4623-A537-8CCC3ED5D70D}" name="Column11434"/>
    <tableColumn id="11442" xr3:uid="{01DA0EC5-DFB2-4094-BF91-9307216A8A68}" name="Column11435"/>
    <tableColumn id="11443" xr3:uid="{3940AD01-2E1D-470B-A65D-3EEEBD30DAF6}" name="Column11436"/>
    <tableColumn id="11444" xr3:uid="{9204185E-6311-4B4C-B86D-680D57351F2C}" name="Column11437"/>
    <tableColumn id="11445" xr3:uid="{92FD01CB-4BC3-42AD-ABEF-0B540890F8E9}" name="Column11438"/>
    <tableColumn id="11446" xr3:uid="{43B17743-F2F3-4413-AB7F-7B4FAA94873F}" name="Column11439"/>
    <tableColumn id="11447" xr3:uid="{F37D804C-6402-4706-B93E-A81130E6C4EE}" name="Column11440"/>
    <tableColumn id="11448" xr3:uid="{3D85D548-0613-4020-AF84-29DC5C8E5ABC}" name="Column11441"/>
    <tableColumn id="11449" xr3:uid="{883BD499-5D88-40CC-94B9-EC47D9307559}" name="Column11442"/>
    <tableColumn id="11450" xr3:uid="{50EE50AA-2F75-4996-8074-DF376940CB58}" name="Column11443"/>
    <tableColumn id="11451" xr3:uid="{6F835DD6-EC6E-4408-B71F-316A51238AA0}" name="Column11444"/>
    <tableColumn id="11452" xr3:uid="{50F66CC8-BE95-4399-978D-CE846D4AD405}" name="Column11445"/>
    <tableColumn id="11453" xr3:uid="{5F27471D-E6BE-445B-AF3B-243A36A884D0}" name="Column11446"/>
    <tableColumn id="11454" xr3:uid="{56FA639F-80E0-410F-862B-2CF567A28FDF}" name="Column11447"/>
    <tableColumn id="11455" xr3:uid="{B87FCBF0-0B80-4E0F-A6C2-878A233BBDDE}" name="Column11448"/>
    <tableColumn id="11456" xr3:uid="{440482A4-51E7-4780-B219-D3F43CF9D5AF}" name="Column11449"/>
    <tableColumn id="11457" xr3:uid="{F8832900-5AF5-441A-835F-4FAF14D3E7BA}" name="Column11450"/>
    <tableColumn id="11458" xr3:uid="{F3809059-73BE-49DA-A0BF-99E93347C5F9}" name="Column11451"/>
    <tableColumn id="11459" xr3:uid="{6E9BEDC2-690E-421B-93C6-9542CE633592}" name="Column11452"/>
    <tableColumn id="11460" xr3:uid="{72F8F7BE-0E1A-40BA-B0C0-FFA0966B7AD7}" name="Column11453"/>
    <tableColumn id="11461" xr3:uid="{E1C24BCB-1D7F-46A5-8F20-076473B4ACDC}" name="Column11454"/>
    <tableColumn id="11462" xr3:uid="{B70A3994-969E-4D77-9096-FA007BB8EA89}" name="Column11455"/>
    <tableColumn id="11463" xr3:uid="{36A20E27-1D7B-46C6-8C0C-A027D28A5AF0}" name="Column11456"/>
    <tableColumn id="11464" xr3:uid="{295D1EE0-6F42-4953-8AC4-9BD54570B635}" name="Column11457"/>
    <tableColumn id="11465" xr3:uid="{6BD9CBF9-D219-4AED-8727-10AEE209C293}" name="Column11458"/>
    <tableColumn id="11466" xr3:uid="{69B39B02-1996-445C-9428-2ADEF795F941}" name="Column11459"/>
    <tableColumn id="11467" xr3:uid="{D145EC94-ACA0-4B44-BCC6-050D7FD5B6AA}" name="Column11460"/>
    <tableColumn id="11468" xr3:uid="{ECA22C3B-F619-4150-AB14-0DADF45DBFB2}" name="Column11461"/>
    <tableColumn id="11469" xr3:uid="{60A4708B-8A2A-4C39-AE48-A417138CE3DB}" name="Column11462"/>
    <tableColumn id="11470" xr3:uid="{16C5930D-E7B2-4AB5-964E-664F770A6FBB}" name="Column11463"/>
    <tableColumn id="11471" xr3:uid="{2C218A75-1B95-45AF-B4E4-85FCB13320D2}" name="Column11464"/>
    <tableColumn id="11472" xr3:uid="{846B3C87-BF03-4185-812A-7E95082D54A2}" name="Column11465"/>
    <tableColumn id="11473" xr3:uid="{B1E03EB4-120E-4B1B-B80F-A58411EC24B2}" name="Column11466"/>
    <tableColumn id="11474" xr3:uid="{7B692EF8-1ED7-4DFA-99FE-8E79823C99B8}" name="Column11467"/>
    <tableColumn id="11475" xr3:uid="{C75D558D-7B42-451E-B5F2-7287775E70CE}" name="Column11468"/>
    <tableColumn id="11476" xr3:uid="{7309C35F-4D44-4193-989B-F23E6AC35D0E}" name="Column11469"/>
    <tableColumn id="11477" xr3:uid="{BF0F7F65-A84B-46B2-B1D1-737F3530D9C5}" name="Column11470"/>
    <tableColumn id="11478" xr3:uid="{31EDA5B8-4CCE-401F-A39C-25EDE992F129}" name="Column11471"/>
    <tableColumn id="11479" xr3:uid="{188E5EF7-5BAE-49B7-BDAC-6B0CDC2C0755}" name="Column11472"/>
    <tableColumn id="11480" xr3:uid="{BB5C31FF-EE18-437E-AA4A-E15B035EBACE}" name="Column11473"/>
    <tableColumn id="11481" xr3:uid="{71CB56ED-17F1-4393-9ACB-264D35C5FFC8}" name="Column11474"/>
    <tableColumn id="11482" xr3:uid="{23715C03-E5AD-4610-B0B9-C0391EEC48C2}" name="Column11475"/>
    <tableColumn id="11483" xr3:uid="{0A5F2BFA-B91B-442B-8D01-75CD2029DA4B}" name="Column11476"/>
    <tableColumn id="11484" xr3:uid="{13DC4AA9-FEE4-4AC3-9F35-A97EE88A889A}" name="Column11477"/>
    <tableColumn id="11485" xr3:uid="{49ECB4B8-F905-4F48-900A-F6EECF30FF32}" name="Column11478"/>
    <tableColumn id="11486" xr3:uid="{C5BD05D2-DD06-4D0D-9F73-05A1BF2A6997}" name="Column11479"/>
    <tableColumn id="11487" xr3:uid="{953079B4-772B-4AA9-8DAE-DFC0A00E8437}" name="Column11480"/>
    <tableColumn id="11488" xr3:uid="{3D07820C-27D6-4387-B7BB-8A1A154D20FD}" name="Column11481"/>
    <tableColumn id="11489" xr3:uid="{6F4EBAB2-B807-4794-8130-B10E3DD455A6}" name="Column11482"/>
    <tableColumn id="11490" xr3:uid="{473EAF4F-9657-43C0-BF25-BE77E4DCFD58}" name="Column11483"/>
    <tableColumn id="11491" xr3:uid="{D8DF3722-0233-4EE0-A48A-F9E51D2C1A21}" name="Column11484"/>
    <tableColumn id="11492" xr3:uid="{E851DE53-EAF3-4069-B6A5-0C0C93AF5C43}" name="Column11485"/>
    <tableColumn id="11493" xr3:uid="{88523D92-BB93-4DD7-BEE2-30672A43E406}" name="Column11486"/>
    <tableColumn id="11494" xr3:uid="{42EE705F-1FFF-4F16-B9A0-21BC768E7612}" name="Column11487"/>
    <tableColumn id="11495" xr3:uid="{ECFFF126-F305-408D-B3DF-A64338DF9AA7}" name="Column11488"/>
    <tableColumn id="11496" xr3:uid="{9F6CC264-BD0D-4BD2-BBFC-396A2953C65C}" name="Column11489"/>
    <tableColumn id="11497" xr3:uid="{D32BF1AB-8C12-4853-92BE-7C8189C6E094}" name="Column11490"/>
    <tableColumn id="11498" xr3:uid="{0871CD7B-E9C9-424E-AEF0-0E0733874F6A}" name="Column11491"/>
    <tableColumn id="11499" xr3:uid="{60B889BE-F837-4C2E-9E0A-F40B69698A05}" name="Column11492"/>
    <tableColumn id="11500" xr3:uid="{C0924601-F20A-445E-853B-6E85777FFBA0}" name="Column11493"/>
    <tableColumn id="11501" xr3:uid="{CB725521-ADA6-4940-AF71-92AEC62D3E02}" name="Column11494"/>
    <tableColumn id="11502" xr3:uid="{4BB41528-C858-4259-9C17-D18B8E9620A5}" name="Column11495"/>
    <tableColumn id="11503" xr3:uid="{D9F7FCA1-1134-4D1A-84A2-1FAB50A84DEB}" name="Column11496"/>
    <tableColumn id="11504" xr3:uid="{8397D660-00F1-485E-A9B7-28751D41DD89}" name="Column11497"/>
    <tableColumn id="11505" xr3:uid="{EDC92CA4-79F7-4284-8E5B-BA4BD40BDDAA}" name="Column11498"/>
    <tableColumn id="11506" xr3:uid="{D0572E8F-50AF-4B21-8757-3F1BFCD209F5}" name="Column11499"/>
    <tableColumn id="11507" xr3:uid="{E0C13A63-97E6-4EEA-8BA9-1761F56C5ED2}" name="Column11500"/>
    <tableColumn id="11508" xr3:uid="{82A3A118-0CC3-435F-8584-70C2E82CAB9D}" name="Column11501"/>
    <tableColumn id="11509" xr3:uid="{F0A4A8F1-271F-4C71-A0A0-44C0BA738E14}" name="Column11502"/>
    <tableColumn id="11510" xr3:uid="{11464560-6BED-4023-85DA-58D483C076AA}" name="Column11503"/>
    <tableColumn id="11511" xr3:uid="{02E65EB0-8339-41A8-B3CD-67B1FD4B0039}" name="Column11504"/>
    <tableColumn id="11512" xr3:uid="{6376F6B6-25A6-403D-BB45-CCA7DA8E4FFB}" name="Column11505"/>
    <tableColumn id="11513" xr3:uid="{5F1ABEF2-99CC-435C-BC30-5D8C995E7C13}" name="Column11506"/>
    <tableColumn id="11514" xr3:uid="{EA9A5FF3-70ED-43D8-9800-3FE86B2493CA}" name="Column11507"/>
    <tableColumn id="11515" xr3:uid="{069E2150-8CEB-481F-A2E3-E82FB451BA3E}" name="Column11508"/>
    <tableColumn id="11516" xr3:uid="{943482A6-326E-4473-B4AB-3B5ACD2C2524}" name="Column11509"/>
    <tableColumn id="11517" xr3:uid="{85B71937-8F94-428D-B74C-1E88D3FD0411}" name="Column11510"/>
    <tableColumn id="11518" xr3:uid="{67322BC1-BA60-48AF-B9E7-4F8A025795D8}" name="Column11511"/>
    <tableColumn id="11519" xr3:uid="{062A4578-D481-4B32-BC1C-B5A67ABF2205}" name="Column11512"/>
    <tableColumn id="11520" xr3:uid="{210DDD21-6E43-4986-AC4F-76C87238985F}" name="Column11513"/>
    <tableColumn id="11521" xr3:uid="{7FDAD6C8-67BF-4433-9D82-BD1953E432FB}" name="Column11514"/>
    <tableColumn id="11522" xr3:uid="{62FF036A-CCD6-452F-9D34-469DB8DC9C3D}" name="Column11515"/>
    <tableColumn id="11523" xr3:uid="{B93BE607-E415-43D1-90A9-5400D0DAD66A}" name="Column11516"/>
    <tableColumn id="11524" xr3:uid="{6DEFEB13-7AF9-4867-BB73-692DA649243C}" name="Column11517"/>
    <tableColumn id="11525" xr3:uid="{2A417C41-351A-4D21-8333-D5B5F00DADEB}" name="Column11518"/>
    <tableColumn id="11526" xr3:uid="{4E5EA75D-657F-4355-871A-8E461A2CCC9E}" name="Column11519"/>
    <tableColumn id="11527" xr3:uid="{F01A2BA9-627A-4F8A-9302-6D103BEDF3DD}" name="Column11520"/>
    <tableColumn id="11528" xr3:uid="{F4AFD615-D59E-4237-A5BA-3E1144AF4073}" name="Column11521"/>
    <tableColumn id="11529" xr3:uid="{33389AFD-6B1D-4869-A533-9743ADBF795C}" name="Column11522"/>
    <tableColumn id="11530" xr3:uid="{5F741946-3F2A-49CD-98E1-B8946D8B8AE0}" name="Column11523"/>
    <tableColumn id="11531" xr3:uid="{30C0FCFE-E120-4277-B938-1D07F855C075}" name="Column11524"/>
    <tableColumn id="11532" xr3:uid="{FABAD125-8877-4AC2-A568-83108448CA7A}" name="Column11525"/>
    <tableColumn id="11533" xr3:uid="{B1573397-E9C1-4A09-B27D-8703AF4559D4}" name="Column11526"/>
    <tableColumn id="11534" xr3:uid="{8935FAE3-052F-4F41-9A62-3F51ABB607D9}" name="Column11527"/>
    <tableColumn id="11535" xr3:uid="{94B11D11-133D-423A-8DE4-14DEABCAD153}" name="Column11528"/>
    <tableColumn id="11536" xr3:uid="{7BE29512-C9E6-4676-ADEB-397BCBC525F2}" name="Column11529"/>
    <tableColumn id="11537" xr3:uid="{561FB240-CEB1-4AA5-89E9-33E0D54B9B82}" name="Column11530"/>
    <tableColumn id="11538" xr3:uid="{FACEF3E7-8B7D-411C-9B3B-1E13BF8D2E2D}" name="Column11531"/>
    <tableColumn id="11539" xr3:uid="{45CFA038-4A22-43AB-9D23-3DDAE1030E33}" name="Column11532"/>
    <tableColumn id="11540" xr3:uid="{C7B4B1F3-EC74-4930-84AA-B8350156894E}" name="Column11533"/>
    <tableColumn id="11541" xr3:uid="{565499E2-B11F-47B9-8C1D-125A9A4AD215}" name="Column11534"/>
    <tableColumn id="11542" xr3:uid="{4F612D0B-C17E-44EC-85DF-54E1E195CC67}" name="Column11535"/>
    <tableColumn id="11543" xr3:uid="{B15F0828-A73B-49A3-A77C-DB35BE1517EA}" name="Column11536"/>
    <tableColumn id="11544" xr3:uid="{81F4D154-2C1B-4467-BC5C-9C215DBB89D3}" name="Column11537"/>
    <tableColumn id="11545" xr3:uid="{0832AA9C-B69A-4A65-94C3-0A14D16D60F0}" name="Column11538"/>
    <tableColumn id="11546" xr3:uid="{FB9A265B-104C-4D8D-A4F3-007045ED0558}" name="Column11539"/>
    <tableColumn id="11547" xr3:uid="{297E7B97-E0BF-467C-8279-8A25BF4F9CC4}" name="Column11540"/>
    <tableColumn id="11548" xr3:uid="{92FF0AE6-F240-4DE2-8637-6ADBFE3658B7}" name="Column11541"/>
    <tableColumn id="11549" xr3:uid="{A76F1FCC-DC11-4261-92CC-6A9BE45010E0}" name="Column11542"/>
    <tableColumn id="11550" xr3:uid="{9F7DB747-5BDF-4D0F-8CC0-E5386114A13D}" name="Column11543"/>
    <tableColumn id="11551" xr3:uid="{DFF794D7-21DD-4431-BAA8-E86E8BB4808A}" name="Column11544"/>
    <tableColumn id="11552" xr3:uid="{B084A6DD-9038-4435-80EF-4F8CA4926BF4}" name="Column11545"/>
    <tableColumn id="11553" xr3:uid="{21E37CA3-432B-41C9-8B30-75E460A83D15}" name="Column11546"/>
    <tableColumn id="11554" xr3:uid="{54C1B37C-ECB2-42E1-BF06-15F645503035}" name="Column11547"/>
    <tableColumn id="11555" xr3:uid="{E9391C59-9951-4A54-931B-58D4C1248CDD}" name="Column11548"/>
    <tableColumn id="11556" xr3:uid="{142082B7-8A07-4A24-B442-5465E661AFE9}" name="Column11549"/>
    <tableColumn id="11557" xr3:uid="{0DE66D2C-56A1-4ECE-8635-27FEE3147A6E}" name="Column11550"/>
    <tableColumn id="11558" xr3:uid="{C4F42439-88C9-4496-AA92-78639AE83B81}" name="Column11551"/>
    <tableColumn id="11559" xr3:uid="{35BCF76C-FDAB-4C56-9FE4-8F61790A6152}" name="Column11552"/>
    <tableColumn id="11560" xr3:uid="{4C3852D3-94BF-4067-B801-665A4AF81032}" name="Column11553"/>
    <tableColumn id="11561" xr3:uid="{A0C7C05B-3166-44B4-A198-8785D79B2C5E}" name="Column11554"/>
    <tableColumn id="11562" xr3:uid="{53998262-75D4-4229-888C-55A128099F14}" name="Column11555"/>
    <tableColumn id="11563" xr3:uid="{5E69D2A2-6E6E-40FD-BF24-FC41C6730F6C}" name="Column11556"/>
    <tableColumn id="11564" xr3:uid="{7DD0E013-3CA5-471D-AE8B-DBE137FFA235}" name="Column11557"/>
    <tableColumn id="11565" xr3:uid="{8FF8A72C-3276-412B-B83F-18D2C1AFE73A}" name="Column11558"/>
    <tableColumn id="11566" xr3:uid="{F8D7FCF7-6899-4CF0-9ECD-16857B7211A6}" name="Column11559"/>
    <tableColumn id="11567" xr3:uid="{845A5BF0-16DF-4F4E-9B7A-4A185CA42902}" name="Column11560"/>
    <tableColumn id="11568" xr3:uid="{346EAD92-D3D2-4675-9444-8EF540C678FF}" name="Column11561"/>
    <tableColumn id="11569" xr3:uid="{0FDA3355-B7B6-4DFB-8206-920CC35101BE}" name="Column11562"/>
    <tableColumn id="11570" xr3:uid="{56065E8A-6EC4-41D3-9786-667541893F7C}" name="Column11563"/>
    <tableColumn id="11571" xr3:uid="{186F2549-F179-4216-A9EF-4CC7CBC466FA}" name="Column11564"/>
    <tableColumn id="11572" xr3:uid="{2F404237-261C-467E-8D32-9B230EB622E9}" name="Column11565"/>
    <tableColumn id="11573" xr3:uid="{A7C32D66-0EB2-4E6F-8E19-CFED35E8120D}" name="Column11566"/>
    <tableColumn id="11574" xr3:uid="{3AE89D41-7D92-450C-B7D3-0BF1C8C7AD8F}" name="Column11567"/>
    <tableColumn id="11575" xr3:uid="{E0DA30A4-A87B-49A0-A8B2-FC904054450A}" name="Column11568"/>
    <tableColumn id="11576" xr3:uid="{62711011-09B7-4720-A292-79697FA095EF}" name="Column11569"/>
    <tableColumn id="11577" xr3:uid="{215B8104-65D8-44E6-94C4-7E7D290D9D25}" name="Column11570"/>
    <tableColumn id="11578" xr3:uid="{4E1F89C7-B5DF-4168-B64B-8B089BA96B25}" name="Column11571"/>
    <tableColumn id="11579" xr3:uid="{5F89DC84-3FF2-4FCE-8A2E-CDF18F8AC02B}" name="Column11572"/>
    <tableColumn id="11580" xr3:uid="{D5810841-B655-4FBE-8142-2C8EC0E1B240}" name="Column11573"/>
    <tableColumn id="11581" xr3:uid="{7B734DC8-E6D2-45E8-80ED-2510B3251F7A}" name="Column11574"/>
    <tableColumn id="11582" xr3:uid="{FFACBC86-D4CE-4450-962C-EB1F2E1D5732}" name="Column11575"/>
    <tableColumn id="11583" xr3:uid="{C61140E8-A6AE-48A0-95D0-5108FC0238B8}" name="Column11576"/>
    <tableColumn id="11584" xr3:uid="{AAFC54E4-4B19-47D0-8F47-B56C6237CEB6}" name="Column11577"/>
    <tableColumn id="11585" xr3:uid="{CE91201A-B1EB-43F9-9475-5BAB268EEDE4}" name="Column11578"/>
    <tableColumn id="11586" xr3:uid="{302B291D-F961-49B7-B997-159A5EB7A43D}" name="Column11579"/>
    <tableColumn id="11587" xr3:uid="{53C066F7-2E44-4F3E-9B48-04F42D3EC465}" name="Column11580"/>
    <tableColumn id="11588" xr3:uid="{5A8C4A08-0096-4B4B-A113-875DA5772FEC}" name="Column11581"/>
    <tableColumn id="11589" xr3:uid="{15182C19-15A8-40CB-828C-44307A3FEB8A}" name="Column11582"/>
    <tableColumn id="11590" xr3:uid="{E4A88ABE-55CD-49B2-A621-116C18B5B28F}" name="Column11583"/>
    <tableColumn id="11591" xr3:uid="{7CDC670D-D366-4B00-B535-305906A90D2E}" name="Column11584"/>
    <tableColumn id="11592" xr3:uid="{449EC076-4C71-471D-9B90-E1659B393FC3}" name="Column11585"/>
    <tableColumn id="11593" xr3:uid="{F71D1B8C-C612-470D-8239-4EAA6D6F7466}" name="Column11586"/>
    <tableColumn id="11594" xr3:uid="{04A26586-9783-475F-AA7E-293DBC3700BC}" name="Column11587"/>
    <tableColumn id="11595" xr3:uid="{30192E70-DAB7-4B25-8311-9C14104F1603}" name="Column11588"/>
    <tableColumn id="11596" xr3:uid="{8EFA2544-C56B-4D52-A233-708BE1AEFDCC}" name="Column11589"/>
    <tableColumn id="11597" xr3:uid="{D712F42D-CF29-4FAE-83A7-9013EFA0EEDD}" name="Column11590"/>
    <tableColumn id="11598" xr3:uid="{740E03E2-1E1F-4DB9-9420-1D51016675C4}" name="Column11591"/>
    <tableColumn id="11599" xr3:uid="{E14D39F4-BD54-47AF-B1BC-EEE9116009C6}" name="Column11592"/>
    <tableColumn id="11600" xr3:uid="{7DD557E6-5C7C-445D-BD51-8A7E28551123}" name="Column11593"/>
    <tableColumn id="11601" xr3:uid="{70CC65A0-CC48-49FF-A568-3F2333DFC829}" name="Column11594"/>
    <tableColumn id="11602" xr3:uid="{D8799EA9-24C8-496C-8D37-CB9B17648D74}" name="Column11595"/>
    <tableColumn id="11603" xr3:uid="{86CBB723-D0FF-4212-B0F8-BD2F787AC9E8}" name="Column11596"/>
    <tableColumn id="11604" xr3:uid="{0DF80A37-17FF-4687-89BC-7CACDFF77449}" name="Column11597"/>
    <tableColumn id="11605" xr3:uid="{84C6B363-F99F-4E1C-9272-4A88D4A16B7E}" name="Column11598"/>
    <tableColumn id="11606" xr3:uid="{417F9E2D-56B6-4E83-9DF2-4FE9CFE469DF}" name="Column11599"/>
    <tableColumn id="11607" xr3:uid="{D731BD32-AC3D-4FED-B7F8-053760C51C55}" name="Column11600"/>
    <tableColumn id="11608" xr3:uid="{0E4F5B6C-807E-48A5-A99D-4A95B976954E}" name="Column11601"/>
    <tableColumn id="11609" xr3:uid="{DA1C71F8-6F28-4958-BEF1-F84B1A251DE7}" name="Column11602"/>
    <tableColumn id="11610" xr3:uid="{F243CB1A-4E90-49EE-A40A-4EE78A410967}" name="Column11603"/>
    <tableColumn id="11611" xr3:uid="{FD82AE6D-E428-46C0-B6C7-9606FC4DAD75}" name="Column11604"/>
    <tableColumn id="11612" xr3:uid="{C90748A7-E763-4626-86FF-F55FF2DB4AE2}" name="Column11605"/>
    <tableColumn id="11613" xr3:uid="{2A4CAF4C-D169-4EF7-B06B-443E8C5DD5AD}" name="Column11606"/>
    <tableColumn id="11614" xr3:uid="{93FF8EEF-F5C3-44AE-AC80-49E4EC55C3AC}" name="Column11607"/>
    <tableColumn id="11615" xr3:uid="{6244007C-CAC8-4828-A77E-00DF675A6020}" name="Column11608"/>
    <tableColumn id="11616" xr3:uid="{C64EDB8F-6598-4CBC-ACCE-479F063F79B6}" name="Column11609"/>
    <tableColumn id="11617" xr3:uid="{43083794-7778-4AD9-8FA9-E1F852C0413B}" name="Column11610"/>
    <tableColumn id="11618" xr3:uid="{844789A0-E30F-47C8-9C9E-E3471EA01D1D}" name="Column11611"/>
    <tableColumn id="11619" xr3:uid="{37DCD203-93BA-497A-AB5C-0C723B39703B}" name="Column11612"/>
    <tableColumn id="11620" xr3:uid="{489AFA1B-EB57-46C2-8A73-A9F0B8F916C1}" name="Column11613"/>
    <tableColumn id="11621" xr3:uid="{D97C12C2-3A07-4156-BEA7-FE0DF4720652}" name="Column11614"/>
    <tableColumn id="11622" xr3:uid="{EE9A84F0-8F57-49AF-A3AF-0F7115A1C326}" name="Column11615"/>
    <tableColumn id="11623" xr3:uid="{C0F76A3C-310B-4AC3-A5B7-06850A29736F}" name="Column11616"/>
    <tableColumn id="11624" xr3:uid="{A47F6E15-6D15-44BE-934B-26EA40F257D8}" name="Column11617"/>
    <tableColumn id="11625" xr3:uid="{495503CB-3BD5-4053-A042-03AEAF86A5E4}" name="Column11618"/>
    <tableColumn id="11626" xr3:uid="{2618B223-A6BC-4BAC-BD71-DCC7CA75950B}" name="Column11619"/>
    <tableColumn id="11627" xr3:uid="{2F9FFF68-AF63-4605-952D-D7B2F3892111}" name="Column11620"/>
    <tableColumn id="11628" xr3:uid="{18DBAF8C-7CA4-4A7F-A3C3-0A4BC766425C}" name="Column11621"/>
    <tableColumn id="11629" xr3:uid="{5F562D48-4BBF-4189-94CB-91EE2B5A64DA}" name="Column11622"/>
    <tableColumn id="11630" xr3:uid="{79CAE9EA-9874-4C20-A6DF-D1F2D558CA7A}" name="Column11623"/>
    <tableColumn id="11631" xr3:uid="{8C1E949C-F3A7-48E2-8E5B-F08DE9B884DB}" name="Column11624"/>
    <tableColumn id="11632" xr3:uid="{42FCB381-2833-4020-B2C1-ED9C5CDBF50B}" name="Column11625"/>
    <tableColumn id="11633" xr3:uid="{CA1B83DA-454C-404D-9CA0-809DF41B7970}" name="Column11626"/>
    <tableColumn id="11634" xr3:uid="{A4EF0EAF-D79B-4E42-911D-E80BD418FB70}" name="Column11627"/>
    <tableColumn id="11635" xr3:uid="{1E7FA802-C588-48DD-AD87-7A7E3D5183D1}" name="Column11628"/>
    <tableColumn id="11636" xr3:uid="{ADF5E0A8-A0A5-4644-9DF2-7743238020DA}" name="Column11629"/>
    <tableColumn id="11637" xr3:uid="{50A9B77A-4CD3-4556-BD15-0B4E87B2255D}" name="Column11630"/>
    <tableColumn id="11638" xr3:uid="{AEBF1EDA-B56B-4AA7-B5E3-7B677561CD55}" name="Column11631"/>
    <tableColumn id="11639" xr3:uid="{B610C98B-C9EA-4762-8ACA-C601AB22D227}" name="Column11632"/>
    <tableColumn id="11640" xr3:uid="{67F680C9-448E-464C-A9A5-4B6C67E99760}" name="Column11633"/>
    <tableColumn id="11641" xr3:uid="{1C15742B-E251-4E1C-A782-8A05DF41E5BD}" name="Column11634"/>
    <tableColumn id="11642" xr3:uid="{A1B9FF1F-752C-4932-948B-9698AC7FEDE0}" name="Column11635"/>
    <tableColumn id="11643" xr3:uid="{A868EDB6-74A5-4139-AE4E-E5E26449F868}" name="Column11636"/>
    <tableColumn id="11644" xr3:uid="{0F6CA31B-21F4-42DE-814F-56168356CBF8}" name="Column11637"/>
    <tableColumn id="11645" xr3:uid="{A6ABE14A-5B5D-400F-8A8F-C3FC459C5AF1}" name="Column11638"/>
    <tableColumn id="11646" xr3:uid="{82E17D40-DA88-4E8D-B9D7-A7F1845C35C0}" name="Column11639"/>
    <tableColumn id="11647" xr3:uid="{8484ACFE-A415-4785-8887-3491D2FBFD64}" name="Column11640"/>
    <tableColumn id="11648" xr3:uid="{8B6AC033-6413-4B94-BF75-5DAD4CAE3CCB}" name="Column11641"/>
    <tableColumn id="11649" xr3:uid="{727D75E1-9CB7-4ABD-8D01-9C1347BA23C4}" name="Column11642"/>
    <tableColumn id="11650" xr3:uid="{D82757ED-C967-4CEA-833B-02D48E307832}" name="Column11643"/>
    <tableColumn id="11651" xr3:uid="{207AC415-42CA-4862-B584-5F5F3CF19597}" name="Column11644"/>
    <tableColumn id="11652" xr3:uid="{CB62DBA2-2F33-490E-BE24-26E91E02E007}" name="Column11645"/>
    <tableColumn id="11653" xr3:uid="{A5ADFB90-78BD-40B0-9319-D331F8A6F48F}" name="Column11646"/>
    <tableColumn id="11654" xr3:uid="{9F85AF8B-08C6-4C45-9C30-77C7D8532410}" name="Column11647"/>
    <tableColumn id="11655" xr3:uid="{AFD70840-894C-4A93-B902-9BD1939AF040}" name="Column11648"/>
    <tableColumn id="11656" xr3:uid="{F6514C19-7398-4EC5-9F90-10EE82D6EEE8}" name="Column11649"/>
    <tableColumn id="11657" xr3:uid="{7CA5D97C-0C53-4782-B0CC-314261F01067}" name="Column11650"/>
    <tableColumn id="11658" xr3:uid="{47C33972-CEAC-4780-B17C-C5707D5C64E1}" name="Column11651"/>
    <tableColumn id="11659" xr3:uid="{F25EBC92-817E-4985-A530-E8A5B58376DE}" name="Column11652"/>
    <tableColumn id="11660" xr3:uid="{B1C180D3-5FFF-4A54-BF8A-D2808B9F8B28}" name="Column11653"/>
    <tableColumn id="11661" xr3:uid="{56C18384-84C2-4E1B-87F1-F0875D2BEE8D}" name="Column11654"/>
    <tableColumn id="11662" xr3:uid="{3F6F0037-F52F-4383-AD5F-8092BD730842}" name="Column11655"/>
    <tableColumn id="11663" xr3:uid="{E2043165-FF1E-474B-8492-6B3C929F1EDE}" name="Column11656"/>
    <tableColumn id="11664" xr3:uid="{F22732C8-A8CA-4E02-8F54-2229F437AD3E}" name="Column11657"/>
    <tableColumn id="11665" xr3:uid="{ED5A1D32-0BDA-4BE4-806D-5D92C684C4BC}" name="Column11658"/>
    <tableColumn id="11666" xr3:uid="{221C7995-771C-4FFC-A102-838B700EA8E2}" name="Column11659"/>
    <tableColumn id="11667" xr3:uid="{D5EE12C3-41F8-44F3-AD26-CFCEA0606636}" name="Column11660"/>
    <tableColumn id="11668" xr3:uid="{75F65F99-8C49-4628-A7D7-CAD0751A87DE}" name="Column11661"/>
    <tableColumn id="11669" xr3:uid="{23CB0D3C-EF8F-4300-BA2F-748268A06741}" name="Column11662"/>
    <tableColumn id="11670" xr3:uid="{E99F079D-ED99-4714-8E29-252B3786FC6C}" name="Column11663"/>
    <tableColumn id="11671" xr3:uid="{FBAD08A8-319B-4529-A394-51196B83A6ED}" name="Column11664"/>
    <tableColumn id="11672" xr3:uid="{3AA45E26-9231-4400-844F-C56DC7D76DC2}" name="Column11665"/>
    <tableColumn id="11673" xr3:uid="{FE1E92EA-C2AA-47A0-87F1-8EE49BD6586F}" name="Column11666"/>
    <tableColumn id="11674" xr3:uid="{2D15D262-C100-46BA-9B8F-AB1991885433}" name="Column11667"/>
    <tableColumn id="11675" xr3:uid="{2FBBF81B-0FAB-4BAB-8EAD-431E3AD3A54D}" name="Column11668"/>
    <tableColumn id="11676" xr3:uid="{72D7028A-131B-4B4B-ACEE-0FD92A32E4B7}" name="Column11669"/>
    <tableColumn id="11677" xr3:uid="{33DA013F-B6A5-433B-9742-10BFBC49A15D}" name="Column11670"/>
    <tableColumn id="11678" xr3:uid="{9BAC501F-D30C-4BAB-B5B8-985A71EDE478}" name="Column11671"/>
    <tableColumn id="11679" xr3:uid="{64D16D76-719C-493A-96D0-643675736B5A}" name="Column11672"/>
    <tableColumn id="11680" xr3:uid="{50201E1E-67A5-444C-8DD7-5FAAE0653D3D}" name="Column11673"/>
    <tableColumn id="11681" xr3:uid="{606FE04A-8F43-45F9-9ACB-F02A27AFE952}" name="Column11674"/>
    <tableColumn id="11682" xr3:uid="{35A1FA3F-06B3-49B4-93EA-784A84692909}" name="Column11675"/>
    <tableColumn id="11683" xr3:uid="{1DC391F6-E26F-470C-A96A-31105B55474B}" name="Column11676"/>
    <tableColumn id="11684" xr3:uid="{DF275C1B-E137-4317-BD77-504E673565F5}" name="Column11677"/>
    <tableColumn id="11685" xr3:uid="{2B39CAA9-5F94-43F9-865A-280665D0222E}" name="Column11678"/>
    <tableColumn id="11686" xr3:uid="{1D4138D2-9AA2-48FC-AAB2-40A250B53E77}" name="Column11679"/>
    <tableColumn id="11687" xr3:uid="{14B57AC7-18F7-4A1C-8D9E-31C8AC52DEF5}" name="Column11680"/>
    <tableColumn id="11688" xr3:uid="{3EFB2049-5880-4674-B75F-A396EC0445C1}" name="Column11681"/>
    <tableColumn id="11689" xr3:uid="{163CAA2A-7572-49B9-9F5F-D234C3C8DD5B}" name="Column11682"/>
    <tableColumn id="11690" xr3:uid="{956C5F80-E9C3-48CB-B4DE-BB916A5DF29F}" name="Column11683"/>
    <tableColumn id="11691" xr3:uid="{1AB694C9-69DC-45AC-9ADD-969AA769F1EC}" name="Column11684"/>
    <tableColumn id="11692" xr3:uid="{D1F72F45-E350-44E9-8D3B-E18CF92A87DC}" name="Column11685"/>
    <tableColumn id="11693" xr3:uid="{53300422-0861-419F-9A63-21E8E2E63EB6}" name="Column11686"/>
    <tableColumn id="11694" xr3:uid="{A7C41618-8592-465F-92AE-8EE6335E759C}" name="Column11687"/>
    <tableColumn id="11695" xr3:uid="{1D1FC14B-06B3-4880-A062-C1D60DA4ECFE}" name="Column11688"/>
    <tableColumn id="11696" xr3:uid="{D634B9A7-5D1B-4AD6-AA95-1FD43E2AEB85}" name="Column11689"/>
    <tableColumn id="11697" xr3:uid="{B7187FD6-1C7F-45B7-B162-EC130B2EDA9B}" name="Column11690"/>
    <tableColumn id="11698" xr3:uid="{2991E58C-E549-4752-897F-756D53150298}" name="Column11691"/>
    <tableColumn id="11699" xr3:uid="{BBEA8818-E44F-4667-9D61-18B4AE8C2230}" name="Column11692"/>
    <tableColumn id="11700" xr3:uid="{23C58D3F-A222-410E-8F62-143EDEA45040}" name="Column11693"/>
    <tableColumn id="11701" xr3:uid="{82774FFB-9362-4836-8CD1-715AA386E162}" name="Column11694"/>
    <tableColumn id="11702" xr3:uid="{AD5B03F3-2DF2-4ADE-85BF-9FA0658A3244}" name="Column11695"/>
    <tableColumn id="11703" xr3:uid="{0B6EB057-D871-4251-A06F-D9F60EF22531}" name="Column11696"/>
    <tableColumn id="11704" xr3:uid="{31766EE8-FD6A-495E-8C59-9DF210A7523C}" name="Column11697"/>
    <tableColumn id="11705" xr3:uid="{F4418B69-F4C4-4513-95A5-55FF227E848F}" name="Column11698"/>
    <tableColumn id="11706" xr3:uid="{66AC7DA9-F675-460D-B741-DD85EE7692D4}" name="Column11699"/>
    <tableColumn id="11707" xr3:uid="{629966A7-46C7-4A8B-9713-C9BC6C4BB1D1}" name="Column11700"/>
    <tableColumn id="11708" xr3:uid="{11E9972B-C9D4-43F2-8402-3739832F1AC1}" name="Column11701"/>
    <tableColumn id="11709" xr3:uid="{06904EA0-BD69-4D73-8554-260318596264}" name="Column11702"/>
    <tableColumn id="11710" xr3:uid="{19D96147-B2AA-4471-811C-44C4DCACE233}" name="Column11703"/>
    <tableColumn id="11711" xr3:uid="{C30952CD-1E1D-47F6-87DC-0D0624BAECE2}" name="Column11704"/>
    <tableColumn id="11712" xr3:uid="{BF72E60F-B8A1-4ADE-AF83-DB05B0AA511C}" name="Column11705"/>
    <tableColumn id="11713" xr3:uid="{77F12116-3EFD-4005-9782-D60143718A06}" name="Column11706"/>
    <tableColumn id="11714" xr3:uid="{E65AAFE2-843F-42E8-AD1F-86C05044FF48}" name="Column11707"/>
    <tableColumn id="11715" xr3:uid="{3B69E527-BBF7-499C-A5ED-E0B6CB83389F}" name="Column11708"/>
    <tableColumn id="11716" xr3:uid="{C2619B84-6575-4A93-90E2-A6A8AFDB1177}" name="Column11709"/>
    <tableColumn id="11717" xr3:uid="{8FD10A0D-CC20-4B9A-BE61-046A8E5A255C}" name="Column11710"/>
    <tableColumn id="11718" xr3:uid="{B371867C-AE88-407C-829C-A5CBCC5B7F8A}" name="Column11711"/>
    <tableColumn id="11719" xr3:uid="{C75A3E74-08B0-465A-B4FB-79370463460D}" name="Column11712"/>
    <tableColumn id="11720" xr3:uid="{C9DFBCCC-11C6-4B92-8115-FBDAA11A3A56}" name="Column11713"/>
    <tableColumn id="11721" xr3:uid="{0029A039-18E0-4392-A0EA-4F6FBCC150EB}" name="Column11714"/>
    <tableColumn id="11722" xr3:uid="{180E9A38-56EC-4762-94F4-EFACDB9D3B97}" name="Column11715"/>
    <tableColumn id="11723" xr3:uid="{40B2D08F-7323-4925-8B81-5C11A33B4A3B}" name="Column11716"/>
    <tableColumn id="11724" xr3:uid="{192FB975-961E-451E-AB65-19664E34C233}" name="Column11717"/>
    <tableColumn id="11725" xr3:uid="{CB2C6B34-D57C-491F-A738-7C7C04977F6A}" name="Column11718"/>
    <tableColumn id="11726" xr3:uid="{844B3D1C-F5E8-426F-96C7-D43187ABBDC4}" name="Column11719"/>
    <tableColumn id="11727" xr3:uid="{A2A713C4-9ABD-4B63-AF8C-B6229E6586A6}" name="Column11720"/>
    <tableColumn id="11728" xr3:uid="{91A4FA11-74B0-469F-AD63-9D83D569BAE7}" name="Column11721"/>
    <tableColumn id="11729" xr3:uid="{9A0B794C-6C84-4AB4-8B99-65AE730050BD}" name="Column11722"/>
    <tableColumn id="11730" xr3:uid="{2F7CF0FE-9DBD-4903-BC55-17E64DB0C077}" name="Column11723"/>
    <tableColumn id="11731" xr3:uid="{E4701E84-BC4C-42AF-975D-6B01BD924F2A}" name="Column11724"/>
    <tableColumn id="11732" xr3:uid="{9386FA0F-0F60-4248-A2DE-47E82EB660E6}" name="Column11725"/>
    <tableColumn id="11733" xr3:uid="{B1719FE7-CC4D-4E2B-ABEA-BF8FCAB9565E}" name="Column11726"/>
    <tableColumn id="11734" xr3:uid="{6F94BE5A-A6B2-4622-BD03-0DD46BFC3661}" name="Column11727"/>
    <tableColumn id="11735" xr3:uid="{BE7C10AF-DC7B-4211-BF6A-C052FC739149}" name="Column11728"/>
    <tableColumn id="11736" xr3:uid="{AE14868A-DC85-43C9-9B59-258433462621}" name="Column11729"/>
    <tableColumn id="11737" xr3:uid="{6E5A36FD-3C1C-4CD4-A532-B8A8627D807D}" name="Column11730"/>
    <tableColumn id="11738" xr3:uid="{55204059-72E3-4942-B8BA-5639045D743F}" name="Column11731"/>
    <tableColumn id="11739" xr3:uid="{13E88B5B-1203-43A6-A606-B84646E5ABAA}" name="Column11732"/>
    <tableColumn id="11740" xr3:uid="{512A72C3-5C74-4642-A072-961DD0643A44}" name="Column11733"/>
    <tableColumn id="11741" xr3:uid="{C113C865-D529-4671-B63B-B1A569CC28B7}" name="Column11734"/>
    <tableColumn id="11742" xr3:uid="{5B0E34AE-920B-4B0B-A4BD-3BC407854E7B}" name="Column11735"/>
    <tableColumn id="11743" xr3:uid="{CB4D6FFC-A195-4B72-A19F-0268FEAEF07C}" name="Column11736"/>
    <tableColumn id="11744" xr3:uid="{2EB68497-735C-4690-9578-EAD2B1091E36}" name="Column11737"/>
    <tableColumn id="11745" xr3:uid="{55ACE91E-742E-474D-B123-0FC5D80AA221}" name="Column11738"/>
    <tableColumn id="11746" xr3:uid="{B2A45438-793A-4839-A1C1-92CFF636E708}" name="Column11739"/>
    <tableColumn id="11747" xr3:uid="{41B1601F-762E-4FBA-893F-0ED49D11ACCD}" name="Column11740"/>
    <tableColumn id="11748" xr3:uid="{B05CC2D3-534E-47C4-8CE4-2DBDB25AEBC3}" name="Column11741"/>
    <tableColumn id="11749" xr3:uid="{986150C7-56C7-40DC-B000-91B4F65A4493}" name="Column11742"/>
    <tableColumn id="11750" xr3:uid="{A4B21618-ACD9-43EE-B5FB-CBD347EE9590}" name="Column11743"/>
    <tableColumn id="11751" xr3:uid="{36070C89-E6EA-4FDC-A4E7-0A6E1426476F}" name="Column11744"/>
    <tableColumn id="11752" xr3:uid="{5884C41D-59FB-4528-991A-012B32E4C3AB}" name="Column11745"/>
    <tableColumn id="11753" xr3:uid="{89C2B46C-E987-4BAF-A5AC-258F59A7983B}" name="Column11746"/>
    <tableColumn id="11754" xr3:uid="{2E709E5D-5382-4A2F-8D90-48E42179F78E}" name="Column11747"/>
    <tableColumn id="11755" xr3:uid="{B8455700-DD11-4A94-854A-3604BE7D1D22}" name="Column11748"/>
    <tableColumn id="11756" xr3:uid="{769208CA-729F-4A25-A7D8-A03241403D80}" name="Column11749"/>
    <tableColumn id="11757" xr3:uid="{BEBAF49E-B039-4EAC-AF0D-A9F0D10EC28B}" name="Column11750"/>
    <tableColumn id="11758" xr3:uid="{F6BA8DA2-D891-4838-B4A1-D9FBD1D89457}" name="Column11751"/>
    <tableColumn id="11759" xr3:uid="{884C0C3F-6B08-4798-94FF-432FA4986B9E}" name="Column11752"/>
    <tableColumn id="11760" xr3:uid="{AF1502CA-CAB8-4C9D-BF2C-E979B134AF44}" name="Column11753"/>
    <tableColumn id="11761" xr3:uid="{135169F5-204F-4ACC-A6A3-98F3AEA2185B}" name="Column11754"/>
    <tableColumn id="11762" xr3:uid="{6AF1F113-5157-46D8-B416-149F5F9393E7}" name="Column11755"/>
    <tableColumn id="11763" xr3:uid="{DCFECA31-0492-4D22-B6F1-50EF3313FCD0}" name="Column11756"/>
    <tableColumn id="11764" xr3:uid="{0EE89805-2D8A-42E4-AF62-D1462C36CF83}" name="Column11757"/>
    <tableColumn id="11765" xr3:uid="{8D84378E-F73B-40C9-ADEF-A4C6698D7C77}" name="Column11758"/>
    <tableColumn id="11766" xr3:uid="{73704BA8-3F66-44AE-8683-E757D3B1F7FB}" name="Column11759"/>
    <tableColumn id="11767" xr3:uid="{CEA85E88-D5B6-45B2-898B-AE83CFB31E02}" name="Column11760"/>
    <tableColumn id="11768" xr3:uid="{CEDD780C-CE34-4ED9-88AE-E0554639214E}" name="Column11761"/>
    <tableColumn id="11769" xr3:uid="{6E8954B2-0542-4D44-8387-8F496BBDD81E}" name="Column11762"/>
    <tableColumn id="11770" xr3:uid="{5BC13DCA-CF19-4038-9C1A-A688B448D5E3}" name="Column11763"/>
    <tableColumn id="11771" xr3:uid="{75EF6E30-2573-45BB-A5C2-0FECFEE57A42}" name="Column11764"/>
    <tableColumn id="11772" xr3:uid="{923DF4FC-28AE-41DF-9F6B-BB5E8E071B08}" name="Column11765"/>
    <tableColumn id="11773" xr3:uid="{66C7004F-A8B2-447F-831F-A49B5E44BB86}" name="Column11766"/>
    <tableColumn id="11774" xr3:uid="{153DEEB9-924F-4315-AC59-D69340D2E1F4}" name="Column11767"/>
    <tableColumn id="11775" xr3:uid="{D053C09D-F15D-4C13-806B-AF6CF928526D}" name="Column11768"/>
    <tableColumn id="11776" xr3:uid="{60F45206-C9DF-4DC2-8E68-F0206F3B7FD7}" name="Column11769"/>
    <tableColumn id="11777" xr3:uid="{352BB8DF-8533-4163-A0EC-34FE3D8CB30F}" name="Column11770"/>
    <tableColumn id="11778" xr3:uid="{764AFC52-7DAA-49E5-8492-F48B05BE424F}" name="Column11771"/>
    <tableColumn id="11779" xr3:uid="{18B02F79-128D-4538-BA8D-07C7BCA27FBC}" name="Column11772"/>
    <tableColumn id="11780" xr3:uid="{CB0E3F1C-C1DE-464B-BE99-5D57BD408BE7}" name="Column11773"/>
    <tableColumn id="11781" xr3:uid="{F73579AD-D422-4E87-8138-B5344227396C}" name="Column11774"/>
    <tableColumn id="11782" xr3:uid="{3E0B3D2F-F16D-4269-856D-8F8CBA7FE062}" name="Column11775"/>
    <tableColumn id="11783" xr3:uid="{FB57EF34-5E50-4C52-8CDF-BDCDD87A8ABE}" name="Column11776"/>
    <tableColumn id="11784" xr3:uid="{435BA4B3-D91F-478F-9896-1628D4F4533F}" name="Column11777"/>
    <tableColumn id="11785" xr3:uid="{F6690929-83B2-4500-9777-3EB46DE51EA8}" name="Column11778"/>
    <tableColumn id="11786" xr3:uid="{3F8BC4A0-B197-4445-A380-CDDEC7D759C6}" name="Column11779"/>
    <tableColumn id="11787" xr3:uid="{167E4A9E-F0E6-460D-B315-D954259754CC}" name="Column11780"/>
    <tableColumn id="11788" xr3:uid="{7B926667-5DE5-4794-8E5C-8BD0FE82A434}" name="Column11781"/>
    <tableColumn id="11789" xr3:uid="{E996A30B-7EA2-4CA9-84F6-F72287237D74}" name="Column11782"/>
    <tableColumn id="11790" xr3:uid="{0D278CCC-923D-4549-AEF7-71A24BE331D0}" name="Column11783"/>
    <tableColumn id="11791" xr3:uid="{B38E6CB9-73CE-4B72-A184-E3BF3F965919}" name="Column11784"/>
    <tableColumn id="11792" xr3:uid="{ED048C6B-8D80-468D-A37A-5E0610DCAD0F}" name="Column11785"/>
    <tableColumn id="11793" xr3:uid="{64EA0F46-DD52-4D1D-B41A-3875963CCC19}" name="Column11786"/>
    <tableColumn id="11794" xr3:uid="{582F3886-B6C5-4B13-855B-A752918109A1}" name="Column11787"/>
    <tableColumn id="11795" xr3:uid="{39AF2061-0187-42AF-8966-0D6738414294}" name="Column11788"/>
    <tableColumn id="11796" xr3:uid="{E722D98C-D130-4083-9567-E303EE373DA9}" name="Column11789"/>
    <tableColumn id="11797" xr3:uid="{3238D21A-AA26-4425-8FA3-EA2CCEA2E164}" name="Column11790"/>
    <tableColumn id="11798" xr3:uid="{EA931106-16ED-4BC6-94EE-E9DF53B400BF}" name="Column11791"/>
    <tableColumn id="11799" xr3:uid="{24E89944-C32A-47B9-92F2-4CE90500FF46}" name="Column11792"/>
    <tableColumn id="11800" xr3:uid="{51B6654C-3AD2-4D3B-936A-B33730B4BE58}" name="Column11793"/>
    <tableColumn id="11801" xr3:uid="{ADED7BA1-49A6-41EA-8082-31E85ABFFAF7}" name="Column11794"/>
    <tableColumn id="11802" xr3:uid="{0E883114-285F-4A4C-9283-A25DCC73991B}" name="Column11795"/>
    <tableColumn id="11803" xr3:uid="{E79BD0DF-420D-415A-A9EB-D3EF932E86E9}" name="Column11796"/>
    <tableColumn id="11804" xr3:uid="{57251D74-EA58-4334-BDA6-75121DB5E89A}" name="Column11797"/>
    <tableColumn id="11805" xr3:uid="{FBCBE48B-091A-44F0-91F8-6FE4BB341E64}" name="Column11798"/>
    <tableColumn id="11806" xr3:uid="{1B4D5397-8247-46F0-82E1-73B89A9EC59F}" name="Column11799"/>
    <tableColumn id="11807" xr3:uid="{EA291D53-AC81-4C70-8E92-15ED0AD6E982}" name="Column11800"/>
    <tableColumn id="11808" xr3:uid="{DEE40E57-07AC-460F-8FA6-CA64A38A7152}" name="Column11801"/>
    <tableColumn id="11809" xr3:uid="{84FC77FE-1190-4B05-BFCA-4F8F8AC42225}" name="Column11802"/>
    <tableColumn id="11810" xr3:uid="{0AE17117-EDC6-46E6-B729-2BBF5ABF0D0C}" name="Column11803"/>
    <tableColumn id="11811" xr3:uid="{6480FF2B-AD08-4C3D-85E9-6625F47C0551}" name="Column11804"/>
    <tableColumn id="11812" xr3:uid="{271D2BEF-CCC0-4A6D-ADAE-7F189818B4FB}" name="Column11805"/>
    <tableColumn id="11813" xr3:uid="{28F2C020-8CE9-4248-BCD4-493BFD6E68C9}" name="Column11806"/>
    <tableColumn id="11814" xr3:uid="{F0C668CF-9186-4BC1-BCB5-54C31DC01649}" name="Column11807"/>
    <tableColumn id="11815" xr3:uid="{B4522908-97F4-4631-808D-362FD9671A51}" name="Column11808"/>
    <tableColumn id="11816" xr3:uid="{575FF20F-75B6-47D1-9C17-343030E9E1E9}" name="Column11809"/>
    <tableColumn id="11817" xr3:uid="{EBFC192A-CC7C-458E-BD1B-B87F743FD2C2}" name="Column11810"/>
    <tableColumn id="11818" xr3:uid="{1EBC5DB3-03DD-41AE-8835-C644E87252CE}" name="Column11811"/>
    <tableColumn id="11819" xr3:uid="{7FCEAF1F-8FD8-426F-980D-E6AD574AAAAC}" name="Column11812"/>
    <tableColumn id="11820" xr3:uid="{3E4F9DF5-797C-4B38-BE9A-FD556CBD7BAA}" name="Column11813"/>
    <tableColumn id="11821" xr3:uid="{26195062-77A7-47A8-A706-C9093632DC9D}" name="Column11814"/>
    <tableColumn id="11822" xr3:uid="{509EC8FC-9F8A-4E60-AC3E-91FE4F83E9D5}" name="Column11815"/>
    <tableColumn id="11823" xr3:uid="{345FAB2E-4D7A-41A6-A090-8D9D751A40E5}" name="Column11816"/>
    <tableColumn id="11824" xr3:uid="{69BA0FEC-89FC-481F-8EB3-CD05C8C22A92}" name="Column11817"/>
    <tableColumn id="11825" xr3:uid="{176FC27E-BAAE-4DAF-913D-FA34DB58B110}" name="Column11818"/>
    <tableColumn id="11826" xr3:uid="{93A33C49-2097-4E93-88D7-30EF20419BF3}" name="Column11819"/>
    <tableColumn id="11827" xr3:uid="{6377423A-BABD-45EB-AFE4-711DA96AE177}" name="Column11820"/>
    <tableColumn id="11828" xr3:uid="{A968AA2C-98D9-4F18-A632-81AA6233FBE0}" name="Column11821"/>
    <tableColumn id="11829" xr3:uid="{AD2B355D-72C2-4A9E-8FED-E36DC6E0F739}" name="Column11822"/>
    <tableColumn id="11830" xr3:uid="{551257E9-9F5E-4E16-A702-24D30F124E36}" name="Column11823"/>
    <tableColumn id="11831" xr3:uid="{76A17A47-A6D5-4B46-9A0C-9F3B97BC8D78}" name="Column11824"/>
    <tableColumn id="11832" xr3:uid="{06DDE270-BEB6-4951-81B4-0338A2BA5BD0}" name="Column11825"/>
    <tableColumn id="11833" xr3:uid="{75820D69-4A92-47B1-9B17-62A4F5F2F8C3}" name="Column11826"/>
    <tableColumn id="11834" xr3:uid="{F95EF4E3-B743-42D7-9B0D-97EB8282187E}" name="Column11827"/>
    <tableColumn id="11835" xr3:uid="{8DB9FA03-B577-462B-89C8-04B2232413DD}" name="Column11828"/>
    <tableColumn id="11836" xr3:uid="{9AD8FDF0-29FF-47C5-B0BA-B6163640F763}" name="Column11829"/>
    <tableColumn id="11837" xr3:uid="{F36EFF50-ED5C-4400-8659-F860005D4CB5}" name="Column11830"/>
    <tableColumn id="11838" xr3:uid="{7120B5E4-89C1-4E1C-A1E8-FA086B6FEEB7}" name="Column11831"/>
    <tableColumn id="11839" xr3:uid="{B9183F9E-CEE8-4947-AF67-D9D0348674D7}" name="Column11832"/>
    <tableColumn id="11840" xr3:uid="{163B4BDB-AAA5-46C3-913D-B9F63870875F}" name="Column11833"/>
    <tableColumn id="11841" xr3:uid="{B2CE9A51-71C1-4C6A-BDFC-8885F7962B52}" name="Column11834"/>
    <tableColumn id="11842" xr3:uid="{C9FDDBFB-FB8A-40F5-8BF5-3C4DDE7B788B}" name="Column11835"/>
    <tableColumn id="11843" xr3:uid="{6A6275A7-4F96-4321-A3A7-971362185047}" name="Column11836"/>
    <tableColumn id="11844" xr3:uid="{7F804166-6CA6-4FC6-8E0A-12A82D45289E}" name="Column11837"/>
    <tableColumn id="11845" xr3:uid="{AE200E5F-15A6-414D-8AA3-D4ED3CD39BC3}" name="Column11838"/>
    <tableColumn id="11846" xr3:uid="{EF8358D3-CDB4-4F8D-AF97-2F05D02338C4}" name="Column11839"/>
    <tableColumn id="11847" xr3:uid="{DF624264-101C-4C23-834C-F40551D31067}" name="Column11840"/>
    <tableColumn id="11848" xr3:uid="{26A929A3-4A87-43E8-AEAC-E7F6622C7120}" name="Column11841"/>
    <tableColumn id="11849" xr3:uid="{2AAE3AFB-B17A-424C-8F0E-494C6801C3D6}" name="Column11842"/>
    <tableColumn id="11850" xr3:uid="{672A4180-81BD-4109-B384-808C0C343CD5}" name="Column11843"/>
    <tableColumn id="11851" xr3:uid="{8B0FDEAF-0B13-4963-8BF6-5AB6F349C480}" name="Column11844"/>
    <tableColumn id="11852" xr3:uid="{2184D6B8-6ACF-4751-A6ED-A17192884AA2}" name="Column11845"/>
    <tableColumn id="11853" xr3:uid="{23724B3E-4FF4-435E-BFBB-D90A3AE01319}" name="Column11846"/>
    <tableColumn id="11854" xr3:uid="{F3784DBD-4726-4609-A777-CD79C6E7FF33}" name="Column11847"/>
    <tableColumn id="11855" xr3:uid="{570B9A39-53A1-41D2-891C-381A0B315C26}" name="Column11848"/>
    <tableColumn id="11856" xr3:uid="{33711F1E-5DEB-4A75-BC50-096CCB678348}" name="Column11849"/>
    <tableColumn id="11857" xr3:uid="{66814AD3-2BD1-4207-9CC7-E1D0867D39F8}" name="Column11850"/>
    <tableColumn id="11858" xr3:uid="{801B2BA9-E5C1-46A5-9D99-C7FD4D1418CF}" name="Column11851"/>
    <tableColumn id="11859" xr3:uid="{A309241C-18B8-4ECA-B18A-3F86912145C5}" name="Column11852"/>
    <tableColumn id="11860" xr3:uid="{58EFAD48-2E65-4CFF-8AB8-06281D608747}" name="Column11853"/>
    <tableColumn id="11861" xr3:uid="{AAD187D3-D30F-4805-8585-9D992B706665}" name="Column11854"/>
    <tableColumn id="11862" xr3:uid="{BD37018E-A15B-495C-A71F-783EA79C8129}" name="Column11855"/>
    <tableColumn id="11863" xr3:uid="{6A57671A-4CA3-4AD5-B934-2B1AFD4DAC37}" name="Column11856"/>
    <tableColumn id="11864" xr3:uid="{34D9B559-E88C-4988-A1F7-0CCD7414D665}" name="Column11857"/>
    <tableColumn id="11865" xr3:uid="{2F47F34C-B946-4D68-8414-34B800EC9BFE}" name="Column11858"/>
    <tableColumn id="11866" xr3:uid="{85F72E5E-A920-4C7C-B76E-7112FF9B6A01}" name="Column11859"/>
    <tableColumn id="11867" xr3:uid="{86B91A91-3C17-4DA0-9E7A-23992FC2C4C0}" name="Column11860"/>
    <tableColumn id="11868" xr3:uid="{A8251AC8-25A8-4B01-97B4-6437C3B8893D}" name="Column11861"/>
    <tableColumn id="11869" xr3:uid="{B197F4B1-675A-4B36-98B4-96F0694C2DEC}" name="Column11862"/>
    <tableColumn id="11870" xr3:uid="{60035CA7-DF6C-45CC-8788-D648F7069CEE}" name="Column11863"/>
    <tableColumn id="11871" xr3:uid="{2E679AA5-8832-4717-BBE0-3BCBE8C545C0}" name="Column11864"/>
    <tableColumn id="11872" xr3:uid="{2AFA4B6A-3EAC-42A2-BF68-B81CAD6FC3C9}" name="Column11865"/>
    <tableColumn id="11873" xr3:uid="{F1B0DEC3-DF9A-45CF-9AAB-EB6FBE4EEBCA}" name="Column11866"/>
    <tableColumn id="11874" xr3:uid="{C6AE678B-A0B8-4820-953A-ABFCA5E4EFD7}" name="Column11867"/>
    <tableColumn id="11875" xr3:uid="{E6D0DCB7-8C66-4AD7-A6EE-380D1988894B}" name="Column11868"/>
    <tableColumn id="11876" xr3:uid="{1FB4DD7A-FA4A-4DA3-A6E0-B008FE943901}" name="Column11869"/>
    <tableColumn id="11877" xr3:uid="{AA34B10F-F839-48FC-8648-36F16CECE6F5}" name="Column11870"/>
    <tableColumn id="11878" xr3:uid="{12906967-BD2B-4419-8F86-0B4539ECFA32}" name="Column11871"/>
    <tableColumn id="11879" xr3:uid="{C0931EF9-6A2A-4C63-A954-100C485DDB13}" name="Column11872"/>
    <tableColumn id="11880" xr3:uid="{30F17245-BE23-4C06-AE6F-59EA12718BE2}" name="Column11873"/>
    <tableColumn id="11881" xr3:uid="{F2DDF361-58B3-4D43-9415-617ED54B0C54}" name="Column11874"/>
    <tableColumn id="11882" xr3:uid="{6931634D-B860-490C-B54E-D85E6C3F6B23}" name="Column11875"/>
    <tableColumn id="11883" xr3:uid="{77559B81-2EDF-40CF-93FC-BCA46711B07E}" name="Column11876"/>
    <tableColumn id="11884" xr3:uid="{FBB02DC8-151E-4AA1-A1DE-B18EF46306E9}" name="Column11877"/>
    <tableColumn id="11885" xr3:uid="{0A80505F-5AAD-4903-B3DD-13C12CF6952B}" name="Column11878"/>
    <tableColumn id="11886" xr3:uid="{99BEECF5-EB32-424C-B3C7-3973AB578DF6}" name="Column11879"/>
    <tableColumn id="11887" xr3:uid="{34E84B03-7223-45E1-B074-B72CE226F543}" name="Column11880"/>
    <tableColumn id="11888" xr3:uid="{B82057D3-E625-4DD9-84DB-CA4B5AA98792}" name="Column11881"/>
    <tableColumn id="11889" xr3:uid="{1CDAC8BB-6F52-4E9C-9F5E-2511090D47BB}" name="Column11882"/>
    <tableColumn id="11890" xr3:uid="{F55C181A-E205-4679-8E99-8909AD35D0D7}" name="Column11883"/>
    <tableColumn id="11891" xr3:uid="{E191127B-F0CF-4A23-9BB0-39BE669B022F}" name="Column11884"/>
    <tableColumn id="11892" xr3:uid="{7B3210E8-1F17-44ED-8993-DA8CC06A546E}" name="Column11885"/>
    <tableColumn id="11893" xr3:uid="{D2E7E5CD-85F2-4954-A56B-7D4CFAFE1DF7}" name="Column11886"/>
    <tableColumn id="11894" xr3:uid="{AFD98FEF-3247-4CEC-84DC-5C191AF9D3C6}" name="Column11887"/>
    <tableColumn id="11895" xr3:uid="{FAC096CB-F097-46A0-A7CA-E12E3BF30D35}" name="Column11888"/>
    <tableColumn id="11896" xr3:uid="{E66A3F49-0F0E-4C09-A8BB-BB404FEF5E11}" name="Column11889"/>
    <tableColumn id="11897" xr3:uid="{CD74CD62-B277-4C9B-804F-4EA4439F8553}" name="Column11890"/>
    <tableColumn id="11898" xr3:uid="{8F3120C2-0D4F-4C6B-ADA2-5B3C0E28B1D8}" name="Column11891"/>
    <tableColumn id="11899" xr3:uid="{889DC271-6E94-4FF4-8589-CD5ABB62B8C5}" name="Column11892"/>
    <tableColumn id="11900" xr3:uid="{2FCB3C0F-69D5-4762-94F7-DAC389A6BA44}" name="Column11893"/>
    <tableColumn id="11901" xr3:uid="{7C1F772A-2EA4-4B4F-9007-41081B4EF906}" name="Column11894"/>
    <tableColumn id="11902" xr3:uid="{B649D05B-27E3-414A-B655-5755BC0BF3F2}" name="Column11895"/>
    <tableColumn id="11903" xr3:uid="{BEA0F734-9B35-4D33-A859-BF71DC52B1E8}" name="Column11896"/>
    <tableColumn id="11904" xr3:uid="{21BD2756-1C68-4C8F-A7C8-81C31BB4F5E4}" name="Column11897"/>
    <tableColumn id="11905" xr3:uid="{772B689F-A85A-419C-A558-DCC4F3212EE4}" name="Column11898"/>
    <tableColumn id="11906" xr3:uid="{453D020C-2A3C-4A17-AB1D-D78D509C88B2}" name="Column11899"/>
    <tableColumn id="11907" xr3:uid="{D6446275-52AF-434A-9AA5-13F73B13C383}" name="Column11900"/>
    <tableColumn id="11908" xr3:uid="{FA7A0033-A197-4299-A9F3-4B0EFF7341FE}" name="Column11901"/>
    <tableColumn id="11909" xr3:uid="{8DF07116-6FFE-4EC0-805A-FD8C486C41DC}" name="Column11902"/>
    <tableColumn id="11910" xr3:uid="{51C521DA-D8E6-44DC-95CB-39C6FD45D1D2}" name="Column11903"/>
    <tableColumn id="11911" xr3:uid="{37A1CDA0-031D-4E5F-ACC9-BCD8C2849D96}" name="Column11904"/>
    <tableColumn id="11912" xr3:uid="{BE3CD9CD-BFEA-45C8-B8F7-03300232202E}" name="Column11905"/>
    <tableColumn id="11913" xr3:uid="{4F85F4FC-02BC-4405-B706-DEFA9DE4C532}" name="Column11906"/>
    <tableColumn id="11914" xr3:uid="{44C123EB-1EBA-4495-9512-E490D8D8158D}" name="Column11907"/>
    <tableColumn id="11915" xr3:uid="{B339E8A4-C63A-4539-A804-6FCB4679DDCC}" name="Column11908"/>
    <tableColumn id="11916" xr3:uid="{62A48C59-F753-42D3-92DD-D766A29616D9}" name="Column11909"/>
    <tableColumn id="11917" xr3:uid="{7EB0612D-62D3-44A6-A9D1-7CF082AF6018}" name="Column11910"/>
    <tableColumn id="11918" xr3:uid="{ACC9964C-3A0D-4623-A64E-8CE48CD409EC}" name="Column11911"/>
    <tableColumn id="11919" xr3:uid="{6F46DE51-1EB7-49C1-9C10-93C736FDBD5F}" name="Column11912"/>
    <tableColumn id="11920" xr3:uid="{4ECC2E4C-2DEB-4395-AC0F-269087D8EC19}" name="Column11913"/>
    <tableColumn id="11921" xr3:uid="{C2A5D312-D795-4135-8C3D-97959673B5A3}" name="Column11914"/>
    <tableColumn id="11922" xr3:uid="{80253FE1-1747-4F66-8F16-308DC9BEF449}" name="Column11915"/>
    <tableColumn id="11923" xr3:uid="{CF04FC66-08C3-403B-A057-52E472CB9D94}" name="Column11916"/>
    <tableColumn id="11924" xr3:uid="{863F5538-9C90-4EDC-8DD3-90FBB020E9BD}" name="Column11917"/>
    <tableColumn id="11925" xr3:uid="{AE1467C7-2AC5-4D4D-BB78-23139C89071D}" name="Column11918"/>
    <tableColumn id="11926" xr3:uid="{108DEC22-AA1C-41DF-8718-7FEAC90165C8}" name="Column11919"/>
    <tableColumn id="11927" xr3:uid="{5E35DD98-E3B4-4169-948F-ABEB80323C22}" name="Column11920"/>
    <tableColumn id="11928" xr3:uid="{07662F02-CECF-4E08-A15D-857486AE6FB5}" name="Column11921"/>
    <tableColumn id="11929" xr3:uid="{3D2D82FD-28AD-44D6-A236-CFAF265422B6}" name="Column11922"/>
    <tableColumn id="11930" xr3:uid="{395D43B8-81D2-4AC6-BE90-DD00EF650AD2}" name="Column11923"/>
    <tableColumn id="11931" xr3:uid="{96EC2ABD-C52D-4415-9792-8C1A12DFCD29}" name="Column11924"/>
    <tableColumn id="11932" xr3:uid="{8BA6C447-BE6A-4BD7-BF36-A80E1625E532}" name="Column11925"/>
    <tableColumn id="11933" xr3:uid="{24D65B84-0517-4AC8-BFBE-7198CBF7843C}" name="Column11926"/>
    <tableColumn id="11934" xr3:uid="{F0656D1C-E01E-4B40-9EB5-F805F95FED80}" name="Column11927"/>
    <tableColumn id="11935" xr3:uid="{84D1B7FE-F51D-42CA-A53C-215F0488644F}" name="Column11928"/>
    <tableColumn id="11936" xr3:uid="{2648E36D-4523-426E-9E96-23AD2309E128}" name="Column11929"/>
    <tableColumn id="11937" xr3:uid="{42C23D7E-D01F-4A2F-80D1-86F09196FDD2}" name="Column11930"/>
    <tableColumn id="11938" xr3:uid="{EA17869B-C988-4717-A425-118D6ECE6A7C}" name="Column11931"/>
    <tableColumn id="11939" xr3:uid="{E6DBB24A-C0B0-4882-B573-56ADBCB09325}" name="Column11932"/>
    <tableColumn id="11940" xr3:uid="{FB5A363E-2DBE-4397-B0CA-96F577EF0B13}" name="Column11933"/>
    <tableColumn id="11941" xr3:uid="{0AA1CDEA-82E1-426C-9011-4CF0532F1732}" name="Column11934"/>
    <tableColumn id="11942" xr3:uid="{04378512-EDDF-416A-A25B-5F95A80E26D6}" name="Column11935"/>
    <tableColumn id="11943" xr3:uid="{27369396-0B9A-4701-AABE-CB99A7E1A5A7}" name="Column11936"/>
    <tableColumn id="11944" xr3:uid="{FA46C1BB-0CC1-4A4E-B566-D3F525DA2C1F}" name="Column11937"/>
    <tableColumn id="11945" xr3:uid="{523C22F6-4F00-4238-A0FE-3382C5186D9E}" name="Column11938"/>
    <tableColumn id="11946" xr3:uid="{932018F9-B864-4ECE-AC32-772667B7574A}" name="Column11939"/>
    <tableColumn id="11947" xr3:uid="{CFD2E38C-7B00-4717-B855-15BAEE0B7C52}" name="Column11940"/>
    <tableColumn id="11948" xr3:uid="{8D1FE1B1-3539-4189-8DF4-AC4539198F9A}" name="Column11941"/>
    <tableColumn id="11949" xr3:uid="{E26B9A54-25FC-4989-9F5A-E55494CFEAC5}" name="Column11942"/>
    <tableColumn id="11950" xr3:uid="{6FC3D04E-9F00-4BAC-A5FE-74FD2CAE911B}" name="Column11943"/>
    <tableColumn id="11951" xr3:uid="{3B51E436-7DD6-4AD7-8388-906444017CAB}" name="Column11944"/>
    <tableColumn id="11952" xr3:uid="{322FCC8C-5089-4C84-B039-0534EEA4B848}" name="Column11945"/>
    <tableColumn id="11953" xr3:uid="{454F1E0D-94FE-4266-97A4-482083565CE9}" name="Column11946"/>
    <tableColumn id="11954" xr3:uid="{D2FD02F8-3298-49BA-87DD-C5C8C21F7267}" name="Column11947"/>
    <tableColumn id="11955" xr3:uid="{A3D4F132-849C-4560-B8F1-47565D3A2E05}" name="Column11948"/>
    <tableColumn id="11956" xr3:uid="{F9D1F6D1-1DB2-46C3-B41F-DBF9055A7E6E}" name="Column11949"/>
    <tableColumn id="11957" xr3:uid="{88575289-37B3-4A3A-9D31-15E88B7FDCF5}" name="Column11950"/>
    <tableColumn id="11958" xr3:uid="{060ED38E-2F69-4614-AACF-B50357A4551E}" name="Column11951"/>
    <tableColumn id="11959" xr3:uid="{2F7D65F2-3A34-4B02-BDA9-30EB4D8993E1}" name="Column11952"/>
    <tableColumn id="11960" xr3:uid="{F4E192C5-E80F-40CD-89DB-23A1EBFF046C}" name="Column11953"/>
    <tableColumn id="11961" xr3:uid="{CC979C44-1A2B-4B39-B2E5-46E9DE7540A7}" name="Column11954"/>
    <tableColumn id="11962" xr3:uid="{D1630447-4DE5-4E51-B459-C9A8BE2E0AD3}" name="Column11955"/>
    <tableColumn id="11963" xr3:uid="{4CA300A7-B5D7-4EDB-91A2-8CB14F9CB5F5}" name="Column11956"/>
    <tableColumn id="11964" xr3:uid="{C3715C54-B943-40A0-8509-2D6B84D9F4F5}" name="Column11957"/>
    <tableColumn id="11965" xr3:uid="{5B862B50-7026-4A4C-BF50-05201539CEF8}" name="Column11958"/>
    <tableColumn id="11966" xr3:uid="{2C6AECEC-3F53-44BD-8EC9-72FEE1E79867}" name="Column11959"/>
    <tableColumn id="11967" xr3:uid="{5B01262C-1CEC-421A-B33B-BCBE29935CC2}" name="Column11960"/>
    <tableColumn id="11968" xr3:uid="{8531AFA0-B61B-4866-876B-FD03634ED14A}" name="Column11961"/>
    <tableColumn id="11969" xr3:uid="{57594E84-E290-4D6E-B7F3-5BFF4599DB6C}" name="Column11962"/>
    <tableColumn id="11970" xr3:uid="{25FA3BAB-A828-4218-BCE9-31A6E07515CD}" name="Column11963"/>
    <tableColumn id="11971" xr3:uid="{B4B9663D-FCD1-4139-87EF-CF44826FB5F9}" name="Column11964"/>
    <tableColumn id="11972" xr3:uid="{1B1723BB-8437-48E7-8AFB-29ABA30CB8D6}" name="Column11965"/>
    <tableColumn id="11973" xr3:uid="{5E8B6711-1718-423E-ADE6-56DE89CB70E2}" name="Column11966"/>
    <tableColumn id="11974" xr3:uid="{FF83B40C-1B1A-4257-87F1-4B942DEE3E19}" name="Column11967"/>
    <tableColumn id="11975" xr3:uid="{96130576-7237-45D2-979F-3AF21CC3AB68}" name="Column11968"/>
    <tableColumn id="11976" xr3:uid="{A15EB0E0-299D-4DF3-8CC3-F36683A81D61}" name="Column11969"/>
    <tableColumn id="11977" xr3:uid="{38B94761-5DE4-421F-AE0B-7EF90189095A}" name="Column11970"/>
    <tableColumn id="11978" xr3:uid="{7B6555A0-7BAE-433F-80C3-B415FB88E744}" name="Column11971"/>
    <tableColumn id="11979" xr3:uid="{C79D9037-09EA-4C96-AB34-8469F0B3143A}" name="Column11972"/>
    <tableColumn id="11980" xr3:uid="{16FA74B9-5FB2-4C08-AF6E-C548585BD1C3}" name="Column11973"/>
    <tableColumn id="11981" xr3:uid="{56B39A79-CCA9-4C00-86E1-711201AD5FA4}" name="Column11974"/>
    <tableColumn id="11982" xr3:uid="{81C9C18B-A4D9-4E25-A9F9-6B1B357DCB06}" name="Column11975"/>
    <tableColumn id="11983" xr3:uid="{2AC83686-7822-4923-ADA0-374CAA379430}" name="Column11976"/>
    <tableColumn id="11984" xr3:uid="{F1F81352-5BFD-446D-B0BF-946AF7401A62}" name="Column11977"/>
    <tableColumn id="11985" xr3:uid="{ACECBC4D-660D-43E6-B3C8-4F5CE315A898}" name="Column11978"/>
    <tableColumn id="11986" xr3:uid="{841845F1-B92B-49B7-A7D7-45FF31DCC933}" name="Column11979"/>
    <tableColumn id="11987" xr3:uid="{6DCDB64A-0BE6-4863-8267-5AF7DA3E246B}" name="Column11980"/>
    <tableColumn id="11988" xr3:uid="{A9112D0B-2998-462F-8EF4-F6AB75E3B0F4}" name="Column11981"/>
    <tableColumn id="11989" xr3:uid="{728292AA-0853-400B-B6FB-670B5235728E}" name="Column11982"/>
    <tableColumn id="11990" xr3:uid="{A9AD8302-D63C-432E-9B51-7215D58DBD21}" name="Column11983"/>
    <tableColumn id="11991" xr3:uid="{96B2637A-FA5B-4800-9932-0899C302C85B}" name="Column11984"/>
    <tableColumn id="11992" xr3:uid="{F386CF88-3399-4ED0-8A16-ADDD0E41DDA1}" name="Column11985"/>
    <tableColumn id="11993" xr3:uid="{5F42199F-FFA1-4BBC-912B-81D559FF9317}" name="Column11986"/>
    <tableColumn id="11994" xr3:uid="{7F41C659-CF85-4678-A9D0-A02FC28F7600}" name="Column11987"/>
    <tableColumn id="11995" xr3:uid="{4979DCF8-3582-4770-8D51-363673727BDF}" name="Column11988"/>
    <tableColumn id="11996" xr3:uid="{D96DE61F-0F57-4093-B6E4-53AEC99C655A}" name="Column11989"/>
    <tableColumn id="11997" xr3:uid="{9E290D35-EA1A-4F33-B3F5-29FAD996B01E}" name="Column11990"/>
    <tableColumn id="11998" xr3:uid="{C5673D61-A198-4360-BAAB-A52B7F38F743}" name="Column11991"/>
    <tableColumn id="11999" xr3:uid="{AC0B38BF-EEAF-42E8-AEEF-34C052DA05C1}" name="Column11992"/>
    <tableColumn id="12000" xr3:uid="{F046ECB5-7B01-482B-BBDE-4488DCB87A9D}" name="Column11993"/>
    <tableColumn id="12001" xr3:uid="{56AF5490-0C5A-47D1-89D0-1E20D272C8AA}" name="Column11994"/>
    <tableColumn id="12002" xr3:uid="{3929A139-D0C4-4F21-9549-A3AA2ECF0398}" name="Column11995"/>
    <tableColumn id="12003" xr3:uid="{1F4D2100-A00C-4B23-97E8-15A3CE6AC33B}" name="Column11996"/>
    <tableColumn id="12004" xr3:uid="{8757013A-603A-41D9-A114-4E12F2E2CA06}" name="Column11997"/>
    <tableColumn id="12005" xr3:uid="{1D053F4E-6EA5-4CF9-B854-D14151975871}" name="Column11998"/>
    <tableColumn id="12006" xr3:uid="{40905FB1-D8DA-4099-B777-287A0BA44E94}" name="Column11999"/>
    <tableColumn id="12007" xr3:uid="{D6F4864F-DACE-4B5F-B5A9-A932756AB766}" name="Column12000"/>
    <tableColumn id="12008" xr3:uid="{ABE2AC3C-13A5-4904-8853-F289418446C7}" name="Column12001"/>
    <tableColumn id="12009" xr3:uid="{0D4DECE2-8BA3-4657-96F2-AD56E688A5EA}" name="Column12002"/>
    <tableColumn id="12010" xr3:uid="{94A752E6-A244-4486-9C77-EFB504D80251}" name="Column12003"/>
    <tableColumn id="12011" xr3:uid="{743AAD2C-3CDB-439F-A52A-AE5EABCF2A4D}" name="Column12004"/>
    <tableColumn id="12012" xr3:uid="{8A9670B1-F9CA-4962-B54A-CCE032D7D8B0}" name="Column12005"/>
    <tableColumn id="12013" xr3:uid="{2C1D2CDB-52AE-4B61-BFFC-06EDAF855375}" name="Column12006"/>
    <tableColumn id="12014" xr3:uid="{24D6071C-FD0B-4C96-9CB4-C40F1D011373}" name="Column12007"/>
    <tableColumn id="12015" xr3:uid="{7CEB8642-13C5-4562-88C5-2133F9B38FB6}" name="Column12008"/>
    <tableColumn id="12016" xr3:uid="{B6D2AA1B-11B5-434C-9F46-549A5268032B}" name="Column12009"/>
    <tableColumn id="12017" xr3:uid="{27153C3B-F01C-474A-847C-987CD118A31D}" name="Column12010"/>
    <tableColumn id="12018" xr3:uid="{50304294-108D-4213-BE61-7C15EE775AC8}" name="Column12011"/>
    <tableColumn id="12019" xr3:uid="{ADCC4C41-8912-46AB-93A4-A5AF4F5FB01E}" name="Column12012"/>
    <tableColumn id="12020" xr3:uid="{56A2D0DA-5AE9-487C-9F20-FC132E49D30F}" name="Column12013"/>
    <tableColumn id="12021" xr3:uid="{D810A1EA-8E42-4371-9FF2-E7A4FE1203FD}" name="Column12014"/>
    <tableColumn id="12022" xr3:uid="{03E8E726-CF7E-49D5-98EA-B5993BFEEC51}" name="Column12015"/>
    <tableColumn id="12023" xr3:uid="{3F2EB85F-C873-465F-A312-6BA80789D21D}" name="Column12016"/>
    <tableColumn id="12024" xr3:uid="{701823B8-FB9C-418E-A196-E39F81BD557F}" name="Column12017"/>
    <tableColumn id="12025" xr3:uid="{6B4FDFDD-67F6-411E-9301-80D52EF8ABD6}" name="Column12018"/>
    <tableColumn id="12026" xr3:uid="{46A77BB8-4B4B-4614-B8B4-93BB2EB72A7C}" name="Column12019"/>
    <tableColumn id="12027" xr3:uid="{79D1B585-F4E6-4048-9848-8FD3146139EA}" name="Column12020"/>
    <tableColumn id="12028" xr3:uid="{702223B7-C5A6-4E5F-AB4C-4E6E54C102E4}" name="Column12021"/>
    <tableColumn id="12029" xr3:uid="{DABEC895-3B47-4C6C-A5E4-5F3F4DF0F2E3}" name="Column12022"/>
    <tableColumn id="12030" xr3:uid="{5042F441-5CD3-44BA-AA26-29FB9793AC79}" name="Column12023"/>
    <tableColumn id="12031" xr3:uid="{5B6D2B60-D12E-4EB7-9015-56B732284854}" name="Column12024"/>
    <tableColumn id="12032" xr3:uid="{625031C8-C232-44B0-AB1C-7CCAEB0B38C1}" name="Column12025"/>
    <tableColumn id="12033" xr3:uid="{34186A16-1362-40D2-9061-0C67058AC512}" name="Column12026"/>
    <tableColumn id="12034" xr3:uid="{5E050166-BF7E-4592-8572-6785C2DEEDDD}" name="Column12027"/>
    <tableColumn id="12035" xr3:uid="{35AD8787-A284-4DF6-B0CD-B4D89F3D9E5E}" name="Column12028"/>
    <tableColumn id="12036" xr3:uid="{8FC6D74C-7B82-4FC1-B962-798A0D714EB5}" name="Column12029"/>
    <tableColumn id="12037" xr3:uid="{4EFD7E21-8220-4E90-B4A0-B88C90C6A9F3}" name="Column12030"/>
    <tableColumn id="12038" xr3:uid="{3B8AE186-F022-40E5-9B53-82487F49D70B}" name="Column12031"/>
    <tableColumn id="12039" xr3:uid="{A1FEA57D-77B4-42DE-B0A5-0615C61A121F}" name="Column12032"/>
    <tableColumn id="12040" xr3:uid="{F65416FF-305B-4EDF-A3E4-00279BCC8FB8}" name="Column12033"/>
    <tableColumn id="12041" xr3:uid="{FE668172-9A4C-4A10-AA78-83FF4E66BEDC}" name="Column12034"/>
    <tableColumn id="12042" xr3:uid="{CB5F7FFE-FC30-41B5-8064-3E8DC0786D43}" name="Column12035"/>
    <tableColumn id="12043" xr3:uid="{A1F62E37-4572-4774-A162-5D2F205E1721}" name="Column12036"/>
    <tableColumn id="12044" xr3:uid="{1B2F0E08-B81A-4F82-A979-0412F8FD45AB}" name="Column12037"/>
    <tableColumn id="12045" xr3:uid="{CFD3EBF0-91A2-43C2-9DDC-46B5CB039B0E}" name="Column12038"/>
    <tableColumn id="12046" xr3:uid="{1FD93F6C-D006-4305-9671-4DF3D788C4B9}" name="Column12039"/>
    <tableColumn id="12047" xr3:uid="{48ACA828-3B87-4984-AB08-368E27CC77A5}" name="Column12040"/>
    <tableColumn id="12048" xr3:uid="{D79DB928-334E-449F-A1E1-3F337597FD4E}" name="Column12041"/>
    <tableColumn id="12049" xr3:uid="{9D250518-4535-4C5C-9964-E6644E0298EA}" name="Column12042"/>
    <tableColumn id="12050" xr3:uid="{0243BA91-EAE8-45D8-B43A-F2A7F3E6BDD9}" name="Column12043"/>
    <tableColumn id="12051" xr3:uid="{6C711E55-B9BA-4208-9376-9673DD8B35ED}" name="Column12044"/>
    <tableColumn id="12052" xr3:uid="{B81A717E-A015-400A-91B2-5E98AF420D9E}" name="Column12045"/>
    <tableColumn id="12053" xr3:uid="{D9CB28F0-E10E-4E98-802F-7BA2A2013271}" name="Column12046"/>
    <tableColumn id="12054" xr3:uid="{2F3BC58A-4066-476D-9AB0-7261C7DD19FF}" name="Column12047"/>
    <tableColumn id="12055" xr3:uid="{BC2C3A8F-F625-4018-BA3A-714A6791F090}" name="Column12048"/>
    <tableColumn id="12056" xr3:uid="{CC61FDEF-B450-4C10-AC85-99B7E00D5908}" name="Column12049"/>
    <tableColumn id="12057" xr3:uid="{6EA2C5D5-4944-4978-94DC-0BF531F197B7}" name="Column12050"/>
    <tableColumn id="12058" xr3:uid="{41EAF34C-0BAC-49EC-B482-AC8627295400}" name="Column12051"/>
    <tableColumn id="12059" xr3:uid="{3DCF972A-5330-4D59-908D-78C925988B47}" name="Column12052"/>
    <tableColumn id="12060" xr3:uid="{50644693-99EB-4547-826B-BC8D69E7847D}" name="Column12053"/>
    <tableColumn id="12061" xr3:uid="{0EB32A40-7641-4B5C-A0CF-4774C13A1A4C}" name="Column12054"/>
    <tableColumn id="12062" xr3:uid="{AB4FFEAC-469C-4FD5-BBA3-826689B408EB}" name="Column12055"/>
    <tableColumn id="12063" xr3:uid="{776D1BDF-2ECC-4860-AA0D-B11A3BAE0AD2}" name="Column12056"/>
    <tableColumn id="12064" xr3:uid="{B46B32D4-D490-4160-907A-84C0D2F6CE14}" name="Column12057"/>
    <tableColumn id="12065" xr3:uid="{491D144D-4F5C-4EF0-8877-55C0AE0221CA}" name="Column12058"/>
    <tableColumn id="12066" xr3:uid="{45B9C66E-BD75-46BF-A13A-1C32A362A3D7}" name="Column12059"/>
    <tableColumn id="12067" xr3:uid="{54AF3B99-4510-4EA8-B537-402BC8CD832D}" name="Column12060"/>
    <tableColumn id="12068" xr3:uid="{6431B3A1-3E19-412E-83B6-79B6B84FD3D2}" name="Column12061"/>
    <tableColumn id="12069" xr3:uid="{D09262DB-CE2B-433F-BA81-D0B8832B249A}" name="Column12062"/>
    <tableColumn id="12070" xr3:uid="{241A7E7B-0348-40C1-95C3-F13AE6DD25F4}" name="Column12063"/>
    <tableColumn id="12071" xr3:uid="{09ADAD75-89BE-4461-8E81-5F33FFFBBEE7}" name="Column12064"/>
    <tableColumn id="12072" xr3:uid="{CC5096AF-BAAD-4DD3-9EB8-08C561B1B963}" name="Column12065"/>
    <tableColumn id="12073" xr3:uid="{91757E14-BE42-460B-9079-D052D28631C9}" name="Column12066"/>
    <tableColumn id="12074" xr3:uid="{28B0597F-CD49-4052-9E99-D6EE4262C536}" name="Column12067"/>
    <tableColumn id="12075" xr3:uid="{19037A11-2C0A-4231-AA30-E14D86FCB31A}" name="Column12068"/>
    <tableColumn id="12076" xr3:uid="{FEDBC687-28AA-413D-B453-42F7719357AB}" name="Column12069"/>
    <tableColumn id="12077" xr3:uid="{AE84D161-9707-4279-86D5-8175E661BA32}" name="Column12070"/>
    <tableColumn id="12078" xr3:uid="{751FEAFD-7C4C-4A8F-B0AA-78DF380B1567}" name="Column12071"/>
    <tableColumn id="12079" xr3:uid="{15230113-7DF3-4BF3-83EB-E66C0AAC7081}" name="Column12072"/>
    <tableColumn id="12080" xr3:uid="{63982BD0-8182-42FD-B812-0CE60DE25C76}" name="Column12073"/>
    <tableColumn id="12081" xr3:uid="{03C9F3D2-0759-4D4D-A88E-4D727B1ECB4B}" name="Column12074"/>
    <tableColumn id="12082" xr3:uid="{BCBA8BB8-C1FA-410B-A169-CF2C8E6FEEF5}" name="Column12075"/>
    <tableColumn id="12083" xr3:uid="{E6DF7301-4EE8-43E9-B8AF-E27637391C94}" name="Column12076"/>
    <tableColumn id="12084" xr3:uid="{758158EA-0BC2-4811-A48D-0996C9D67634}" name="Column12077"/>
    <tableColumn id="12085" xr3:uid="{B0836119-2124-4E0D-B45D-FC4F09B673A7}" name="Column12078"/>
    <tableColumn id="12086" xr3:uid="{D014D52F-C6CE-4D66-8543-60FC6441328F}" name="Column12079"/>
    <tableColumn id="12087" xr3:uid="{0B0CBD2A-FBFA-4F4C-B9E4-07C7AFBF1F99}" name="Column12080"/>
    <tableColumn id="12088" xr3:uid="{19C89F32-D3B8-401C-8659-40460FADDB6E}" name="Column12081"/>
    <tableColumn id="12089" xr3:uid="{4D9FDEC4-7672-424C-B279-7EFD8892CCE7}" name="Column12082"/>
    <tableColumn id="12090" xr3:uid="{F3E2C7E3-81DF-4993-90B2-506A575EDC55}" name="Column12083"/>
    <tableColumn id="12091" xr3:uid="{687AF4D3-E6C0-47A0-BC54-FB41296B75C4}" name="Column12084"/>
    <tableColumn id="12092" xr3:uid="{2794733B-A340-46B5-B93E-FFBF2B41C511}" name="Column12085"/>
    <tableColumn id="12093" xr3:uid="{C5563412-4320-44DC-A907-A2D720685466}" name="Column12086"/>
    <tableColumn id="12094" xr3:uid="{F3D30B1E-3D68-4470-8FFF-FF1D35C01F93}" name="Column12087"/>
    <tableColumn id="12095" xr3:uid="{8EF7999A-9BFE-42BF-B79C-955057C7DC23}" name="Column12088"/>
    <tableColumn id="12096" xr3:uid="{7A50BF85-CB6A-473F-BFF9-CD8490D96012}" name="Column12089"/>
    <tableColumn id="12097" xr3:uid="{B9B73047-8BD3-4512-8270-BFF8F8B9CBE3}" name="Column12090"/>
    <tableColumn id="12098" xr3:uid="{648482DD-20B1-43E4-9B77-52DFF2F66EE5}" name="Column12091"/>
    <tableColumn id="12099" xr3:uid="{7D2FE182-51E8-4C2B-86A8-71CF7297DD7A}" name="Column12092"/>
    <tableColumn id="12100" xr3:uid="{C94C990C-CD1B-4493-B0D5-9217CA12BC42}" name="Column12093"/>
    <tableColumn id="12101" xr3:uid="{1F8FE29D-79A3-4975-91F7-FD0C94061199}" name="Column12094"/>
    <tableColumn id="12102" xr3:uid="{07AE0571-A79F-426B-8F4F-BAB2ACFEDADB}" name="Column12095"/>
    <tableColumn id="12103" xr3:uid="{E371DC4E-EEF2-488E-811D-D77AD5037DB6}" name="Column12096"/>
    <tableColumn id="12104" xr3:uid="{3E2663A2-2A44-467C-8592-448C5DD355EA}" name="Column12097"/>
    <tableColumn id="12105" xr3:uid="{06B3AF87-D25D-40BC-B4A0-9D7A23D3405E}" name="Column12098"/>
    <tableColumn id="12106" xr3:uid="{137C2FBC-D322-40DA-8086-772DE1EAEA9E}" name="Column12099"/>
    <tableColumn id="12107" xr3:uid="{B6D1EF3D-DF20-42BA-8C24-4E11A5731484}" name="Column12100"/>
    <tableColumn id="12108" xr3:uid="{0D105EEB-A925-4487-8B07-D122958F1647}" name="Column12101"/>
    <tableColumn id="12109" xr3:uid="{F49097DE-28C1-4BC1-9A22-BDEFD200599E}" name="Column12102"/>
    <tableColumn id="12110" xr3:uid="{A4881B1D-8C12-49AF-853D-F5B13D246FE5}" name="Column12103"/>
    <tableColumn id="12111" xr3:uid="{1B40F09E-DAF1-4D13-9B86-098614E5267F}" name="Column12104"/>
    <tableColumn id="12112" xr3:uid="{700C3787-6169-4A5E-A9A3-2D3A93B98DAF}" name="Column12105"/>
    <tableColumn id="12113" xr3:uid="{3ABE22BC-9194-4C36-8731-8EA2B71026E4}" name="Column12106"/>
    <tableColumn id="12114" xr3:uid="{6759EB65-1784-47F0-9BBB-42AB9E07EFBD}" name="Column12107"/>
    <tableColumn id="12115" xr3:uid="{CF802896-7F39-4321-B3D0-4D8B7CAB1793}" name="Column12108"/>
    <tableColumn id="12116" xr3:uid="{F2D701E2-5A62-4960-B788-E9A010C741C8}" name="Column12109"/>
    <tableColumn id="12117" xr3:uid="{56ED0452-9900-4F82-9575-199F151CEB69}" name="Column12110"/>
    <tableColumn id="12118" xr3:uid="{4855476E-955B-475A-8D52-A4ADEEAAC2F7}" name="Column12111"/>
    <tableColumn id="12119" xr3:uid="{DA023D0C-83A7-44EA-9402-57426548955F}" name="Column12112"/>
    <tableColumn id="12120" xr3:uid="{BE90ADAB-EA75-42F5-9A0E-58A16627AEB0}" name="Column12113"/>
    <tableColumn id="12121" xr3:uid="{3EED5E3D-6508-46C0-9AB4-799F812AD9DD}" name="Column12114"/>
    <tableColumn id="12122" xr3:uid="{66E8C142-3164-4918-AF88-DD658EE8FB9C}" name="Column12115"/>
    <tableColumn id="12123" xr3:uid="{D10C08E1-EC2B-48AC-BAE0-9CCD1E317BA2}" name="Column12116"/>
    <tableColumn id="12124" xr3:uid="{CA78D210-7659-470B-9E0D-9A98EAF43628}" name="Column12117"/>
    <tableColumn id="12125" xr3:uid="{3DB2EBE1-E1CA-4CD9-B97A-5239490C0E83}" name="Column12118"/>
    <tableColumn id="12126" xr3:uid="{98826EE0-8130-460C-847A-E16E7037623F}" name="Column12119"/>
    <tableColumn id="12127" xr3:uid="{CA662B15-C61D-4FE6-958C-618B7E3AE837}" name="Column12120"/>
    <tableColumn id="12128" xr3:uid="{9491F687-4F92-4EAB-AE45-67C80ADDA406}" name="Column12121"/>
    <tableColumn id="12129" xr3:uid="{72FD14A7-5D63-4D3A-A7C4-E1B2E2FB0C82}" name="Column12122"/>
    <tableColumn id="12130" xr3:uid="{F0076F0C-42AB-4943-826B-1C99F2BA8CAF}" name="Column12123"/>
    <tableColumn id="12131" xr3:uid="{17ADE0DA-0B41-41D2-B3ED-BB0676875EFE}" name="Column12124"/>
    <tableColumn id="12132" xr3:uid="{2BBAF26B-9C96-4272-B5E8-9F4C8B28167E}" name="Column12125"/>
    <tableColumn id="12133" xr3:uid="{C2797C2C-9F56-4F79-9330-6EBCB961779E}" name="Column12126"/>
    <tableColumn id="12134" xr3:uid="{98BC248E-807A-4633-9F70-EFBC53377211}" name="Column12127"/>
    <tableColumn id="12135" xr3:uid="{5909FFB7-EF3C-4BE0-9A58-6934401CF7AB}" name="Column12128"/>
    <tableColumn id="12136" xr3:uid="{8158001B-2A0C-4A02-A175-7BB600C541F3}" name="Column12129"/>
    <tableColumn id="12137" xr3:uid="{4A80E820-B34F-48EB-9D48-8D8E34415E2E}" name="Column12130"/>
    <tableColumn id="12138" xr3:uid="{901B64BA-AB29-409E-8DFC-555DB62161D1}" name="Column12131"/>
    <tableColumn id="12139" xr3:uid="{BECCC0EC-5BEE-44FD-8ABE-96686D215113}" name="Column12132"/>
    <tableColumn id="12140" xr3:uid="{DD5E6E31-5D54-4808-94D2-A9542521A099}" name="Column12133"/>
    <tableColumn id="12141" xr3:uid="{09C33CA8-72DA-429C-877E-B081E9DB904C}" name="Column12134"/>
    <tableColumn id="12142" xr3:uid="{32BF1496-A786-4FE2-A31B-39A3696A7615}" name="Column12135"/>
    <tableColumn id="12143" xr3:uid="{8DC65378-2F8E-4CBA-97DD-C3455F72EA7C}" name="Column12136"/>
    <tableColumn id="12144" xr3:uid="{20F7C917-9FCE-4DBC-8B8F-CDE3EB5B322D}" name="Column12137"/>
    <tableColumn id="12145" xr3:uid="{0208DB67-42E1-43E8-A531-5508EE7DE121}" name="Column12138"/>
    <tableColumn id="12146" xr3:uid="{04D2E1E8-DCA9-4AFE-8E2A-83C413A712AA}" name="Column12139"/>
    <tableColumn id="12147" xr3:uid="{C38020F0-3B47-4614-A225-F5228859749F}" name="Column12140"/>
    <tableColumn id="12148" xr3:uid="{9E51E786-D7D5-4918-84DF-7078C5050470}" name="Column12141"/>
    <tableColumn id="12149" xr3:uid="{5772383A-172C-49AA-9B58-D1FD6E76994D}" name="Column12142"/>
    <tableColumn id="12150" xr3:uid="{1B757142-B4B1-4684-B7EA-5E42119A3C44}" name="Column12143"/>
    <tableColumn id="12151" xr3:uid="{5F0D6E15-6A27-4D87-A8C0-D9D2AD4FDB2E}" name="Column12144"/>
    <tableColumn id="12152" xr3:uid="{23FD4F34-3822-42AB-BCD2-5E1B040296DF}" name="Column12145"/>
    <tableColumn id="12153" xr3:uid="{25AC458F-0F59-490D-B395-781984BA88E6}" name="Column12146"/>
    <tableColumn id="12154" xr3:uid="{2D7EB580-D266-44E4-9329-FE47248E8CBD}" name="Column12147"/>
    <tableColumn id="12155" xr3:uid="{EB2B75DF-3D6A-4ED2-8C59-A4B0DCA837B9}" name="Column12148"/>
    <tableColumn id="12156" xr3:uid="{EDDCC0AB-EC71-4EB1-BB74-E8F04269FEAD}" name="Column12149"/>
    <tableColumn id="12157" xr3:uid="{324A03F2-B798-4467-AF78-CE534BFA9488}" name="Column12150"/>
    <tableColumn id="12158" xr3:uid="{968E7E4B-9C69-4D41-A0D6-C0809FEAC2A4}" name="Column12151"/>
    <tableColumn id="12159" xr3:uid="{1FAFA303-2A79-4BAE-9C8D-2E04F9B34B2A}" name="Column12152"/>
    <tableColumn id="12160" xr3:uid="{92CEFC0C-047F-4096-A770-DF7CC095ABD4}" name="Column12153"/>
    <tableColumn id="12161" xr3:uid="{2C6033EF-F037-4A9B-B81D-E16AE91F33FF}" name="Column12154"/>
    <tableColumn id="12162" xr3:uid="{07E86B00-4B66-4344-AF2F-289EC86448AD}" name="Column12155"/>
    <tableColumn id="12163" xr3:uid="{C2F660D3-155D-409C-B763-C809D8D818B7}" name="Column12156"/>
    <tableColumn id="12164" xr3:uid="{ADE28469-7436-4593-8770-6A6597CAF4E0}" name="Column12157"/>
    <tableColumn id="12165" xr3:uid="{506D980F-8236-4D48-AEC1-AF36BDB577F7}" name="Column12158"/>
    <tableColumn id="12166" xr3:uid="{DFCF736A-0CE8-4D72-9345-44C499C0AE90}" name="Column12159"/>
    <tableColumn id="12167" xr3:uid="{78260043-F9A7-41A0-B87C-4852EFC1DA29}" name="Column12160"/>
    <tableColumn id="12168" xr3:uid="{3959DA5D-0972-48D1-9D8B-E485E4D964B5}" name="Column12161"/>
    <tableColumn id="12169" xr3:uid="{94BDA527-4104-4B08-A2D8-73407FAE6A24}" name="Column12162"/>
    <tableColumn id="12170" xr3:uid="{E0A4940D-BDF3-49DB-A5AC-002F0B0FE6ED}" name="Column12163"/>
    <tableColumn id="12171" xr3:uid="{AB556D36-FE8E-497E-9462-D4A4FF030E90}" name="Column12164"/>
    <tableColumn id="12172" xr3:uid="{17EC2370-67F4-46E6-A039-EBC6D8F1409A}" name="Column12165"/>
    <tableColumn id="12173" xr3:uid="{A69B129C-4AA4-4500-A23E-CB98D18857F0}" name="Column12166"/>
    <tableColumn id="12174" xr3:uid="{94BB2DEF-701D-4D35-97E8-0CAD5BD8C6BF}" name="Column12167"/>
    <tableColumn id="12175" xr3:uid="{885DE779-DFBB-47BE-B60D-4EF86483A268}" name="Column12168"/>
    <tableColumn id="12176" xr3:uid="{02371232-7080-4052-98A8-101328DEA900}" name="Column12169"/>
    <tableColumn id="12177" xr3:uid="{10030785-E1A0-4E75-A58A-D42081CDA353}" name="Column12170"/>
    <tableColumn id="12178" xr3:uid="{4B0837F4-2841-4059-ABD9-F1299E4A34A2}" name="Column12171"/>
    <tableColumn id="12179" xr3:uid="{28178AF2-67F6-43D3-9B39-D561C47B67C6}" name="Column12172"/>
    <tableColumn id="12180" xr3:uid="{DEF2B9A2-7DC3-4B93-9967-EAB5D50DDABD}" name="Column12173"/>
    <tableColumn id="12181" xr3:uid="{908944C7-4A1A-4CB2-B48F-FD3B44ADD641}" name="Column12174"/>
    <tableColumn id="12182" xr3:uid="{B5C1FB26-56B1-42B5-9386-1E54DA868FA8}" name="Column12175"/>
    <tableColumn id="12183" xr3:uid="{95511686-5EA1-48AD-88D3-3821EE945B8C}" name="Column12176"/>
    <tableColumn id="12184" xr3:uid="{D5812F6C-5FF3-4933-9EBD-1B8B562A30CC}" name="Column12177"/>
    <tableColumn id="12185" xr3:uid="{199BAFA0-8176-4FBA-BDEB-3707B57B01F8}" name="Column12178"/>
    <tableColumn id="12186" xr3:uid="{39FFC982-31C0-48C3-A751-F32760D7741B}" name="Column12179"/>
    <tableColumn id="12187" xr3:uid="{913119F4-82FD-4158-A7A6-B756792D08D9}" name="Column12180"/>
    <tableColumn id="12188" xr3:uid="{93C87807-DD19-4336-A9D9-C7C95345B62D}" name="Column12181"/>
    <tableColumn id="12189" xr3:uid="{3C11F954-02DF-4BCC-ACE8-03B8250DC51C}" name="Column12182"/>
    <tableColumn id="12190" xr3:uid="{EF8CE9D0-DC22-41C5-922A-E44587F55C8E}" name="Column12183"/>
    <tableColumn id="12191" xr3:uid="{2A918D8E-F0B8-4556-8156-0F5BE5D0C332}" name="Column12184"/>
    <tableColumn id="12192" xr3:uid="{15FF864C-C52A-4422-8893-3AEE1428D70D}" name="Column12185"/>
    <tableColumn id="12193" xr3:uid="{69538B75-ABEC-4F3A-B387-43CC225D9560}" name="Column12186"/>
    <tableColumn id="12194" xr3:uid="{84A6E16B-C223-4B58-B8E7-AD0E2FBBD5D7}" name="Column12187"/>
    <tableColumn id="12195" xr3:uid="{65937931-F194-4110-BC45-F570ABF1577F}" name="Column12188"/>
    <tableColumn id="12196" xr3:uid="{3BABD8CC-47CE-4E7B-BA85-429C42A11729}" name="Column12189"/>
    <tableColumn id="12197" xr3:uid="{AE6CB993-0723-4DE7-A2C3-FB4AB48A38C7}" name="Column12190"/>
    <tableColumn id="12198" xr3:uid="{D23D2203-A0E0-4AAC-82F2-61A64CD202D0}" name="Column12191"/>
    <tableColumn id="12199" xr3:uid="{2C65E781-47DA-4935-ADC2-17D13313077D}" name="Column12192"/>
    <tableColumn id="12200" xr3:uid="{D206C34F-9AA8-4D80-81A7-7DA28A72B31F}" name="Column12193"/>
    <tableColumn id="12201" xr3:uid="{CDDDDF6C-F24D-430B-890E-F8F9BCD9D3CB}" name="Column12194"/>
    <tableColumn id="12202" xr3:uid="{712E6A43-489E-49ED-BA82-AFE4BF6A6E3D}" name="Column12195"/>
    <tableColumn id="12203" xr3:uid="{291C57BA-EA79-4378-9F08-978A38375EAE}" name="Column12196"/>
    <tableColumn id="12204" xr3:uid="{35B5F66F-A28B-47C1-91AF-AC4A5FE2E70F}" name="Column12197"/>
    <tableColumn id="12205" xr3:uid="{100765D0-1922-4DC3-811C-F4FA8E71F76B}" name="Column12198"/>
    <tableColumn id="12206" xr3:uid="{0C425024-71DD-4ABC-8071-9CB3539E6A6F}" name="Column12199"/>
    <tableColumn id="12207" xr3:uid="{9251C289-1ECC-4142-B864-B98A8DDBDD29}" name="Column12200"/>
    <tableColumn id="12208" xr3:uid="{A14BAFBA-82B8-4C37-AEEF-AC2E6FCFC097}" name="Column12201"/>
    <tableColumn id="12209" xr3:uid="{1299EA17-FEEC-420C-9869-BB825466B186}" name="Column12202"/>
    <tableColumn id="12210" xr3:uid="{9970EDA2-8C29-4C27-9A14-8CE86B33B5F9}" name="Column12203"/>
    <tableColumn id="12211" xr3:uid="{D07F6F43-932C-40D1-A8A9-15C359A00879}" name="Column12204"/>
    <tableColumn id="12212" xr3:uid="{69582C1F-C929-49DE-AC8D-12ADACCB30E6}" name="Column12205"/>
    <tableColumn id="12213" xr3:uid="{AF514FDA-7D58-4110-816A-AF7E8E1A4CE5}" name="Column12206"/>
    <tableColumn id="12214" xr3:uid="{48C44D06-0997-468C-935C-AD334AEE89F9}" name="Column12207"/>
    <tableColumn id="12215" xr3:uid="{430EC878-CAB2-47E3-96E3-053DD04D6448}" name="Column12208"/>
    <tableColumn id="12216" xr3:uid="{1B9537DF-7150-444D-A2C1-A0C3C9569D2A}" name="Column12209"/>
    <tableColumn id="12217" xr3:uid="{658B0B7C-ACC1-4678-8664-7E8A2C5DD3EC}" name="Column12210"/>
    <tableColumn id="12218" xr3:uid="{6B3CFE9E-EBC7-4AD6-A956-EF35077EFFB9}" name="Column12211"/>
    <tableColumn id="12219" xr3:uid="{BA8D4331-FBB9-4119-A7A0-D5EC8142A0ED}" name="Column12212"/>
    <tableColumn id="12220" xr3:uid="{F4825356-DBF5-4AAC-A306-DEB50ACC035A}" name="Column12213"/>
    <tableColumn id="12221" xr3:uid="{FCC36ABC-6424-4351-BC8A-6F98BDD900B7}" name="Column12214"/>
    <tableColumn id="12222" xr3:uid="{A4F82ED2-4C3E-43C3-B985-11AC4E9B4432}" name="Column12215"/>
    <tableColumn id="12223" xr3:uid="{82BBB06C-E73E-4928-ADAC-36494EF0FF74}" name="Column12216"/>
    <tableColumn id="12224" xr3:uid="{910017D3-2EB5-4644-AA7A-20A34DE5E7F0}" name="Column12217"/>
    <tableColumn id="12225" xr3:uid="{90DBF41E-739A-47C7-B95D-2A572BD680A8}" name="Column12218"/>
    <tableColumn id="12226" xr3:uid="{9BE037A9-99B5-4365-8056-98F9876545DD}" name="Column12219"/>
    <tableColumn id="12227" xr3:uid="{8F4DD9BF-DD4A-4863-85B7-9D4A93ACB773}" name="Column12220"/>
    <tableColumn id="12228" xr3:uid="{FCE87CAD-B193-44FB-8223-EAF786564622}" name="Column12221"/>
    <tableColumn id="12229" xr3:uid="{D9451F54-BE1A-4835-8DDA-70273BCCC585}" name="Column12222"/>
    <tableColumn id="12230" xr3:uid="{46F8B404-F147-4784-8C54-986EF904F730}" name="Column12223"/>
    <tableColumn id="12231" xr3:uid="{AD6D01E3-3A84-4FC5-A6D1-27D53E88F638}" name="Column12224"/>
    <tableColumn id="12232" xr3:uid="{66124A19-671F-4A61-84C1-70CFC66B9F34}" name="Column12225"/>
    <tableColumn id="12233" xr3:uid="{6D4EB4BC-3A48-49DF-96F5-4469D3C5F2AC}" name="Column12226"/>
    <tableColumn id="12234" xr3:uid="{F9B346F3-A510-44C9-9B93-D903CB57C03F}" name="Column12227"/>
    <tableColumn id="12235" xr3:uid="{D56D11EB-CADB-4C09-88DE-61CCFFE5826B}" name="Column12228"/>
    <tableColumn id="12236" xr3:uid="{84F50BE0-E1F8-45D7-9523-7008D9272398}" name="Column12229"/>
    <tableColumn id="12237" xr3:uid="{84C27925-1090-40F1-8D16-3DE240653FDD}" name="Column12230"/>
    <tableColumn id="12238" xr3:uid="{AED94B8E-54B2-4DEB-BD03-344B2C85144C}" name="Column12231"/>
    <tableColumn id="12239" xr3:uid="{774A3CB4-4F7C-42FB-A7A2-F2BDD647065D}" name="Column12232"/>
    <tableColumn id="12240" xr3:uid="{4A611EA3-A9DF-4AE4-8CE9-0E4D0A2C1627}" name="Column12233"/>
    <tableColumn id="12241" xr3:uid="{9639A314-900B-4770-9934-0C124D97160D}" name="Column12234"/>
    <tableColumn id="12242" xr3:uid="{2F986F13-9010-412B-A21C-E6001C3BFAB5}" name="Column12235"/>
    <tableColumn id="12243" xr3:uid="{49047F62-9FFC-42FA-947E-7579B8E7CF4A}" name="Column12236"/>
    <tableColumn id="12244" xr3:uid="{D77752CF-7AD8-41E6-BED9-C47944DA9630}" name="Column12237"/>
    <tableColumn id="12245" xr3:uid="{57E0F3C5-AFB3-483D-9E74-7F16C6BCCB63}" name="Column12238"/>
    <tableColumn id="12246" xr3:uid="{5488667A-C53C-4840-9C12-3C4B4E6C0664}" name="Column12239"/>
    <tableColumn id="12247" xr3:uid="{582DC0A9-990F-40FA-8A83-4265CD19060B}" name="Column12240"/>
    <tableColumn id="12248" xr3:uid="{DA09682D-0E3E-4E27-A123-09C5CE955100}" name="Column12241"/>
    <tableColumn id="12249" xr3:uid="{E4ED5DAB-C486-4B21-9AA9-FB7A9A44E0CA}" name="Column12242"/>
    <tableColumn id="12250" xr3:uid="{205E7644-C2DF-48CF-8B05-F82F54289E69}" name="Column12243"/>
    <tableColumn id="12251" xr3:uid="{160B9DAD-E269-4D15-991B-F2D4E5FBDDAD}" name="Column12244"/>
    <tableColumn id="12252" xr3:uid="{79DFC039-AFE6-4D5B-82B1-0ABD02189751}" name="Column12245"/>
    <tableColumn id="12253" xr3:uid="{629BC495-D29C-4B62-B212-C174BA22B51F}" name="Column12246"/>
    <tableColumn id="12254" xr3:uid="{798DA64B-F58D-4511-80CA-920918D76EE0}" name="Column12247"/>
    <tableColumn id="12255" xr3:uid="{EAF4FCC9-9038-466C-B99F-51DDB6EC2FCA}" name="Column12248"/>
    <tableColumn id="12256" xr3:uid="{10B528CC-BCC4-4C9B-A033-176CEA7A98D6}" name="Column12249"/>
    <tableColumn id="12257" xr3:uid="{159FA0BD-8C81-43BC-94C0-D88DFCA47D6F}" name="Column12250"/>
    <tableColumn id="12258" xr3:uid="{4DBEB60F-4508-4528-9AAF-EC5D4611A96E}" name="Column12251"/>
    <tableColumn id="12259" xr3:uid="{D653D229-89D7-4604-835A-C34EFA4ED85A}" name="Column12252"/>
    <tableColumn id="12260" xr3:uid="{BC541669-93DE-430C-B0E4-A9C44560A09F}" name="Column12253"/>
    <tableColumn id="12261" xr3:uid="{6345BB8F-E030-47F4-A95F-9729E6213C45}" name="Column12254"/>
    <tableColumn id="12262" xr3:uid="{4A63A31F-7C7D-492F-9320-B9FD33C88077}" name="Column12255"/>
    <tableColumn id="12263" xr3:uid="{4F5396AD-B5CB-47D8-8D57-4DFD92A33F67}" name="Column12256"/>
    <tableColumn id="12264" xr3:uid="{FEBDB545-1758-4C29-8789-2D9138D35273}" name="Column12257"/>
    <tableColumn id="12265" xr3:uid="{3F37999D-2995-4A82-91D2-632482D553E4}" name="Column12258"/>
    <tableColumn id="12266" xr3:uid="{27C9C253-F2F6-49B3-97DF-4BDCBE92B160}" name="Column12259"/>
    <tableColumn id="12267" xr3:uid="{BF6AB937-7F38-4796-B184-AEA8E72D8C62}" name="Column12260"/>
    <tableColumn id="12268" xr3:uid="{FB3E8636-4F6E-4B9F-8C99-A4EDE5D3B2B3}" name="Column12261"/>
    <tableColumn id="12269" xr3:uid="{E1470C2F-0EC9-45E9-8631-19045B645B9D}" name="Column12262"/>
    <tableColumn id="12270" xr3:uid="{06773B6B-0C0A-49EC-A161-C18DFFD8E2CE}" name="Column12263"/>
    <tableColumn id="12271" xr3:uid="{4A0CCD4B-0806-4FCE-A596-6802538AC9D7}" name="Column12264"/>
    <tableColumn id="12272" xr3:uid="{26C67C58-9888-4F0B-972E-DFDF2F254CFF}" name="Column12265"/>
    <tableColumn id="12273" xr3:uid="{D48FCAA4-4004-4671-A1D5-01081B048566}" name="Column12266"/>
    <tableColumn id="12274" xr3:uid="{626DEB7A-D8A2-4D96-B1A5-B176C2508756}" name="Column12267"/>
    <tableColumn id="12275" xr3:uid="{9396C62F-71E0-47A3-8A7A-635F824FB494}" name="Column12268"/>
    <tableColumn id="12276" xr3:uid="{DC299F06-77D2-427E-A454-5EB6B69FCE40}" name="Column12269"/>
    <tableColumn id="12277" xr3:uid="{6ECF53A2-E52B-4233-9650-9B2915867277}" name="Column12270"/>
    <tableColumn id="12278" xr3:uid="{863494E4-EEDB-4B2C-A64B-5223FE6B9E76}" name="Column12271"/>
    <tableColumn id="12279" xr3:uid="{B6EA21CB-7182-4621-9741-31631691BBBE}" name="Column12272"/>
    <tableColumn id="12280" xr3:uid="{344E8300-D59D-4F04-ADB4-0A3EA3469822}" name="Column12273"/>
    <tableColumn id="12281" xr3:uid="{F12F14AA-D5A8-4D5B-B09E-1F96E3A82E15}" name="Column12274"/>
    <tableColumn id="12282" xr3:uid="{10133307-24BD-483E-B921-46695F77F7AB}" name="Column12275"/>
    <tableColumn id="12283" xr3:uid="{66E14498-B261-47F8-BB59-7FFE7456CDB6}" name="Column12276"/>
    <tableColumn id="12284" xr3:uid="{14B93E1E-C9DB-4F66-BEE6-7BA7C64E0CFB}" name="Column12277"/>
    <tableColumn id="12285" xr3:uid="{589BF603-C758-4AA0-BA3F-9F668BB74F04}" name="Column12278"/>
    <tableColumn id="12286" xr3:uid="{28027A6F-9DC4-4FBA-A8F4-6CD2CD1DAD68}" name="Column12279"/>
    <tableColumn id="12287" xr3:uid="{6BE493CB-5C22-425E-AA2A-25C4D0A29757}" name="Column12280"/>
    <tableColumn id="12288" xr3:uid="{AFF059CD-14F6-4BA7-977F-6B3F28AFEEB4}" name="Column12281"/>
    <tableColumn id="12289" xr3:uid="{4A807504-ECD7-4E27-BCC7-714F421C4C94}" name="Column12282"/>
    <tableColumn id="12290" xr3:uid="{C15618B9-9590-4CBF-ACC3-03414F9F5703}" name="Column12283"/>
    <tableColumn id="12291" xr3:uid="{A7BF5B3B-A55A-49A3-8EDA-C84F83C286B6}" name="Column12284"/>
    <tableColumn id="12292" xr3:uid="{06D886FB-ECDC-4DB1-A5EA-6FA51096CDDB}" name="Column12285"/>
    <tableColumn id="12293" xr3:uid="{6A585691-2273-4298-8A50-2744FF16C3E1}" name="Column12286"/>
    <tableColumn id="12294" xr3:uid="{D180E7D6-475F-4E20-AF92-EB17E8102E9B}" name="Column12287"/>
    <tableColumn id="12295" xr3:uid="{AFD63948-06EF-4B8B-89C4-740F88EBC1A6}" name="Column12288"/>
    <tableColumn id="12296" xr3:uid="{FF346D1B-EEE0-43BF-8AAD-1620D03A9AD3}" name="Column12289"/>
    <tableColumn id="12297" xr3:uid="{7181A000-ED38-449B-9F82-132970541634}" name="Column12290"/>
    <tableColumn id="12298" xr3:uid="{3A3A97E6-9B5D-4C81-9D07-BB5CD3775442}" name="Column12291"/>
    <tableColumn id="12299" xr3:uid="{A850717F-8D8B-46F7-B878-CFEC9F593951}" name="Column12292"/>
    <tableColumn id="12300" xr3:uid="{38925D3A-68CC-4C75-9B0C-B0D5B725B0B5}" name="Column12293"/>
    <tableColumn id="12301" xr3:uid="{54EBD726-62AD-40A1-963F-3CBD10D72DB9}" name="Column12294"/>
    <tableColumn id="12302" xr3:uid="{C31A9E6D-D09E-4275-A5EB-995E41C54F0A}" name="Column12295"/>
    <tableColumn id="12303" xr3:uid="{4F94F846-DCC2-4F9F-81A9-2002DEA9280A}" name="Column12296"/>
    <tableColumn id="12304" xr3:uid="{C8B44E79-D297-460F-A2E0-43C9F3B461A7}" name="Column12297"/>
    <tableColumn id="12305" xr3:uid="{6948EAE9-A5EC-4B75-9C96-05D8C3F4317F}" name="Column12298"/>
    <tableColumn id="12306" xr3:uid="{C0A48494-A24B-438F-B165-E39302B277C8}" name="Column12299"/>
    <tableColumn id="12307" xr3:uid="{982FC1B9-3840-4205-AD12-3B0F1AEAA56A}" name="Column12300"/>
    <tableColumn id="12308" xr3:uid="{59D453F9-1D3B-4DFD-80B0-8D7330EA3AF2}" name="Column12301"/>
    <tableColumn id="12309" xr3:uid="{C270FF6C-2ADE-43A1-A6E1-CFF04248E2ED}" name="Column12302"/>
    <tableColumn id="12310" xr3:uid="{06EA2F20-E565-4930-AFF6-B9A910E67539}" name="Column12303"/>
    <tableColumn id="12311" xr3:uid="{058F13ED-DF15-4BD7-A338-5110D6731FDE}" name="Column12304"/>
    <tableColumn id="12312" xr3:uid="{B6305A1D-07D4-4FB0-A481-8AAA604AAEF7}" name="Column12305"/>
    <tableColumn id="12313" xr3:uid="{E3DF0F97-49C7-489A-A8F3-8954C08843DE}" name="Column12306"/>
    <tableColumn id="12314" xr3:uid="{87B8F3C1-8211-458A-8A22-CE0138012DFB}" name="Column12307"/>
    <tableColumn id="12315" xr3:uid="{7B190DF2-D857-4327-B8BD-1D331A85A421}" name="Column12308"/>
    <tableColumn id="12316" xr3:uid="{28D3DEC3-97B5-4E4B-AFE4-767112540FD2}" name="Column12309"/>
    <tableColumn id="12317" xr3:uid="{2E9DB024-6E08-4E19-B3C3-05791CF8AB14}" name="Column12310"/>
    <tableColumn id="12318" xr3:uid="{55698B5E-CED5-4E0E-A2D4-382545037D25}" name="Column12311"/>
    <tableColumn id="12319" xr3:uid="{93BC13C5-2D4E-44ED-B295-1A20AFDDDC11}" name="Column12312"/>
    <tableColumn id="12320" xr3:uid="{CE79AF3B-D3C1-450A-90BA-2DEC27786B20}" name="Column12313"/>
    <tableColumn id="12321" xr3:uid="{16A689C5-A27C-4CCD-AF3E-F4A6798BDB5B}" name="Column12314"/>
    <tableColumn id="12322" xr3:uid="{D332A979-282B-4874-94BB-7CA5034CAE94}" name="Column12315"/>
    <tableColumn id="12323" xr3:uid="{E3C86F5C-02A1-44AD-9F32-0A0393A7E1D7}" name="Column12316"/>
    <tableColumn id="12324" xr3:uid="{504074BD-5160-4C14-8B6E-F47A9B8B7EAC}" name="Column12317"/>
    <tableColumn id="12325" xr3:uid="{74BEEAD6-83A1-40E2-87ED-14E8030643E0}" name="Column12318"/>
    <tableColumn id="12326" xr3:uid="{6FE9BE7B-94F2-41E4-BE58-6160E61F4C31}" name="Column12319"/>
    <tableColumn id="12327" xr3:uid="{41820AA1-E38B-4E9C-B3CB-16BE3EBE66E5}" name="Column12320"/>
    <tableColumn id="12328" xr3:uid="{B6528CC9-DD89-45CB-ADA4-B48CE67A1A03}" name="Column12321"/>
    <tableColumn id="12329" xr3:uid="{53B54211-5DED-4DAE-B52B-7FA665E30BE8}" name="Column12322"/>
    <tableColumn id="12330" xr3:uid="{742888FA-6557-4E5E-9B19-E492C81B63DD}" name="Column12323"/>
    <tableColumn id="12331" xr3:uid="{B7DB388A-332E-44B4-9463-60300350CC88}" name="Column12324"/>
    <tableColumn id="12332" xr3:uid="{0832503C-ABDA-4ECB-B1FF-429B4FC42674}" name="Column12325"/>
    <tableColumn id="12333" xr3:uid="{F6A6230A-9912-4BD2-85C5-AD8586331EAF}" name="Column12326"/>
    <tableColumn id="12334" xr3:uid="{4103C837-1569-4578-BD7D-74BDEDED94A2}" name="Column12327"/>
    <tableColumn id="12335" xr3:uid="{A22EBBB7-89EC-482D-B29C-6FC29D4A19D7}" name="Column12328"/>
    <tableColumn id="12336" xr3:uid="{89C1C1FF-117C-4846-A918-4CD31D004532}" name="Column12329"/>
    <tableColumn id="12337" xr3:uid="{BFD48599-6236-48A7-9872-BE430171F1D9}" name="Column12330"/>
    <tableColumn id="12338" xr3:uid="{965A5FB9-DA90-4156-A960-905E7FA6A577}" name="Column12331"/>
    <tableColumn id="12339" xr3:uid="{3443B4A4-5FDF-463B-A061-C1FA35C7D2D4}" name="Column12332"/>
    <tableColumn id="12340" xr3:uid="{C60EBC53-2879-49B3-AE6F-9C7C9994A24B}" name="Column12333"/>
    <tableColumn id="12341" xr3:uid="{278BD007-38FB-41EB-95C6-7E7474BBABBB}" name="Column12334"/>
    <tableColumn id="12342" xr3:uid="{4C653392-2952-4543-B4D4-5ABD0A680DC6}" name="Column12335"/>
    <tableColumn id="12343" xr3:uid="{7F7BCA7F-EF1C-40BA-88C9-065A752CA7D4}" name="Column12336"/>
    <tableColumn id="12344" xr3:uid="{A98D2BE1-3E58-4890-9ACD-D5687A5A5049}" name="Column12337"/>
    <tableColumn id="12345" xr3:uid="{75FAD19E-DA65-48DA-B03B-994A48482812}" name="Column12338"/>
    <tableColumn id="12346" xr3:uid="{A3ACD8E6-7457-4267-B67C-A37D6F588FC8}" name="Column12339"/>
    <tableColumn id="12347" xr3:uid="{944F0134-70AE-4A49-B948-F638FEDD921F}" name="Column12340"/>
    <tableColumn id="12348" xr3:uid="{35B9F386-D64A-4B9A-AD02-4229CE792146}" name="Column12341"/>
    <tableColumn id="12349" xr3:uid="{8B53FF28-E0B3-4F23-A745-D7EF126C0824}" name="Column12342"/>
    <tableColumn id="12350" xr3:uid="{0B3DCCFD-B3A7-4443-87F3-6E98EE0E20BF}" name="Column12343"/>
    <tableColumn id="12351" xr3:uid="{864E9EC8-A9DC-43A0-88A4-B268CBF57629}" name="Column12344"/>
    <tableColumn id="12352" xr3:uid="{31F84840-32E7-4496-9924-6A4935DFC9D8}" name="Column12345"/>
    <tableColumn id="12353" xr3:uid="{A7EB5D17-7026-4000-95E3-A17AC27A4865}" name="Column12346"/>
    <tableColumn id="12354" xr3:uid="{F77EC4EB-13FA-42EA-8918-E73F1FE19A61}" name="Column12347"/>
    <tableColumn id="12355" xr3:uid="{98BE53C4-0AAE-480B-8E5B-8B738AD4ED92}" name="Column12348"/>
    <tableColumn id="12356" xr3:uid="{B0626338-212D-469A-8817-462991DD5027}" name="Column12349"/>
    <tableColumn id="12357" xr3:uid="{09ABF0C5-2378-45D9-8980-128FCECB9010}" name="Column12350"/>
    <tableColumn id="12358" xr3:uid="{34006469-78A2-4FAD-B176-7B1B9B035120}" name="Column12351"/>
    <tableColumn id="12359" xr3:uid="{6F7112B7-1691-4C8A-B5C1-C85789865908}" name="Column12352"/>
    <tableColumn id="12360" xr3:uid="{A6A9A46B-C295-4654-928A-5378DEA23D14}" name="Column12353"/>
    <tableColumn id="12361" xr3:uid="{DC8E0306-0439-4123-BE9D-541FE8A767D9}" name="Column12354"/>
    <tableColumn id="12362" xr3:uid="{66334C43-4FED-41B8-BEFC-3BF423FD072D}" name="Column12355"/>
    <tableColumn id="12363" xr3:uid="{E75B7F54-302A-47DD-AF6A-C3CCDA014A9D}" name="Column12356"/>
    <tableColumn id="12364" xr3:uid="{DEC336E8-B286-4B9C-B114-91CD5603C553}" name="Column12357"/>
    <tableColumn id="12365" xr3:uid="{3F9B9D43-E437-40AA-9B10-0FD87F755EE0}" name="Column12358"/>
    <tableColumn id="12366" xr3:uid="{7CB7BED8-BA9A-4781-9029-11810927733E}" name="Column12359"/>
    <tableColumn id="12367" xr3:uid="{F71E61EE-9599-4C74-8F8B-8ADEA7B28BB9}" name="Column12360"/>
    <tableColumn id="12368" xr3:uid="{ACB22824-85EF-4EA3-A379-185330CB26C0}" name="Column12361"/>
    <tableColumn id="12369" xr3:uid="{31B8E7E3-6406-46FF-90EB-C000DB2C4375}" name="Column12362"/>
    <tableColumn id="12370" xr3:uid="{69E9C587-4E77-43F5-A71B-18337BBE1CEB}" name="Column12363"/>
    <tableColumn id="12371" xr3:uid="{643C5776-890B-43F2-8B2D-6E10A261D891}" name="Column12364"/>
    <tableColumn id="12372" xr3:uid="{5E236ABC-9F6C-4455-AD80-0B840D274085}" name="Column12365"/>
    <tableColumn id="12373" xr3:uid="{9EA47452-413B-4426-AC80-538B311F3B86}" name="Column12366"/>
    <tableColumn id="12374" xr3:uid="{179F1CE2-8206-4CE6-BC0E-23E5B9CC2EEB}" name="Column12367"/>
    <tableColumn id="12375" xr3:uid="{74AB9B95-A547-4882-B4D4-7DA17741E6DE}" name="Column12368"/>
    <tableColumn id="12376" xr3:uid="{88B8988C-23CD-4051-8F88-105562C546C1}" name="Column12369"/>
    <tableColumn id="12377" xr3:uid="{186FE590-5480-4733-AD46-597B6A2C6176}" name="Column12370"/>
    <tableColumn id="12378" xr3:uid="{9AC0442C-F3DC-45FE-A182-0347FFAA2F3A}" name="Column12371"/>
    <tableColumn id="12379" xr3:uid="{EBD179FA-7A39-4DFB-B968-BC41B9734E1D}" name="Column12372"/>
    <tableColumn id="12380" xr3:uid="{7C4BA81D-0BBF-4E67-9503-C2B3BA644551}" name="Column12373"/>
    <tableColumn id="12381" xr3:uid="{B2ABD486-AE36-459D-800C-F5030CE9F971}" name="Column12374"/>
    <tableColumn id="12382" xr3:uid="{58334CEE-C9C8-43EB-827D-B7D4AE34C25C}" name="Column12375"/>
    <tableColumn id="12383" xr3:uid="{98BF4CAA-EFEF-427C-9E95-F46F85B508A5}" name="Column12376"/>
    <tableColumn id="12384" xr3:uid="{84E0073C-ABB9-4EE9-80B1-208552E2A5C6}" name="Column12377"/>
    <tableColumn id="12385" xr3:uid="{201EE1A3-D6A6-458B-836D-BEB825CD673A}" name="Column12378"/>
    <tableColumn id="12386" xr3:uid="{E3F0F52D-D839-4E77-8E44-B0F0D16F22FE}" name="Column12379"/>
    <tableColumn id="12387" xr3:uid="{EC6D879D-8A34-446E-92DA-033C36187496}" name="Column12380"/>
    <tableColumn id="12388" xr3:uid="{BEF71B16-9A4B-49FC-A084-0CA55EEF5D6A}" name="Column12381"/>
    <tableColumn id="12389" xr3:uid="{B97F2D1A-484E-48BF-8D9F-3FCC5F843B28}" name="Column12382"/>
    <tableColumn id="12390" xr3:uid="{A58FDB24-17A9-45B6-BC37-6676FCF6DA16}" name="Column12383"/>
    <tableColumn id="12391" xr3:uid="{3354DCDF-CFBD-446B-B433-C7E5ED100011}" name="Column12384"/>
    <tableColumn id="12392" xr3:uid="{F331C097-50C6-4367-AAE2-CEE087376BD0}" name="Column12385"/>
    <tableColumn id="12393" xr3:uid="{8B8E88D5-D91F-4E8C-9C0B-CBAC3B3279DB}" name="Column12386"/>
    <tableColumn id="12394" xr3:uid="{7CAA9A2B-F30C-4029-838B-F61B6D2CB0A8}" name="Column12387"/>
    <tableColumn id="12395" xr3:uid="{868AA532-6508-49E9-AE97-2309135774B1}" name="Column12388"/>
    <tableColumn id="12396" xr3:uid="{83EB3B35-F680-4029-BBDA-4C450ED41880}" name="Column12389"/>
    <tableColumn id="12397" xr3:uid="{89108BC8-49FD-4662-982D-87702AE2D0B9}" name="Column12390"/>
    <tableColumn id="12398" xr3:uid="{3BA8E7BA-59FC-4AB2-BB1B-F6368DF1F261}" name="Column12391"/>
    <tableColumn id="12399" xr3:uid="{CEACDB8D-14EC-44A4-8966-E9DFC516DA4C}" name="Column12392"/>
    <tableColumn id="12400" xr3:uid="{597E9E22-CAB7-4844-8C11-44DF2BB8FE67}" name="Column12393"/>
    <tableColumn id="12401" xr3:uid="{38702D8A-6B79-4550-B8C7-8397C38F5F80}" name="Column12394"/>
    <tableColumn id="12402" xr3:uid="{8DD808DC-44CC-4C39-B141-DEC127F23779}" name="Column12395"/>
    <tableColumn id="12403" xr3:uid="{963C23D2-AB62-4E28-BF0D-0CBEC803B17A}" name="Column12396"/>
    <tableColumn id="12404" xr3:uid="{A7D672EA-79ED-41BC-842A-405E6BE6FCEB}" name="Column12397"/>
    <tableColumn id="12405" xr3:uid="{027F66F3-1C2E-48F9-9474-0D5FB3891F39}" name="Column12398"/>
    <tableColumn id="12406" xr3:uid="{96D38B21-EEFB-4895-A84C-46C3FD5F7C93}" name="Column12399"/>
    <tableColumn id="12407" xr3:uid="{EB46CD07-4A18-464F-AAB3-633BF99A86B7}" name="Column12400"/>
    <tableColumn id="12408" xr3:uid="{004A7AB1-5C32-4E57-B19C-431372FAEA90}" name="Column12401"/>
    <tableColumn id="12409" xr3:uid="{5F6DACF9-1786-4DB0-A0BF-6C09FA0A2298}" name="Column12402"/>
    <tableColumn id="12410" xr3:uid="{914DEEE7-6ADF-4D70-A1F0-7E3CAE2F21E7}" name="Column12403"/>
    <tableColumn id="12411" xr3:uid="{E6E77E66-0A36-4617-9982-C56443B4D276}" name="Column12404"/>
    <tableColumn id="12412" xr3:uid="{E6FE4B6F-826D-48EE-98DD-4608060A7D04}" name="Column12405"/>
    <tableColumn id="12413" xr3:uid="{7C815EF7-9FE0-4696-AB47-B6B8B3A31E38}" name="Column12406"/>
    <tableColumn id="12414" xr3:uid="{649F60CA-4555-430A-B8BF-3C01D3D77A96}" name="Column12407"/>
    <tableColumn id="12415" xr3:uid="{76C849C4-A747-4BBD-8D92-A1654D7242FB}" name="Column12408"/>
    <tableColumn id="12416" xr3:uid="{FE21BBB4-7EBE-4C10-B5ED-EE71993415A5}" name="Column12409"/>
    <tableColumn id="12417" xr3:uid="{DD46F905-66FA-428F-B8B4-AB70051B2698}" name="Column12410"/>
    <tableColumn id="12418" xr3:uid="{B50C3583-7850-4F6E-BD7E-AB2500AF80AF}" name="Column12411"/>
    <tableColumn id="12419" xr3:uid="{5C1875E2-6F7F-4D3F-A078-6D3031E4BEF3}" name="Column12412"/>
    <tableColumn id="12420" xr3:uid="{05B44559-EE5C-44BE-9786-A49BD6946B29}" name="Column12413"/>
    <tableColumn id="12421" xr3:uid="{614FF52E-A0D5-442D-860F-BB22174BAA14}" name="Column12414"/>
    <tableColumn id="12422" xr3:uid="{61D07AFA-A689-4761-B6A6-0984D4D292ED}" name="Column12415"/>
    <tableColumn id="12423" xr3:uid="{ACA80C9D-3615-452B-8920-22ED86476BD9}" name="Column12416"/>
    <tableColumn id="12424" xr3:uid="{AEFC3814-8164-46F6-81FA-9DC462C4B024}" name="Column12417"/>
    <tableColumn id="12425" xr3:uid="{D1A0173E-6497-453D-B295-1C12DFAC6D14}" name="Column12418"/>
    <tableColumn id="12426" xr3:uid="{5D29E1FA-D7CF-4181-BA40-1F0449CD9D8D}" name="Column12419"/>
    <tableColumn id="12427" xr3:uid="{54201D39-B34A-49D4-9B5C-4B9EDEC56BBC}" name="Column12420"/>
    <tableColumn id="12428" xr3:uid="{0519D005-4CBF-4976-A1C4-B850AC0C8705}" name="Column12421"/>
    <tableColumn id="12429" xr3:uid="{1B9B3E5F-7510-4AA2-A871-33A46A23EB8E}" name="Column12422"/>
    <tableColumn id="12430" xr3:uid="{CEC93FDA-EB38-4089-99AF-EF14FBD0E225}" name="Column12423"/>
    <tableColumn id="12431" xr3:uid="{1369BB85-6F8A-427A-B742-95BE30DAE689}" name="Column12424"/>
    <tableColumn id="12432" xr3:uid="{051F975F-9D29-4D9C-B97B-0818E44E44B9}" name="Column12425"/>
    <tableColumn id="12433" xr3:uid="{C530D0B4-EA94-4C7C-B72D-E845F5160F0C}" name="Column12426"/>
    <tableColumn id="12434" xr3:uid="{55333E55-E5E3-4665-89D3-6FFFE1A53901}" name="Column12427"/>
    <tableColumn id="12435" xr3:uid="{BF1179C3-1D74-4795-986A-96F06880E648}" name="Column12428"/>
    <tableColumn id="12436" xr3:uid="{990AADDB-A092-4A13-9A84-F8E21FBAE59A}" name="Column12429"/>
    <tableColumn id="12437" xr3:uid="{F0B7CE02-4282-409A-96C7-667A7AF09E41}" name="Column12430"/>
    <tableColumn id="12438" xr3:uid="{34128900-1AB4-47D3-9053-FA4CA9B4FB30}" name="Column12431"/>
    <tableColumn id="12439" xr3:uid="{DD71B069-3EA2-43D5-92BC-C25CE35D0409}" name="Column12432"/>
    <tableColumn id="12440" xr3:uid="{5B51BA20-E2C3-4E3E-A974-8C9211C0CED2}" name="Column12433"/>
    <tableColumn id="12441" xr3:uid="{D252D18C-573B-4D59-BEDC-D51D08A18840}" name="Column12434"/>
    <tableColumn id="12442" xr3:uid="{203F76AA-5DF2-4E84-AE8B-029EC52395F1}" name="Column12435"/>
    <tableColumn id="12443" xr3:uid="{3DC559BB-E464-47AE-8EE8-03D27119636D}" name="Column12436"/>
    <tableColumn id="12444" xr3:uid="{628FEF56-281A-47B9-A5D8-73761B4CA690}" name="Column12437"/>
    <tableColumn id="12445" xr3:uid="{8117BA0B-48A3-479C-9CE1-4D92940FC390}" name="Column12438"/>
    <tableColumn id="12446" xr3:uid="{246171B6-83EC-4C19-AEC9-52AA427FDAC0}" name="Column12439"/>
    <tableColumn id="12447" xr3:uid="{0D43AAFB-9ACD-4401-BD03-345E7E3034D3}" name="Column12440"/>
    <tableColumn id="12448" xr3:uid="{69D9970D-306C-4BC3-803B-505B6063E824}" name="Column12441"/>
    <tableColumn id="12449" xr3:uid="{CBE16122-CB69-4BB1-AEC4-8A38B821FBBD}" name="Column12442"/>
    <tableColumn id="12450" xr3:uid="{EEC9F46D-1E55-49E6-9DEC-223773DCAA6D}" name="Column12443"/>
    <tableColumn id="12451" xr3:uid="{D13A1622-3418-40E8-B4CF-9D1977E02ABC}" name="Column12444"/>
    <tableColumn id="12452" xr3:uid="{C35873F1-377A-4E22-86BA-502D77590611}" name="Column12445"/>
    <tableColumn id="12453" xr3:uid="{44E8A47E-55B7-4BF3-9934-6E05046A62DF}" name="Column12446"/>
    <tableColumn id="12454" xr3:uid="{F50C5EA5-0CBF-40B7-B811-6D5FE0751A2D}" name="Column12447"/>
    <tableColumn id="12455" xr3:uid="{A8AE1E5B-A689-47E6-B727-43CC44A2D138}" name="Column12448"/>
    <tableColumn id="12456" xr3:uid="{ACE563F2-CF88-4B6F-BF01-97EFD999CE91}" name="Column12449"/>
    <tableColumn id="12457" xr3:uid="{A895114A-98FA-4405-8717-0829EE7F6ACA}" name="Column12450"/>
    <tableColumn id="12458" xr3:uid="{5310292B-E39D-4F01-B088-93A0354E7DC6}" name="Column12451"/>
    <tableColumn id="12459" xr3:uid="{184B00EC-D791-41DB-BE10-5F5499AB7F7B}" name="Column12452"/>
    <tableColumn id="12460" xr3:uid="{2FDF55CB-09E8-4226-8053-94E0C27B8287}" name="Column12453"/>
    <tableColumn id="12461" xr3:uid="{D5EAE7BE-823F-490D-932B-D6080F600270}" name="Column12454"/>
    <tableColumn id="12462" xr3:uid="{2E868621-44AC-4494-82C0-BBDA98259F82}" name="Column12455"/>
    <tableColumn id="12463" xr3:uid="{2A6B84F0-C62F-4595-8749-F34C258396EE}" name="Column12456"/>
    <tableColumn id="12464" xr3:uid="{84E8A412-AB16-46C6-9049-0B9D55A54CFD}" name="Column12457"/>
    <tableColumn id="12465" xr3:uid="{9DD9B579-A708-4966-B9FA-0603F2AD6AEE}" name="Column12458"/>
    <tableColumn id="12466" xr3:uid="{CBD2795A-4AC1-4E80-B994-CE40C5FA9630}" name="Column12459"/>
    <tableColumn id="12467" xr3:uid="{06A3C5F2-CBFE-494E-A078-A691F803697B}" name="Column12460"/>
    <tableColumn id="12468" xr3:uid="{6EFCE937-5B68-4703-8939-82BED2ABEC68}" name="Column12461"/>
    <tableColumn id="12469" xr3:uid="{EFA46CA4-4EE1-49F3-8219-7F91C81D354E}" name="Column12462"/>
    <tableColumn id="12470" xr3:uid="{62DEC858-864D-4A43-BE3D-96C7AD7A2135}" name="Column12463"/>
    <tableColumn id="12471" xr3:uid="{1DCB3F9B-9875-4FB8-908C-DB08C0283386}" name="Column12464"/>
    <tableColumn id="12472" xr3:uid="{BAF7BDDC-7FD8-41B3-912E-F09833D7D10A}" name="Column12465"/>
    <tableColumn id="12473" xr3:uid="{8960B2BD-25F3-43A2-BECD-85B0C935F995}" name="Column12466"/>
    <tableColumn id="12474" xr3:uid="{BBE4EEC6-25B1-46D1-8D30-06B922392919}" name="Column12467"/>
    <tableColumn id="12475" xr3:uid="{E6770C1B-6010-4E6A-889F-B14FDEE6F08E}" name="Column12468"/>
    <tableColumn id="12476" xr3:uid="{EF02ABD8-A392-4314-8A4B-3F02F9F1CF38}" name="Column12469"/>
    <tableColumn id="12477" xr3:uid="{8C740471-88C9-4BA9-AFBE-DB9F9807D818}" name="Column12470"/>
    <tableColumn id="12478" xr3:uid="{367C3EDB-EC8A-48BB-B935-D17434B42183}" name="Column12471"/>
    <tableColumn id="12479" xr3:uid="{EBBC1444-3113-436E-9403-7828B888D4FC}" name="Column12472"/>
    <tableColumn id="12480" xr3:uid="{B47A78D6-D9DB-4CD8-92D1-A1C4F2966F48}" name="Column12473"/>
    <tableColumn id="12481" xr3:uid="{38483C49-7480-4B68-8F81-1078E6A8A957}" name="Column12474"/>
    <tableColumn id="12482" xr3:uid="{C43A7381-401E-42AC-A0E2-98066D366C9D}" name="Column12475"/>
    <tableColumn id="12483" xr3:uid="{4A58CF7A-3D95-4326-B85A-B46FA1A67B6B}" name="Column12476"/>
    <tableColumn id="12484" xr3:uid="{74005D7D-7670-4B7B-8A44-8D6329A1C52F}" name="Column12477"/>
    <tableColumn id="12485" xr3:uid="{018EA7D4-85E7-4D8E-8F64-D6DAE3F0B409}" name="Column12478"/>
    <tableColumn id="12486" xr3:uid="{D503EEF5-8956-4F48-B92B-D6397035ABA0}" name="Column12479"/>
    <tableColumn id="12487" xr3:uid="{8235E7F2-6C00-46FD-9D34-16873311D920}" name="Column12480"/>
    <tableColumn id="12488" xr3:uid="{C424F5F5-AEE5-4EFE-AD9A-D654693FAD22}" name="Column12481"/>
    <tableColumn id="12489" xr3:uid="{08E657CD-2B12-432E-819C-DA10E7C1231E}" name="Column12482"/>
    <tableColumn id="12490" xr3:uid="{79F6893E-DB4F-46D0-94F0-4885528F91E3}" name="Column12483"/>
    <tableColumn id="12491" xr3:uid="{1AB32626-5A81-4A49-A357-6B9995501A69}" name="Column12484"/>
    <tableColumn id="12492" xr3:uid="{22D0BBA0-C5FB-4C74-8597-F6962AE5BB69}" name="Column12485"/>
    <tableColumn id="12493" xr3:uid="{CD901DD6-2542-4EC5-8847-17B8E38FB28B}" name="Column12486"/>
    <tableColumn id="12494" xr3:uid="{79D38695-ABCD-4BA0-A5C1-BCD2D444F5B2}" name="Column12487"/>
    <tableColumn id="12495" xr3:uid="{30402405-569D-4D7B-8711-3707BD02379E}" name="Column12488"/>
    <tableColumn id="12496" xr3:uid="{BF06DB85-F01D-4C37-BFEC-A9E9255F66B3}" name="Column12489"/>
    <tableColumn id="12497" xr3:uid="{C67E6269-C872-4C7B-878C-57BF05DAB066}" name="Column12490"/>
    <tableColumn id="12498" xr3:uid="{171E3E42-5CA5-4353-9EAE-84F24FFE8D05}" name="Column12491"/>
    <tableColumn id="12499" xr3:uid="{54C385BB-065E-4EEC-82D8-54B16E57A1B2}" name="Column12492"/>
    <tableColumn id="12500" xr3:uid="{E4F99B48-172B-4F3F-9268-B1CDD8913080}" name="Column12493"/>
    <tableColumn id="12501" xr3:uid="{D5B00E42-15F0-4328-A474-A1004848B25A}" name="Column12494"/>
    <tableColumn id="12502" xr3:uid="{F6D94AB2-A6FF-4B97-98B9-3C63B66848B4}" name="Column12495"/>
    <tableColumn id="12503" xr3:uid="{CBE8E6E6-55EE-41AA-8803-3D8EF692C00F}" name="Column12496"/>
    <tableColumn id="12504" xr3:uid="{1EDFD809-C8AF-4DDB-93D7-71904286ED0C}" name="Column12497"/>
    <tableColumn id="12505" xr3:uid="{E798C519-001B-433D-8215-04A8D1E05719}" name="Column12498"/>
    <tableColumn id="12506" xr3:uid="{D6994CCF-5E3A-4C86-9E52-B35174407A24}" name="Column12499"/>
    <tableColumn id="12507" xr3:uid="{FDA6F806-BC63-4FE1-9231-D99AE427AD7E}" name="Column12500"/>
    <tableColumn id="12508" xr3:uid="{0606C610-D2A3-4917-800D-F9377226B61B}" name="Column12501"/>
    <tableColumn id="12509" xr3:uid="{4AE7E510-728C-4A2C-880E-E61AEAB70F43}" name="Column12502"/>
    <tableColumn id="12510" xr3:uid="{D4B5344D-2D83-4290-A1B5-CDA2A6789B77}" name="Column12503"/>
    <tableColumn id="12511" xr3:uid="{3671C79A-D0A4-4772-87A9-F72D50307257}" name="Column12504"/>
    <tableColumn id="12512" xr3:uid="{8D9C6B2A-7726-4DBA-9C1A-9930A0024B00}" name="Column12505"/>
    <tableColumn id="12513" xr3:uid="{516F2B38-ED49-43ED-AF08-D09F0FF1A232}" name="Column12506"/>
    <tableColumn id="12514" xr3:uid="{50704E08-B0A7-41AC-8F47-91A6251FE044}" name="Column12507"/>
    <tableColumn id="12515" xr3:uid="{69D0289E-B9FA-4B25-8CF1-7236ED3BC81B}" name="Column12508"/>
    <tableColumn id="12516" xr3:uid="{200954B7-6BC6-4FA1-B8CC-297BA270F66F}" name="Column12509"/>
    <tableColumn id="12517" xr3:uid="{E01350A7-D506-4557-ABE3-D6ECB9AB597E}" name="Column12510"/>
    <tableColumn id="12518" xr3:uid="{6992AF2D-AAD0-4581-AE92-873899E0965A}" name="Column12511"/>
    <tableColumn id="12519" xr3:uid="{341DD01C-D958-4131-AD70-364468100E82}" name="Column12512"/>
    <tableColumn id="12520" xr3:uid="{605C9BAD-CEA8-4FEA-911B-3B18B3D150AA}" name="Column12513"/>
    <tableColumn id="12521" xr3:uid="{73ECDE3D-0896-4A3D-89BB-0668E0C0F0FE}" name="Column12514"/>
    <tableColumn id="12522" xr3:uid="{0A867E0E-6151-4148-AC40-5D8604372F20}" name="Column12515"/>
    <tableColumn id="12523" xr3:uid="{45027B91-A6AB-4C56-A876-94912F9FFB15}" name="Column12516"/>
    <tableColumn id="12524" xr3:uid="{6A408479-93CE-4055-A6DB-FC4A3F6F781C}" name="Column12517"/>
    <tableColumn id="12525" xr3:uid="{8C866B04-9C79-4170-A853-A80EB095EAB2}" name="Column12518"/>
    <tableColumn id="12526" xr3:uid="{44EAD065-2A68-4091-B140-FFAAC09F1CC4}" name="Column12519"/>
    <tableColumn id="12527" xr3:uid="{FE2A5BE5-D8F2-4445-9CD8-D344ED15F739}" name="Column12520"/>
    <tableColumn id="12528" xr3:uid="{081A213F-5481-428E-8677-243F1D48B8D4}" name="Column12521"/>
    <tableColumn id="12529" xr3:uid="{A5431E00-960E-43F7-B54E-D511952F70D9}" name="Column12522"/>
    <tableColumn id="12530" xr3:uid="{62619E64-482D-4206-B440-33824042ECC6}" name="Column12523"/>
    <tableColumn id="12531" xr3:uid="{FA05E21F-3D66-4301-B1BA-08864DC67229}" name="Column12524"/>
    <tableColumn id="12532" xr3:uid="{BBE925C7-3656-4527-BFDD-4CEED02CCF99}" name="Column12525"/>
    <tableColumn id="12533" xr3:uid="{1F79B6DF-7ABD-4089-8647-375033477EBC}" name="Column12526"/>
    <tableColumn id="12534" xr3:uid="{6D84B36B-7641-46BE-A4E1-E89559DC184C}" name="Column12527"/>
    <tableColumn id="12535" xr3:uid="{42362BF3-113B-4871-8ECF-E02E376595BA}" name="Column12528"/>
    <tableColumn id="12536" xr3:uid="{886F7A4D-F893-47F9-9F78-0AACC1096459}" name="Column12529"/>
    <tableColumn id="12537" xr3:uid="{BEEB9AAD-27F8-4DF3-BBBD-CC4C87320D3B}" name="Column12530"/>
    <tableColumn id="12538" xr3:uid="{DDA3FE5D-E647-48E7-9510-747C9EADEB16}" name="Column12531"/>
    <tableColumn id="12539" xr3:uid="{3E724A8F-830B-49BA-9C7F-6BE61A37A986}" name="Column12532"/>
    <tableColumn id="12540" xr3:uid="{586C8DB4-EBFC-4BF7-B408-16D06FE29FC0}" name="Column12533"/>
    <tableColumn id="12541" xr3:uid="{4034D425-07F7-4B71-8FD4-7F4594C73E9F}" name="Column12534"/>
    <tableColumn id="12542" xr3:uid="{F03A8588-9B22-4681-915C-6C4AC49837A8}" name="Column12535"/>
    <tableColumn id="12543" xr3:uid="{A16D00B4-5B6E-4470-B56A-989616F29969}" name="Column12536"/>
    <tableColumn id="12544" xr3:uid="{96928309-B6F4-46E3-BD48-5FEE9933A2B5}" name="Column12537"/>
    <tableColumn id="12545" xr3:uid="{51376BF4-4721-4020-BCEB-BBCD1B05224A}" name="Column12538"/>
    <tableColumn id="12546" xr3:uid="{30EF8BEF-623E-4876-8980-0277FA837C38}" name="Column12539"/>
    <tableColumn id="12547" xr3:uid="{F483CC3C-0E09-4540-A647-C0B5F354ED8C}" name="Column12540"/>
    <tableColumn id="12548" xr3:uid="{4EC71F40-9E7F-4721-8729-CBCC0811925A}" name="Column12541"/>
    <tableColumn id="12549" xr3:uid="{6EAF0B55-BD19-4776-8037-866EC54EA3A6}" name="Column12542"/>
    <tableColumn id="12550" xr3:uid="{637D199F-5412-4D8E-9A52-8FAEC07B9BCC}" name="Column12543"/>
    <tableColumn id="12551" xr3:uid="{3C4E3FD2-7CBB-4A8B-A6B2-81AF393EA34D}" name="Column12544"/>
    <tableColumn id="12552" xr3:uid="{A5C173DE-ACDA-421B-9717-92C256B2C07A}" name="Column12545"/>
    <tableColumn id="12553" xr3:uid="{F4567DC4-D536-4B31-B75F-8D4E54F7911D}" name="Column12546"/>
    <tableColumn id="12554" xr3:uid="{63B6BEF0-423A-4403-8BAF-B9A1FD2F0DD2}" name="Column12547"/>
    <tableColumn id="12555" xr3:uid="{F83AE6F2-224D-46FC-BF11-FACDA191A002}" name="Column12548"/>
    <tableColumn id="12556" xr3:uid="{A4908EAC-0FF3-4F17-843F-EBE428DD2CF6}" name="Column12549"/>
    <tableColumn id="12557" xr3:uid="{23B03F8F-6077-4DB5-A03C-C69E1FB7AAB0}" name="Column12550"/>
    <tableColumn id="12558" xr3:uid="{E0C94A17-E460-4D00-BC84-01EF48EDACFC}" name="Column12551"/>
    <tableColumn id="12559" xr3:uid="{F12AE313-F3B6-4799-BAD7-BD54D4CFA018}" name="Column12552"/>
    <tableColumn id="12560" xr3:uid="{C4762B6D-A1FD-49F2-AB09-E2D50F69CE79}" name="Column12553"/>
    <tableColumn id="12561" xr3:uid="{CB3B4050-F613-437E-A134-3E74EF4738B7}" name="Column12554"/>
    <tableColumn id="12562" xr3:uid="{F4C4E7D7-7681-4377-BA25-FA2C1EAA7574}" name="Column12555"/>
    <tableColumn id="12563" xr3:uid="{6AB0E060-8A6D-4AC7-885C-F545D4878C9F}" name="Column12556"/>
    <tableColumn id="12564" xr3:uid="{284EA4C5-2B15-49C4-9263-71C0135EC3AD}" name="Column12557"/>
    <tableColumn id="12565" xr3:uid="{A8758EE0-6649-4A10-9529-7A714714A5F7}" name="Column12558"/>
    <tableColumn id="12566" xr3:uid="{FA8F7657-4215-4320-80D3-E416CF316CCE}" name="Column12559"/>
    <tableColumn id="12567" xr3:uid="{A54011AC-68C3-454D-A8CA-62C7FAE225BD}" name="Column12560"/>
    <tableColumn id="12568" xr3:uid="{39FC6F68-97DD-47E5-9BD9-302F81EBC693}" name="Column12561"/>
    <tableColumn id="12569" xr3:uid="{32829629-5209-4FF7-A50D-2AFDD9D9D6AB}" name="Column12562"/>
    <tableColumn id="12570" xr3:uid="{6CF33156-5DF5-4BB9-AC09-FB60F19A0E1C}" name="Column12563"/>
    <tableColumn id="12571" xr3:uid="{149B376F-ADAE-4D54-8E75-456FE50F36CC}" name="Column12564"/>
    <tableColumn id="12572" xr3:uid="{2AED91E3-4AEC-4DF0-B8B5-9E78D504D145}" name="Column12565"/>
    <tableColumn id="12573" xr3:uid="{473D2F4B-ABBE-4A71-B654-0D0BEC43BA2F}" name="Column12566"/>
    <tableColumn id="12574" xr3:uid="{D0771FE6-27BA-44DA-A86B-D971E3ABBA96}" name="Column12567"/>
    <tableColumn id="12575" xr3:uid="{F450E635-6DBB-4E67-B52B-BAC7E602DCE3}" name="Column12568"/>
    <tableColumn id="12576" xr3:uid="{81552A0D-3738-4060-BE91-129830F3378A}" name="Column12569"/>
    <tableColumn id="12577" xr3:uid="{0128594F-F361-4C16-99D7-C1986C6A8E55}" name="Column12570"/>
    <tableColumn id="12578" xr3:uid="{84405BFE-5021-429A-9FBA-71B476CBA50E}" name="Column12571"/>
    <tableColumn id="12579" xr3:uid="{6DA59541-EFD9-49CA-BED7-76FEC9E07C7C}" name="Column12572"/>
    <tableColumn id="12580" xr3:uid="{37520D11-09DA-47BD-BA89-71EB7E16FAE4}" name="Column12573"/>
    <tableColumn id="12581" xr3:uid="{AB7841C6-9B0E-4709-8894-F8B881876738}" name="Column12574"/>
    <tableColumn id="12582" xr3:uid="{90C717E1-987F-4FEE-B2FD-09C627696B2D}" name="Column12575"/>
    <tableColumn id="12583" xr3:uid="{BC51AA87-08C9-4B43-BEB7-61E31A15E76E}" name="Column12576"/>
    <tableColumn id="12584" xr3:uid="{E4978632-F9CA-47A6-B35A-E3437B3105FE}" name="Column12577"/>
    <tableColumn id="12585" xr3:uid="{9CB9D4C9-7F7A-4F67-B3F9-4A091743FCDC}" name="Column12578"/>
    <tableColumn id="12586" xr3:uid="{CC10047B-8D5A-4E19-8D45-0972BE0C1926}" name="Column12579"/>
    <tableColumn id="12587" xr3:uid="{6AE518E3-FD9C-4D0D-9F2E-BB9F06C54BB6}" name="Column12580"/>
    <tableColumn id="12588" xr3:uid="{EF40E734-FB2B-4E0B-B5AB-CEE4C3D2B59F}" name="Column12581"/>
    <tableColumn id="12589" xr3:uid="{7E8A2EDF-985F-41C8-B996-0B94FF5BFD22}" name="Column12582"/>
    <tableColumn id="12590" xr3:uid="{A72B1A08-8E33-4544-A814-1809F5047328}" name="Column12583"/>
    <tableColumn id="12591" xr3:uid="{5E8B9F2B-AEA2-45DA-BD81-EDA11F6624B7}" name="Column12584"/>
    <tableColumn id="12592" xr3:uid="{563E5EBB-290B-450C-B015-66C81D1CEAC1}" name="Column12585"/>
    <tableColumn id="12593" xr3:uid="{149ACC99-CD4C-4F9C-AFB1-E0F50A334F9E}" name="Column12586"/>
    <tableColumn id="12594" xr3:uid="{F7C15D12-9B86-4247-9C59-061804081CAC}" name="Column12587"/>
    <tableColumn id="12595" xr3:uid="{2E2E63AC-29E7-4EE3-A96F-33C70502620D}" name="Column12588"/>
    <tableColumn id="12596" xr3:uid="{9D38750E-790C-465A-B5AB-1E9AC8F645DE}" name="Column12589"/>
    <tableColumn id="12597" xr3:uid="{ACF2C590-900A-4BCC-826D-893A6F82B32C}" name="Column12590"/>
    <tableColumn id="12598" xr3:uid="{33207FD8-0F01-4E42-8020-909A335F5A76}" name="Column12591"/>
    <tableColumn id="12599" xr3:uid="{0F04A8A2-6B09-4BF6-A2F5-4DF796FC4DD8}" name="Column12592"/>
    <tableColumn id="12600" xr3:uid="{F96ABDA7-AD2C-444A-982E-D880A00BED9F}" name="Column12593"/>
    <tableColumn id="12601" xr3:uid="{2104366E-E903-4F92-B9D3-542C957C5D95}" name="Column12594"/>
    <tableColumn id="12602" xr3:uid="{717CA377-CFF9-4362-B5E7-7FF8E53F22D2}" name="Column12595"/>
    <tableColumn id="12603" xr3:uid="{C440910A-658F-48B2-85DA-C1BD561B32AB}" name="Column12596"/>
    <tableColumn id="12604" xr3:uid="{69DEF8D9-41B9-46F5-A238-74AE2D14754A}" name="Column12597"/>
    <tableColumn id="12605" xr3:uid="{39B42688-EA9E-4614-88E6-B1BFD85ECF27}" name="Column12598"/>
    <tableColumn id="12606" xr3:uid="{331E9919-5FFB-4436-8941-8AF34DF92053}" name="Column12599"/>
    <tableColumn id="12607" xr3:uid="{3FB1A2CF-8BAD-466E-8239-7AD5E514DEB8}" name="Column12600"/>
    <tableColumn id="12608" xr3:uid="{9A93F9B6-B48F-4068-A49D-1F7AA1BC58C8}" name="Column12601"/>
    <tableColumn id="12609" xr3:uid="{E5123E89-B9E4-4AF9-8479-9F02AD1DFD7A}" name="Column12602"/>
    <tableColumn id="12610" xr3:uid="{1CC595F5-C689-4F73-BAA3-A132EDD25166}" name="Column12603"/>
    <tableColumn id="12611" xr3:uid="{991EFD9C-CF61-435C-A6BB-D9676E4F58DA}" name="Column12604"/>
    <tableColumn id="12612" xr3:uid="{42C5C5B6-CEE7-4611-867B-923B706930FF}" name="Column12605"/>
    <tableColumn id="12613" xr3:uid="{150040C6-328D-4660-BF65-19CAA608995C}" name="Column12606"/>
    <tableColumn id="12614" xr3:uid="{2DE61ADA-EC21-4BB3-808E-FD40718F715E}" name="Column12607"/>
    <tableColumn id="12615" xr3:uid="{A78A6FB0-0BA6-4789-BD70-C37E21B9E4A8}" name="Column12608"/>
    <tableColumn id="12616" xr3:uid="{20309403-A11C-422F-B8D3-1DE5AFA09D8F}" name="Column12609"/>
    <tableColumn id="12617" xr3:uid="{B2BF503B-D239-4918-8BFF-9CE7D3E98CD1}" name="Column12610"/>
    <tableColumn id="12618" xr3:uid="{FE84FEBF-05C1-4955-9C89-40ECFFC9F24E}" name="Column12611"/>
    <tableColumn id="12619" xr3:uid="{AE2DD523-80E3-4DC2-B89E-72D31EA2FF5A}" name="Column12612"/>
    <tableColumn id="12620" xr3:uid="{C648FC6B-8632-4C2D-9B47-B17EA375AEEE}" name="Column12613"/>
    <tableColumn id="12621" xr3:uid="{F2A41027-12F8-4A78-9CFA-0C67641E291A}" name="Column12614"/>
    <tableColumn id="12622" xr3:uid="{0826D31B-7C87-4F1D-A5E8-86D73D04D815}" name="Column12615"/>
    <tableColumn id="12623" xr3:uid="{FCF5C022-86F0-4CAA-A342-6A674EF0D383}" name="Column12616"/>
    <tableColumn id="12624" xr3:uid="{5C64051A-A046-4B7E-8BA5-90797AC59AE8}" name="Column12617"/>
    <tableColumn id="12625" xr3:uid="{0F4B10D1-00C1-430B-BF93-DAC1567FC266}" name="Column12618"/>
    <tableColumn id="12626" xr3:uid="{3F78FA67-10C9-4102-83F0-C3F0E9B68EF6}" name="Column12619"/>
    <tableColumn id="12627" xr3:uid="{79620391-60BA-4A95-ACCE-D1A91D7DBDC5}" name="Column12620"/>
    <tableColumn id="12628" xr3:uid="{B43F0DEB-6ACE-4F5C-AC0E-A23C11DF1A45}" name="Column12621"/>
    <tableColumn id="12629" xr3:uid="{217B8A5A-88AC-45AA-B1BA-56EC50BCD107}" name="Column12622"/>
    <tableColumn id="12630" xr3:uid="{1331D8BF-252C-4B84-8B88-E97F6E63A27B}" name="Column12623"/>
    <tableColumn id="12631" xr3:uid="{1FBF3F13-3BCF-4A5E-AD39-01E5C0D1D667}" name="Column12624"/>
    <tableColumn id="12632" xr3:uid="{BF183218-078E-4C9D-AD9D-95710D8D1677}" name="Column12625"/>
    <tableColumn id="12633" xr3:uid="{AE2AD44D-C575-4902-99FD-10B0F82649E2}" name="Column12626"/>
    <tableColumn id="12634" xr3:uid="{0C582AEA-F4A9-406E-AE69-EADE82BDCC7C}" name="Column12627"/>
    <tableColumn id="12635" xr3:uid="{914A7196-0D87-4659-A09A-C536C0D8727D}" name="Column12628"/>
    <tableColumn id="12636" xr3:uid="{BDE4FFF2-E52A-418B-9529-D6E21C2BAA63}" name="Column12629"/>
    <tableColumn id="12637" xr3:uid="{845EE8AD-1582-46DC-B906-47CDBC500026}" name="Column12630"/>
    <tableColumn id="12638" xr3:uid="{A16F82BB-926B-4B1C-B630-C165FA7E6516}" name="Column12631"/>
    <tableColumn id="12639" xr3:uid="{4439F9BF-1AEB-44F4-9FE5-F5396F6E8C0D}" name="Column12632"/>
    <tableColumn id="12640" xr3:uid="{C13F7DC7-E86D-4F10-85F8-9E32F6C3FE71}" name="Column12633"/>
    <tableColumn id="12641" xr3:uid="{CE02C7A6-2E44-4C0E-A4EF-D8219B3E668D}" name="Column12634"/>
    <tableColumn id="12642" xr3:uid="{5B4DCA05-CE08-48D0-A572-FAC83A297A75}" name="Column12635"/>
    <tableColumn id="12643" xr3:uid="{EE2FAB24-A3E8-4C7E-8452-F6FEA5D6801B}" name="Column12636"/>
    <tableColumn id="12644" xr3:uid="{7B8F5295-D26D-4BF1-AC0B-AF61333C8F68}" name="Column12637"/>
    <tableColumn id="12645" xr3:uid="{2F79836C-F456-425F-A77B-8FC7C51B7B13}" name="Column12638"/>
    <tableColumn id="12646" xr3:uid="{B40D9EE7-0A11-4804-9A50-DDBEBCF0F0DE}" name="Column12639"/>
    <tableColumn id="12647" xr3:uid="{F6D49FF0-5497-49DA-95D9-A0D0CE9EA310}" name="Column12640"/>
    <tableColumn id="12648" xr3:uid="{167E76C0-8EED-4689-85FC-9EF04E337576}" name="Column12641"/>
    <tableColumn id="12649" xr3:uid="{BB8FC671-6773-4CA3-907F-DB770246C170}" name="Column12642"/>
    <tableColumn id="12650" xr3:uid="{8110D9BC-7589-4AC6-8717-C4D0AEE6488E}" name="Column12643"/>
    <tableColumn id="12651" xr3:uid="{488C28A0-3E55-4FB0-85D6-531397F836ED}" name="Column12644"/>
    <tableColumn id="12652" xr3:uid="{1EB6060A-A3B2-449B-9657-B052B4D33903}" name="Column12645"/>
    <tableColumn id="12653" xr3:uid="{9FDF18DD-AB25-46AB-BFDD-E8CDB1E8E844}" name="Column12646"/>
    <tableColumn id="12654" xr3:uid="{287FDAC0-E450-47BC-BAC5-D1A3D0AA9E55}" name="Column12647"/>
    <tableColumn id="12655" xr3:uid="{63AF2FEE-4369-448C-9397-F6081247E0BD}" name="Column12648"/>
    <tableColumn id="12656" xr3:uid="{FB7EA467-2626-4F73-864A-024B52140430}" name="Column12649"/>
    <tableColumn id="12657" xr3:uid="{E0CAA894-869C-402F-80CA-33A7458E17C9}" name="Column12650"/>
    <tableColumn id="12658" xr3:uid="{4E046C59-7E81-4A49-9689-A1EDF1EAE5D8}" name="Column12651"/>
    <tableColumn id="12659" xr3:uid="{A38C491C-6CC2-4596-A093-03E39F36042F}" name="Column12652"/>
    <tableColumn id="12660" xr3:uid="{3BC3182A-5E0D-4F48-B76C-9DD9C9B7932C}" name="Column12653"/>
    <tableColumn id="12661" xr3:uid="{15489C9D-E2BF-48F8-BB58-7ADEDFB19CE5}" name="Column12654"/>
    <tableColumn id="12662" xr3:uid="{39860D6F-1C61-4647-A672-2042F115FFD9}" name="Column12655"/>
    <tableColumn id="12663" xr3:uid="{DF815656-E8A6-4E40-9E75-32635C286394}" name="Column12656"/>
    <tableColumn id="12664" xr3:uid="{2C00F2F7-A0C4-4C58-A54C-5CB440E6F01B}" name="Column12657"/>
    <tableColumn id="12665" xr3:uid="{3695644A-2045-42DC-9A59-89C233803236}" name="Column12658"/>
    <tableColumn id="12666" xr3:uid="{068EAC97-73E4-4AAB-A2D1-1F768D812631}" name="Column12659"/>
    <tableColumn id="12667" xr3:uid="{EAC5DCC7-DA0A-4913-8562-DE339E0251FB}" name="Column12660"/>
    <tableColumn id="12668" xr3:uid="{013039BD-3AEE-4325-97CB-3963F8DF7C8D}" name="Column12661"/>
    <tableColumn id="12669" xr3:uid="{D2377C07-4281-4784-A90E-E5D2B087B624}" name="Column12662"/>
    <tableColumn id="12670" xr3:uid="{45C535ED-76FF-41D2-9AFD-BF0C9030090F}" name="Column12663"/>
    <tableColumn id="12671" xr3:uid="{53D727BB-F5B7-4E92-8902-7D3C00103DE6}" name="Column12664"/>
    <tableColumn id="12672" xr3:uid="{A11A6689-B944-44EC-9726-60E40090A624}" name="Column12665"/>
    <tableColumn id="12673" xr3:uid="{81744253-F126-4240-9BD1-C75EF767F09E}" name="Column12666"/>
    <tableColumn id="12674" xr3:uid="{3BE770E2-B9AD-4225-9A2F-CC51895F3DA9}" name="Column12667"/>
    <tableColumn id="12675" xr3:uid="{72E4427A-A0F6-438F-8040-43FAD8359217}" name="Column12668"/>
    <tableColumn id="12676" xr3:uid="{0AE34629-BA73-44C5-9972-828E9763A0AE}" name="Column12669"/>
    <tableColumn id="12677" xr3:uid="{A8AC04C6-4E85-4EC4-9B19-41DA0BD81951}" name="Column12670"/>
    <tableColumn id="12678" xr3:uid="{BE042A5B-9778-4DCB-ABBD-6FCA3578486F}" name="Column12671"/>
    <tableColumn id="12679" xr3:uid="{0336B0E1-AED8-42BA-873E-72C930498401}" name="Column12672"/>
    <tableColumn id="12680" xr3:uid="{EC6B55D8-8AC1-443D-BA27-11B66ED92329}" name="Column12673"/>
    <tableColumn id="12681" xr3:uid="{6FD1110E-8C6A-4185-B9F7-8A4E98A6D9E2}" name="Column12674"/>
    <tableColumn id="12682" xr3:uid="{18625462-8C73-4B2A-9F54-AA607EDBC415}" name="Column12675"/>
    <tableColumn id="12683" xr3:uid="{73FE498B-FABE-4041-8D90-B67AD5A3C235}" name="Column12676"/>
    <tableColumn id="12684" xr3:uid="{4D1E1A09-8E8E-4D27-BB2E-349703948AC1}" name="Column12677"/>
    <tableColumn id="12685" xr3:uid="{456D071C-D336-4490-A24C-6F7C8EEDC3F1}" name="Column12678"/>
    <tableColumn id="12686" xr3:uid="{9E69CBA9-6ADE-4A2E-9758-26D8BBCE3352}" name="Column12679"/>
    <tableColumn id="12687" xr3:uid="{A61538A2-0B25-48BD-89C0-CD09443FA723}" name="Column12680"/>
    <tableColumn id="12688" xr3:uid="{859B404E-BC51-4FA3-AE3D-C46B01558D6C}" name="Column12681"/>
    <tableColumn id="12689" xr3:uid="{ACFCB08C-5FE4-43B6-B43B-67090C22B3DE}" name="Column12682"/>
    <tableColumn id="12690" xr3:uid="{9467D319-A6CC-4D23-913B-8ACAC41586B7}" name="Column12683"/>
    <tableColumn id="12691" xr3:uid="{618FEFE3-2A82-4CB4-9B8E-C12F9CA7EEA7}" name="Column12684"/>
    <tableColumn id="12692" xr3:uid="{5496C5EB-BDFF-4606-8D91-AB57E6DDD44C}" name="Column12685"/>
    <tableColumn id="12693" xr3:uid="{59DFBCA7-6B33-4784-8C11-24C90B4901D9}" name="Column12686"/>
    <tableColumn id="12694" xr3:uid="{EF00A34C-D531-48C3-9D2D-41FBD3AB8DA4}" name="Column12687"/>
    <tableColumn id="12695" xr3:uid="{39254EF7-E4C0-440E-A3E5-D34C6B17843C}" name="Column12688"/>
    <tableColumn id="12696" xr3:uid="{D9D204A2-9892-4FDC-A29A-12EB77D245EC}" name="Column12689"/>
    <tableColumn id="12697" xr3:uid="{611FB4FD-1C53-4C41-AD10-46235B861DC6}" name="Column12690"/>
    <tableColumn id="12698" xr3:uid="{5664358D-7BA7-4C81-93F4-EF386BBBC1D7}" name="Column12691"/>
    <tableColumn id="12699" xr3:uid="{61078E2A-866B-4550-B9EA-D47FCDF8DEDE}" name="Column12692"/>
    <tableColumn id="12700" xr3:uid="{2D5863A3-9469-4E7F-AA22-67033BC7FBA9}" name="Column12693"/>
    <tableColumn id="12701" xr3:uid="{CB24D554-5E8E-45EC-B226-FE4C82BBC47E}" name="Column12694"/>
    <tableColumn id="12702" xr3:uid="{35987DDE-878E-44E6-8995-7AC97126CD7B}" name="Column12695"/>
    <tableColumn id="12703" xr3:uid="{E3765F5D-AAB1-46FC-982C-BB3023F5BE0E}" name="Column12696"/>
    <tableColumn id="12704" xr3:uid="{7F11343D-70C4-49ED-A8BE-2BC60568814D}" name="Column12697"/>
    <tableColumn id="12705" xr3:uid="{B2101192-4AAE-4605-A3B2-CD9A32F2040D}" name="Column12698"/>
    <tableColumn id="12706" xr3:uid="{7EEB97C6-14BF-410D-84C2-798B30722C5B}" name="Column12699"/>
    <tableColumn id="12707" xr3:uid="{61AC9AB6-2039-4280-B24F-8884EC0F4F45}" name="Column12700"/>
    <tableColumn id="12708" xr3:uid="{8CA1F842-A7C2-45BE-B1D3-EE34FC7E993D}" name="Column12701"/>
    <tableColumn id="12709" xr3:uid="{05D85EE7-9A88-4CB0-A288-A714C0320F42}" name="Column12702"/>
    <tableColumn id="12710" xr3:uid="{0CC15BAD-756F-4B75-B352-650EC0FDBAFE}" name="Column12703"/>
    <tableColumn id="12711" xr3:uid="{710F31EF-BDCA-4253-914E-052F5F0E9972}" name="Column12704"/>
    <tableColumn id="12712" xr3:uid="{D241B294-059B-4B2B-AA0A-08E081ABFC64}" name="Column12705"/>
    <tableColumn id="12713" xr3:uid="{B7B820C7-F72B-457A-BDB7-3777DE902338}" name="Column12706"/>
    <tableColumn id="12714" xr3:uid="{4B28A406-AF6D-4669-B459-726DF621301B}" name="Column12707"/>
    <tableColumn id="12715" xr3:uid="{D9957C89-110E-48E9-8AFD-7AF0F8C682F4}" name="Column12708"/>
    <tableColumn id="12716" xr3:uid="{9D379154-7D8E-48F0-823C-8CAC08FCF6CC}" name="Column12709"/>
    <tableColumn id="12717" xr3:uid="{1F37F09A-2FE5-4819-94C1-63F310BFA108}" name="Column12710"/>
    <tableColumn id="12718" xr3:uid="{5B12679E-4F64-4D90-BB76-769A55466121}" name="Column12711"/>
    <tableColumn id="12719" xr3:uid="{F2498984-9E1A-443E-9DEC-88ECA34378FD}" name="Column12712"/>
    <tableColumn id="12720" xr3:uid="{76AAA6A9-2579-45CC-A9C4-2995C7248305}" name="Column12713"/>
    <tableColumn id="12721" xr3:uid="{B556F93A-5F72-441D-BB19-E2BD91BC95F9}" name="Column12714"/>
    <tableColumn id="12722" xr3:uid="{994D6430-7796-456A-9955-1C9CF9C8FAC6}" name="Column12715"/>
    <tableColumn id="12723" xr3:uid="{7D907040-4E9B-41D0-ABA2-5AA6A2BC5B3E}" name="Column12716"/>
    <tableColumn id="12724" xr3:uid="{59923549-8958-402A-85AD-2ABC228D9DA2}" name="Column12717"/>
    <tableColumn id="12725" xr3:uid="{45B8A454-DA4F-427D-9D50-A78A487DE5EE}" name="Column12718"/>
    <tableColumn id="12726" xr3:uid="{0F3C4E63-D2D2-4FE0-AA63-4B206BB573C4}" name="Column12719"/>
    <tableColumn id="12727" xr3:uid="{758CF5D0-269D-4CBE-B62C-FF9FBED77BD9}" name="Column12720"/>
    <tableColumn id="12728" xr3:uid="{985744C4-7684-4709-B3AB-F70FF53FDE4D}" name="Column12721"/>
    <tableColumn id="12729" xr3:uid="{0AD32A76-C5AF-4BDC-A2D0-C695F2493300}" name="Column12722"/>
    <tableColumn id="12730" xr3:uid="{B275C783-6857-438A-BD05-D33A016522F3}" name="Column12723"/>
    <tableColumn id="12731" xr3:uid="{79CBFBDB-F718-4D61-9559-9EDA038C891A}" name="Column12724"/>
    <tableColumn id="12732" xr3:uid="{6E1345D1-583F-4059-A6B6-D415FE016698}" name="Column12725"/>
    <tableColumn id="12733" xr3:uid="{9A446196-1EBD-40DE-B566-784F59F48DEC}" name="Column12726"/>
    <tableColumn id="12734" xr3:uid="{15FC9E24-F729-4272-8A42-E730CDE4B061}" name="Column12727"/>
    <tableColumn id="12735" xr3:uid="{07052CD8-8371-4B3F-85E1-0E3E7424AD5F}" name="Column12728"/>
    <tableColumn id="12736" xr3:uid="{E50EAC9D-BD04-444D-B602-3B46BF5946ED}" name="Column12729"/>
    <tableColumn id="12737" xr3:uid="{BC41AB58-8923-4AF7-87D6-A70CFE29B66C}" name="Column12730"/>
    <tableColumn id="12738" xr3:uid="{4BCF1DD7-3D3C-4501-8EA4-B9EF68989910}" name="Column12731"/>
    <tableColumn id="12739" xr3:uid="{2B426B41-07DD-4C14-A120-46BC28A6D718}" name="Column12732"/>
    <tableColumn id="12740" xr3:uid="{E52F2B76-F524-4212-91F5-30CFA8B5D67D}" name="Column12733"/>
    <tableColumn id="12741" xr3:uid="{ED68EDF6-6B7C-4166-BF4E-F705B4EC7770}" name="Column12734"/>
    <tableColumn id="12742" xr3:uid="{7318CF7C-A083-4880-A630-AB6C917B6901}" name="Column12735"/>
    <tableColumn id="12743" xr3:uid="{FD336308-99B4-45D8-BAC7-C173C5DE10F2}" name="Column12736"/>
    <tableColumn id="12744" xr3:uid="{32A548A7-6F4B-4B00-BE97-69A41C712077}" name="Column12737"/>
    <tableColumn id="12745" xr3:uid="{94B19304-925B-4781-9350-44F2102BE8ED}" name="Column12738"/>
    <tableColumn id="12746" xr3:uid="{61B5FCBF-211F-4951-868E-A4B35439860A}" name="Column12739"/>
    <tableColumn id="12747" xr3:uid="{A00D0B6D-F804-4DE9-AEC7-21AE6A0CB76F}" name="Column12740"/>
    <tableColumn id="12748" xr3:uid="{747A7BB4-B60D-4858-9BA9-FC406FFFF3A5}" name="Column12741"/>
    <tableColumn id="12749" xr3:uid="{E04F950E-3E4A-4834-B257-86923F0CF07C}" name="Column12742"/>
    <tableColumn id="12750" xr3:uid="{DEEF2386-9CEC-4D76-8BC8-7B1F8BAD680B}" name="Column12743"/>
    <tableColumn id="12751" xr3:uid="{019ED390-21AB-4658-BB79-AB8E1B8D373C}" name="Column12744"/>
    <tableColumn id="12752" xr3:uid="{8E320348-8671-4441-B073-73C0D5423129}" name="Column12745"/>
    <tableColumn id="12753" xr3:uid="{57B8B906-B41E-4C09-833B-78DC890CB727}" name="Column12746"/>
    <tableColumn id="12754" xr3:uid="{944FACDC-E952-4FA3-B399-13C8B4F7CE28}" name="Column12747"/>
    <tableColumn id="12755" xr3:uid="{4514BA37-4E41-4245-AEB4-8AA98DB4D221}" name="Column12748"/>
    <tableColumn id="12756" xr3:uid="{4144F779-A2CF-40BB-BBC3-85155F26E52F}" name="Column12749"/>
    <tableColumn id="12757" xr3:uid="{81413102-D961-4BB8-A90F-28C87CFD03F8}" name="Column12750"/>
    <tableColumn id="12758" xr3:uid="{3D0D9CAE-07F0-45B1-90A4-5FFA982FEEB2}" name="Column12751"/>
    <tableColumn id="12759" xr3:uid="{7BF8C923-933D-49BC-82C0-2A599CF1194C}" name="Column12752"/>
    <tableColumn id="12760" xr3:uid="{DA3B9763-05C3-4C09-9DE4-7280D7959985}" name="Column12753"/>
    <tableColumn id="12761" xr3:uid="{7853F3B4-16E7-435C-A2CB-75E14A227512}" name="Column12754"/>
    <tableColumn id="12762" xr3:uid="{95390641-8FD0-4C8C-B75C-8D1C807AF91E}" name="Column12755"/>
    <tableColumn id="12763" xr3:uid="{2B32B122-29F3-40D5-9FE7-241906671B1B}" name="Column12756"/>
    <tableColumn id="12764" xr3:uid="{D91C0AB1-14F8-4F43-833D-75D76885CC12}" name="Column12757"/>
    <tableColumn id="12765" xr3:uid="{7666C9B6-FC25-48F7-BC36-8605CD620F1A}" name="Column12758"/>
    <tableColumn id="12766" xr3:uid="{ABC17919-00AD-4B2A-9B2B-75EFEC2E2F5C}" name="Column12759"/>
    <tableColumn id="12767" xr3:uid="{213859BB-C0AE-4E46-93D1-C36FD120882E}" name="Column12760"/>
    <tableColumn id="12768" xr3:uid="{A0359984-AC4A-4067-87AE-4166A910A1B3}" name="Column12761"/>
    <tableColumn id="12769" xr3:uid="{07A462C8-F5A7-4931-9FA7-8D74F0E292A2}" name="Column12762"/>
    <tableColumn id="12770" xr3:uid="{940AA19A-DAD1-4BA0-8539-A8A6722BA231}" name="Column12763"/>
    <tableColumn id="12771" xr3:uid="{9356AC4A-BEFC-4EAB-BB02-64DCE3D3B461}" name="Column12764"/>
    <tableColumn id="12772" xr3:uid="{562DF52A-AF8C-4703-96AF-F708B47FC34A}" name="Column12765"/>
    <tableColumn id="12773" xr3:uid="{4060A6BF-0C57-4982-A701-CA7EC19FFD23}" name="Column12766"/>
    <tableColumn id="12774" xr3:uid="{7230EC3E-2628-49A7-90C7-E22F2679D114}" name="Column12767"/>
    <tableColumn id="12775" xr3:uid="{DD493142-513F-4155-9094-742F1F2AE081}" name="Column12768"/>
    <tableColumn id="12776" xr3:uid="{A3C2EAAC-C860-49C0-AD2D-38B10E27197A}" name="Column12769"/>
    <tableColumn id="12777" xr3:uid="{68E9DC7D-21FC-4806-BBBD-E5BF6FFD4009}" name="Column12770"/>
    <tableColumn id="12778" xr3:uid="{4E8ACA91-4161-4E27-BE1A-5982C981C289}" name="Column12771"/>
    <tableColumn id="12779" xr3:uid="{1433C75A-ABC8-40E8-A3BA-3D1650D01595}" name="Column12772"/>
    <tableColumn id="12780" xr3:uid="{EDFB185B-3B6E-4962-BCCB-A2ECE408E643}" name="Column12773"/>
    <tableColumn id="12781" xr3:uid="{6D17ACA3-55E2-485A-8CD8-F66CB5367B19}" name="Column12774"/>
    <tableColumn id="12782" xr3:uid="{865800AF-4A27-4695-8A13-94AA641CEFB9}" name="Column12775"/>
    <tableColumn id="12783" xr3:uid="{E9320F25-E18C-4A00-A247-C7FA893FE7DB}" name="Column12776"/>
    <tableColumn id="12784" xr3:uid="{A710E1A8-AA17-4C75-BFC3-61059DFA4523}" name="Column12777"/>
    <tableColumn id="12785" xr3:uid="{D505C47F-F21F-47B3-9ED7-52CB7043D36C}" name="Column12778"/>
    <tableColumn id="12786" xr3:uid="{EA4F67DF-1513-4F66-99AB-8273121CCE2C}" name="Column12779"/>
    <tableColumn id="12787" xr3:uid="{CEB17E5A-CD2C-4182-848D-C5F99E5AB54C}" name="Column12780"/>
    <tableColumn id="12788" xr3:uid="{1500AA6F-76D0-4BCA-BDC1-92D356BE3F3D}" name="Column12781"/>
    <tableColumn id="12789" xr3:uid="{01F335EC-9F5D-453B-885C-E49EBCF8DC65}" name="Column12782"/>
    <tableColumn id="12790" xr3:uid="{FA7B04B6-E8F9-474B-9DC4-AE8CD6B44779}" name="Column12783"/>
    <tableColumn id="12791" xr3:uid="{ECA4BE47-7A89-4A81-9040-0FF7E994E51A}" name="Column12784"/>
    <tableColumn id="12792" xr3:uid="{AE8F0192-8864-4ECF-A95A-5C192C5FBE30}" name="Column12785"/>
    <tableColumn id="12793" xr3:uid="{7BCC54D7-29F6-446D-88C3-C0D32699E1CC}" name="Column12786"/>
    <tableColumn id="12794" xr3:uid="{29EC8C79-4CDA-486A-9F60-C7A70F7368A1}" name="Column12787"/>
    <tableColumn id="12795" xr3:uid="{09D994A3-64E3-454A-97FA-D03161C45051}" name="Column12788"/>
    <tableColumn id="12796" xr3:uid="{4EC01ACA-C90F-4938-B0C5-8EF025B31E0D}" name="Column12789"/>
    <tableColumn id="12797" xr3:uid="{E46DEEFF-06DD-4798-B6EF-88EF17E4713F}" name="Column12790"/>
    <tableColumn id="12798" xr3:uid="{94FAB0A5-FA29-4758-9D5F-FBB41BE07C5A}" name="Column12791"/>
    <tableColumn id="12799" xr3:uid="{E0B64D15-7275-4B62-9A17-213814B53436}" name="Column12792"/>
    <tableColumn id="12800" xr3:uid="{152C26BA-494F-4BDA-B8E7-9EB4C2686274}" name="Column12793"/>
    <tableColumn id="12801" xr3:uid="{542CF021-1C64-4395-95AF-438B70D620E5}" name="Column12794"/>
    <tableColumn id="12802" xr3:uid="{2300DEEA-A95A-40D2-ACAE-2158BDCEFD70}" name="Column12795"/>
    <tableColumn id="12803" xr3:uid="{882E16B1-B8AE-449B-8EFF-DA2436EA2FE3}" name="Column12796"/>
    <tableColumn id="12804" xr3:uid="{8C9AAA53-16D7-44CB-A669-C1E5DE9B2A85}" name="Column12797"/>
    <tableColumn id="12805" xr3:uid="{A279B173-A7EC-4799-94A3-A21AC576C003}" name="Column12798"/>
    <tableColumn id="12806" xr3:uid="{9FBD1BFE-00F8-4176-AEDE-56EC2D985E86}" name="Column12799"/>
    <tableColumn id="12807" xr3:uid="{6DB10BC7-D685-48B0-A3CA-5D82E6BD7077}" name="Column12800"/>
    <tableColumn id="12808" xr3:uid="{36D7F356-E95A-49E7-ABE9-26CA65303476}" name="Column12801"/>
    <tableColumn id="12809" xr3:uid="{7474068C-3B58-4220-9444-7FDA02B7EA4C}" name="Column12802"/>
    <tableColumn id="12810" xr3:uid="{F65E3A7A-E58E-4CC2-ACBD-AC03AC193024}" name="Column12803"/>
    <tableColumn id="12811" xr3:uid="{58C6B1F6-0D05-4C71-ABC4-2EB87D1301CE}" name="Column12804"/>
    <tableColumn id="12812" xr3:uid="{4228A283-DE21-4EEE-AD2F-9CBF9671DD60}" name="Column12805"/>
    <tableColumn id="12813" xr3:uid="{278B8D54-A802-46BA-8C23-A5B990586D28}" name="Column12806"/>
    <tableColumn id="12814" xr3:uid="{5A02C6A1-2A83-415E-98AA-A78EB5A42D2E}" name="Column12807"/>
    <tableColumn id="12815" xr3:uid="{B8E28ED0-A77B-4A2D-98B9-C5AC6673A824}" name="Column12808"/>
    <tableColumn id="12816" xr3:uid="{B666E480-2721-4B51-A933-9D2BB292DB49}" name="Column12809"/>
    <tableColumn id="12817" xr3:uid="{6B6AB6BD-F7B2-45D0-B2E9-BD41EEB9F0C6}" name="Column12810"/>
    <tableColumn id="12818" xr3:uid="{D224EFED-5305-44EA-8942-FF74CC043D16}" name="Column12811"/>
    <tableColumn id="12819" xr3:uid="{115190FA-AE8F-4516-B0B1-ACF5666721C5}" name="Column12812"/>
    <tableColumn id="12820" xr3:uid="{5FCDB435-9A5D-4D6A-A07F-20C2A2E29EF2}" name="Column12813"/>
    <tableColumn id="12821" xr3:uid="{F85C23E1-F38F-4768-9391-211C60375723}" name="Column12814"/>
    <tableColumn id="12822" xr3:uid="{480A46B0-5F40-48D3-9A77-B376891F9D7E}" name="Column12815"/>
    <tableColumn id="12823" xr3:uid="{01E6B7C2-78DE-4E0B-9339-43EEEE632F1D}" name="Column12816"/>
    <tableColumn id="12824" xr3:uid="{635C5F87-199E-4D6A-BA83-7C4253F56559}" name="Column12817"/>
    <tableColumn id="12825" xr3:uid="{6893063B-454F-4DD1-9B55-12B9D1B55DAC}" name="Column12818"/>
    <tableColumn id="12826" xr3:uid="{3DCE336C-CED6-41B3-9C60-5E7B58ECB0CB}" name="Column12819"/>
    <tableColumn id="12827" xr3:uid="{36070EAA-FDDD-4997-8CE8-6C588B62D34F}" name="Column12820"/>
    <tableColumn id="12828" xr3:uid="{1233F6A5-770E-49A3-B25E-58B9232C4887}" name="Column12821"/>
    <tableColumn id="12829" xr3:uid="{1AEAC707-CB07-4478-AD01-3532E485E4AE}" name="Column12822"/>
    <tableColumn id="12830" xr3:uid="{F51B1C32-2D54-4D0C-B41C-7506D52D455E}" name="Column12823"/>
    <tableColumn id="12831" xr3:uid="{E949ECF1-AD2E-4419-A334-ABB294DFC5EB}" name="Column12824"/>
    <tableColumn id="12832" xr3:uid="{80B38D19-DA3C-48E6-A44E-2E2C9189C3DB}" name="Column12825"/>
    <tableColumn id="12833" xr3:uid="{75A7DEF7-1F00-48F4-8EB7-344473A0A668}" name="Column12826"/>
    <tableColumn id="12834" xr3:uid="{EBFE57D2-DF3D-48E8-BD63-52CF00C41120}" name="Column12827"/>
    <tableColumn id="12835" xr3:uid="{A4627996-61CA-4EAA-9703-5C511AB46DA0}" name="Column12828"/>
    <tableColumn id="12836" xr3:uid="{F5D70180-D27F-4E34-9F67-A1B1B58EF3D1}" name="Column12829"/>
    <tableColumn id="12837" xr3:uid="{F6AC0358-91A3-479F-9D12-C17A83E8D5A3}" name="Column12830"/>
    <tableColumn id="12838" xr3:uid="{813647CB-FF9C-4DA0-A6F6-41B5512CCB05}" name="Column12831"/>
    <tableColumn id="12839" xr3:uid="{58CB4DD2-54E0-40AE-9F41-C2484895915D}" name="Column12832"/>
    <tableColumn id="12840" xr3:uid="{31CBFAED-0620-4FE9-8B04-3DB7440FE1C0}" name="Column12833"/>
    <tableColumn id="12841" xr3:uid="{17694E2D-158B-435B-8F36-29E664954369}" name="Column12834"/>
    <tableColumn id="12842" xr3:uid="{32A479F7-5FBD-43C9-9F41-4AA0B155BA93}" name="Column12835"/>
    <tableColumn id="12843" xr3:uid="{019637C8-2C50-499E-A58B-301116876ED6}" name="Column12836"/>
    <tableColumn id="12844" xr3:uid="{F9B87980-66C8-4F24-8133-9085F10386E6}" name="Column12837"/>
    <tableColumn id="12845" xr3:uid="{35FFF81C-ABE8-4BB0-A442-820069748C97}" name="Column12838"/>
    <tableColumn id="12846" xr3:uid="{56FCA65D-9338-49C6-B2A3-5F20AF871985}" name="Column12839"/>
    <tableColumn id="12847" xr3:uid="{AE5A5137-0AB6-43D3-8D41-A0E5773E0EC2}" name="Column12840"/>
    <tableColumn id="12848" xr3:uid="{6FD0AD5E-A186-4FF0-BB50-929F28CF5FB4}" name="Column12841"/>
    <tableColumn id="12849" xr3:uid="{37C00A82-07FF-40BC-8A46-606919C654A1}" name="Column12842"/>
    <tableColumn id="12850" xr3:uid="{7BAF14AF-F202-4140-93CF-13B5B2F2B97D}" name="Column12843"/>
    <tableColumn id="12851" xr3:uid="{9389DB0A-6EE3-46E2-A741-F11B60F1A658}" name="Column12844"/>
    <tableColumn id="12852" xr3:uid="{3ED4010F-D9EA-4A75-B77A-FCE0F2C73012}" name="Column12845"/>
    <tableColumn id="12853" xr3:uid="{70C8D422-825D-402A-AB23-7C2C6754512B}" name="Column12846"/>
    <tableColumn id="12854" xr3:uid="{93A8EC3F-F563-4CCD-8719-E555B3B7C3CD}" name="Column12847"/>
    <tableColumn id="12855" xr3:uid="{E86A6985-9D36-4182-9C88-C254C8A6B664}" name="Column12848"/>
    <tableColumn id="12856" xr3:uid="{1A2A6DE0-DEA2-4E74-BA1B-6DA7E7F2F1B0}" name="Column12849"/>
    <tableColumn id="12857" xr3:uid="{5018AE75-5331-45A0-82EF-D8B9270EFBC9}" name="Column12850"/>
    <tableColumn id="12858" xr3:uid="{CFD51196-75C5-48AC-BC07-7A06573FFF0D}" name="Column12851"/>
    <tableColumn id="12859" xr3:uid="{67D9A792-C57C-4856-85BC-3F0AB23CFEBF}" name="Column12852"/>
    <tableColumn id="12860" xr3:uid="{6893C23B-97F0-4BE2-BABE-F91CAEF524C7}" name="Column12853"/>
    <tableColumn id="12861" xr3:uid="{E49CF2D7-6A43-44E4-B578-D42A87DC82CF}" name="Column12854"/>
    <tableColumn id="12862" xr3:uid="{25B827B5-E986-4530-BAE2-99C8E93C9FB6}" name="Column12855"/>
    <tableColumn id="12863" xr3:uid="{0ABC6EFE-67E2-43D6-9F58-4DA687CE6539}" name="Column12856"/>
    <tableColumn id="12864" xr3:uid="{2691A4DB-E556-4C42-B271-E2E41D63D2BD}" name="Column12857"/>
    <tableColumn id="12865" xr3:uid="{D03233D6-3C38-4A63-988D-52A3C91140BD}" name="Column12858"/>
    <tableColumn id="12866" xr3:uid="{B4BCAC08-BCCA-48C9-B944-3B6E4A62CB29}" name="Column12859"/>
    <tableColumn id="12867" xr3:uid="{96D3DCC0-167A-481B-AFD1-F2A70EF76500}" name="Column12860"/>
    <tableColumn id="12868" xr3:uid="{746E4E3A-3B72-4A83-A296-608577DEB87B}" name="Column12861"/>
    <tableColumn id="12869" xr3:uid="{721ADE4E-FDF6-4779-9FE3-E9FAD43ACC2E}" name="Column12862"/>
    <tableColumn id="12870" xr3:uid="{8759764C-9C82-403A-912B-F1D989C5A607}" name="Column12863"/>
    <tableColumn id="12871" xr3:uid="{BD9AF32B-8E51-431D-A33A-DE000FB299F5}" name="Column12864"/>
    <tableColumn id="12872" xr3:uid="{E8F641C4-996F-4C85-93E4-48CB666AE55C}" name="Column12865"/>
    <tableColumn id="12873" xr3:uid="{7292268C-8108-426B-B16E-791A830EFE0D}" name="Column12866"/>
    <tableColumn id="12874" xr3:uid="{2B6371DA-E386-4E05-BD4A-BDCE431E6801}" name="Column12867"/>
    <tableColumn id="12875" xr3:uid="{1A4F649A-9CEC-4A93-A1BF-A6444D1633AA}" name="Column12868"/>
    <tableColumn id="12876" xr3:uid="{36C2EBF9-2959-4D41-881D-516790B11C00}" name="Column12869"/>
    <tableColumn id="12877" xr3:uid="{D39BF225-8319-4CD3-8BD9-FAFD6BA1CB23}" name="Column12870"/>
    <tableColumn id="12878" xr3:uid="{DE9F8E20-3451-438A-8736-9279F4DF371C}" name="Column12871"/>
    <tableColumn id="12879" xr3:uid="{440A8E43-F7C8-48FB-A5C2-3758459F4C01}" name="Column12872"/>
    <tableColumn id="12880" xr3:uid="{2EDF78E7-3641-489F-B926-78981908AB21}" name="Column12873"/>
    <tableColumn id="12881" xr3:uid="{8C6E78A2-513C-439B-8371-A685A0D9ADCD}" name="Column12874"/>
    <tableColumn id="12882" xr3:uid="{C5A34A5F-F7C9-4509-ABF9-4C04BEECDE76}" name="Column12875"/>
    <tableColumn id="12883" xr3:uid="{63CA8876-F29D-4670-8F21-58FF186AB155}" name="Column12876"/>
    <tableColumn id="12884" xr3:uid="{572F1A69-A579-46AD-B598-995EC630AF52}" name="Column12877"/>
    <tableColumn id="12885" xr3:uid="{F21BC331-DABE-4575-8DCA-2E664420E8F7}" name="Column12878"/>
    <tableColumn id="12886" xr3:uid="{CCCCB5C0-CFB3-4B73-B2C4-7A90280E3516}" name="Column12879"/>
    <tableColumn id="12887" xr3:uid="{B05C453E-353A-4C50-8200-B0AC19332CF9}" name="Column12880"/>
    <tableColumn id="12888" xr3:uid="{8A9BBB1C-574F-4DA2-8A12-16E6CB8E933D}" name="Column12881"/>
    <tableColumn id="12889" xr3:uid="{2D63F618-D567-42EC-BC7B-6CD8F504E74B}" name="Column12882"/>
    <tableColumn id="12890" xr3:uid="{EBCBC995-E925-4998-9DC2-CCFD6B373008}" name="Column12883"/>
    <tableColumn id="12891" xr3:uid="{558F8B7D-A655-4A23-B4B3-B7797AE0DEBA}" name="Column12884"/>
    <tableColumn id="12892" xr3:uid="{44ED0D1D-B723-457A-895F-2CC9885F084D}" name="Column12885"/>
    <tableColumn id="12893" xr3:uid="{5F0480B8-F3EA-4C9F-A5DB-4504D5ECF743}" name="Column12886"/>
    <tableColumn id="12894" xr3:uid="{0C6F984F-A990-4F4A-ADA5-D0F785ACCAA3}" name="Column12887"/>
    <tableColumn id="12895" xr3:uid="{EC3F2A71-F44B-4677-9C07-1FD7782C25C7}" name="Column12888"/>
    <tableColumn id="12896" xr3:uid="{DDE9F1CA-EC11-45AB-AC06-BF3F475F55B5}" name="Column12889"/>
    <tableColumn id="12897" xr3:uid="{8508B408-F308-42AB-8CA7-A323D9F79722}" name="Column12890"/>
    <tableColumn id="12898" xr3:uid="{5D6E6FFC-BDEA-4833-B013-D742E9E437BE}" name="Column12891"/>
    <tableColumn id="12899" xr3:uid="{599C1726-AFBD-4228-B674-F2EE95326319}" name="Column12892"/>
    <tableColumn id="12900" xr3:uid="{2F07A0BE-7D8A-4687-BE44-62D593AB179B}" name="Column12893"/>
    <tableColumn id="12901" xr3:uid="{786E056B-EA17-4649-95F1-8CE7346105D0}" name="Column12894"/>
    <tableColumn id="12902" xr3:uid="{28E2D84E-C995-4C20-9600-23F93528E18A}" name="Column12895"/>
    <tableColumn id="12903" xr3:uid="{CFC5CB22-FF30-4890-BFAA-A66812304616}" name="Column12896"/>
    <tableColumn id="12904" xr3:uid="{4525FDC4-0DCF-4018-8F74-E3423E54ED03}" name="Column12897"/>
    <tableColumn id="12905" xr3:uid="{45477048-9A65-492F-B0B6-58415350F0D0}" name="Column12898"/>
    <tableColumn id="12906" xr3:uid="{A97D1E1B-D92E-4BDF-BB77-77CD607F6CB6}" name="Column12899"/>
    <tableColumn id="12907" xr3:uid="{88F24C9D-DDBD-40F4-B934-906606FF08A4}" name="Column12900"/>
    <tableColumn id="12908" xr3:uid="{0165B162-9938-4E3C-BE37-15C424976E5D}" name="Column12901"/>
    <tableColumn id="12909" xr3:uid="{45F938BF-FD17-4380-8547-F47A24D16566}" name="Column12902"/>
    <tableColumn id="12910" xr3:uid="{14B90DED-0D98-462E-A13A-5894D0115B28}" name="Column12903"/>
    <tableColumn id="12911" xr3:uid="{C9BBC629-5417-48A0-92AC-1452FE9C84B5}" name="Column12904"/>
    <tableColumn id="12912" xr3:uid="{F1653508-8FAE-4D03-B1D3-3E90FBC71121}" name="Column12905"/>
    <tableColumn id="12913" xr3:uid="{6AF64659-9DC1-47E7-B79F-08B2A0496965}" name="Column12906"/>
    <tableColumn id="12914" xr3:uid="{BEC6EA76-F1AE-4F9F-8C3A-C4F2B538D0F2}" name="Column12907"/>
    <tableColumn id="12915" xr3:uid="{EC5AB8B7-BC9B-43F6-8EA1-7741B120D288}" name="Column12908"/>
    <tableColumn id="12916" xr3:uid="{76E08326-BAD8-4377-B12B-F4526873043F}" name="Column12909"/>
    <tableColumn id="12917" xr3:uid="{DC753487-D6E4-497E-AE2E-EE903F527934}" name="Column12910"/>
    <tableColumn id="12918" xr3:uid="{88472114-3353-41A8-8E5C-C7BF6C364A25}" name="Column12911"/>
    <tableColumn id="12919" xr3:uid="{25531B80-9E5E-4F0A-9621-AE6CC0871BFF}" name="Column12912"/>
    <tableColumn id="12920" xr3:uid="{A5CA32CC-158F-45F5-968F-F33B4BC5E54D}" name="Column12913"/>
    <tableColumn id="12921" xr3:uid="{65C559FE-1561-4084-86A7-314F42A82DEB}" name="Column12914"/>
    <tableColumn id="12922" xr3:uid="{221BA802-604A-483B-BBA6-874A8D0F7EDB}" name="Column12915"/>
    <tableColumn id="12923" xr3:uid="{F0FB664A-BCFB-4D7F-B88E-43AE0609B8B0}" name="Column12916"/>
    <tableColumn id="12924" xr3:uid="{6BB20F02-5B0C-4C63-AA79-EF90E2B88BD2}" name="Column12917"/>
    <tableColumn id="12925" xr3:uid="{5970D2B9-2F81-4373-AD5E-EB803CEB204C}" name="Column12918"/>
    <tableColumn id="12926" xr3:uid="{D40789A1-1BC3-4AD3-955F-C0B08044221F}" name="Column12919"/>
    <tableColumn id="12927" xr3:uid="{1F6A648D-EFEB-4021-A3B4-56AF792470FF}" name="Column12920"/>
    <tableColumn id="12928" xr3:uid="{7E4770B9-AF6E-4E09-8BC4-A46EC7917119}" name="Column12921"/>
    <tableColumn id="12929" xr3:uid="{A9891F49-0CF2-4CF8-B996-51B652A63F24}" name="Column12922"/>
    <tableColumn id="12930" xr3:uid="{1EA76922-4D6A-43F7-A47B-8765EAD7FB8D}" name="Column12923"/>
    <tableColumn id="12931" xr3:uid="{40071985-A9B1-4BBA-AEA1-3C219A109425}" name="Column12924"/>
    <tableColumn id="12932" xr3:uid="{0CFE6AF9-7813-484C-A16A-EE670AA2AB55}" name="Column12925"/>
    <tableColumn id="12933" xr3:uid="{7CA277DA-AC16-40D4-91F7-16488E694F19}" name="Column12926"/>
    <tableColumn id="12934" xr3:uid="{7799F0A2-82A4-43E3-B652-B37F5342BEFE}" name="Column12927"/>
    <tableColumn id="12935" xr3:uid="{62FA6744-6CA5-4B4E-89C1-F5A0AB2C9D81}" name="Column12928"/>
    <tableColumn id="12936" xr3:uid="{E02DFCAB-62B0-4DCD-8B9E-48D41FBF54D6}" name="Column12929"/>
    <tableColumn id="12937" xr3:uid="{F236EA69-3FFA-47B6-9F63-539D32C5BDAC}" name="Column12930"/>
    <tableColumn id="12938" xr3:uid="{183BB460-8EDF-4B3C-BEBD-1B69EF4BC18D}" name="Column12931"/>
    <tableColumn id="12939" xr3:uid="{024F16DF-D9C6-4B65-A251-F5A4A16CE9C8}" name="Column12932"/>
    <tableColumn id="12940" xr3:uid="{EBFD8274-1CC3-4639-BF65-F3861CD798A0}" name="Column12933"/>
    <tableColumn id="12941" xr3:uid="{2B0A02E9-D38F-48F0-9260-845A1C717877}" name="Column12934"/>
    <tableColumn id="12942" xr3:uid="{2E01B94C-B5B5-4396-9E26-DEA822C6E1F5}" name="Column12935"/>
    <tableColumn id="12943" xr3:uid="{FC92C18C-D61A-4621-AE2D-65E722095CB7}" name="Column12936"/>
    <tableColumn id="12944" xr3:uid="{18715A48-0BE7-43E2-9D62-01F8E45978A0}" name="Column12937"/>
    <tableColumn id="12945" xr3:uid="{FDD9F44D-4929-4B4D-939C-6C5A3D6DB652}" name="Column12938"/>
    <tableColumn id="12946" xr3:uid="{F9F2C1E7-ADF5-475B-BC01-575840339326}" name="Column12939"/>
    <tableColumn id="12947" xr3:uid="{3163A4D6-DF2E-4D4C-B288-C0B7112FDA21}" name="Column12940"/>
    <tableColumn id="12948" xr3:uid="{AA2AB710-D338-4A8F-8E43-5C68556652E6}" name="Column12941"/>
    <tableColumn id="12949" xr3:uid="{772F3ED8-14D2-42AB-9CA3-F5A3579B2D7F}" name="Column12942"/>
    <tableColumn id="12950" xr3:uid="{46B7D326-162C-449D-9EBB-862ACAECA6AF}" name="Column12943"/>
    <tableColumn id="12951" xr3:uid="{E401215A-7A61-45C4-882C-387EFC04A9E9}" name="Column12944"/>
    <tableColumn id="12952" xr3:uid="{C2D0D648-D610-4D30-A98A-962A72AE5E61}" name="Column12945"/>
    <tableColumn id="12953" xr3:uid="{BBFD7130-D2F9-4809-B35F-1A162866032C}" name="Column12946"/>
    <tableColumn id="12954" xr3:uid="{33722F26-1021-4AC4-9865-892B64EA38C3}" name="Column12947"/>
    <tableColumn id="12955" xr3:uid="{B34CF947-5AAD-44F8-AA33-899826FDA77A}" name="Column12948"/>
    <tableColumn id="12956" xr3:uid="{F58D1D08-00E3-4308-BF31-E7440A7FB616}" name="Column12949"/>
    <tableColumn id="12957" xr3:uid="{7E82EEF6-7016-4B37-B7C1-D3AC27330AB3}" name="Column12950"/>
    <tableColumn id="12958" xr3:uid="{24643F35-1A66-4973-AF44-1573348D39C8}" name="Column12951"/>
    <tableColumn id="12959" xr3:uid="{2E7A77A6-3BEC-4464-A607-EF87016C6F6E}" name="Column12952"/>
    <tableColumn id="12960" xr3:uid="{95D4379E-291C-484B-B0A1-47CDE50F94F0}" name="Column12953"/>
    <tableColumn id="12961" xr3:uid="{C6BEA12D-C0BD-44F7-90B1-14F22E06D2D7}" name="Column12954"/>
    <tableColumn id="12962" xr3:uid="{40CA00C0-C51B-4D95-BAB5-529CF66253AD}" name="Column12955"/>
    <tableColumn id="12963" xr3:uid="{611E1F27-EA9F-4ADE-A706-C4C6AE9B3F3C}" name="Column12956"/>
    <tableColumn id="12964" xr3:uid="{ECD303BA-D8D2-4673-9ED2-ED123736FD00}" name="Column12957"/>
    <tableColumn id="12965" xr3:uid="{B545482F-B78F-4EFB-B0E7-DF3D7F11549B}" name="Column12958"/>
    <tableColumn id="12966" xr3:uid="{EC56CCDE-A82B-4BC6-B4F4-E5BB012EFA60}" name="Column12959"/>
    <tableColumn id="12967" xr3:uid="{E9F80844-FE48-4B73-A08A-FA19D3B2655B}" name="Column12960"/>
    <tableColumn id="12968" xr3:uid="{A6FC393E-493D-4631-9727-3A137252CC76}" name="Column12961"/>
    <tableColumn id="12969" xr3:uid="{29CDDA4F-99E2-49AA-B45F-5E15A19DD70A}" name="Column12962"/>
    <tableColumn id="12970" xr3:uid="{75788DB0-A5D7-4974-8E8A-3FC6395DFF2C}" name="Column12963"/>
    <tableColumn id="12971" xr3:uid="{FB3462B8-F263-47F4-8C36-E80E6561EC37}" name="Column12964"/>
    <tableColumn id="12972" xr3:uid="{08A1DAC9-0B4A-4FD7-8975-0A87AB77C980}" name="Column12965"/>
    <tableColumn id="12973" xr3:uid="{68DFEBB2-1B25-45F6-9B05-D9897B9987DE}" name="Column12966"/>
    <tableColumn id="12974" xr3:uid="{5040DAD6-D170-4529-A1FA-C7481F3A7B3E}" name="Column12967"/>
    <tableColumn id="12975" xr3:uid="{F9CA3FB8-2315-42EC-A8AD-D7113B4679A8}" name="Column12968"/>
    <tableColumn id="12976" xr3:uid="{C05BD629-A3E0-499C-A49A-3DDC8CCBF34C}" name="Column12969"/>
    <tableColumn id="12977" xr3:uid="{4CA6EF06-8BF2-415C-9FBC-6238DD51F4A2}" name="Column12970"/>
    <tableColumn id="12978" xr3:uid="{FFF86035-9B48-4291-9817-B04D909B0AAD}" name="Column12971"/>
    <tableColumn id="12979" xr3:uid="{769228D5-6706-44D3-AB56-13D7BDF84A55}" name="Column12972"/>
    <tableColumn id="12980" xr3:uid="{4A1D5D46-A5A6-4115-9EAF-28402F9F517D}" name="Column12973"/>
    <tableColumn id="12981" xr3:uid="{D2BBE39E-5F60-41EA-BDDA-5D2395E5451E}" name="Column12974"/>
    <tableColumn id="12982" xr3:uid="{5C6B743E-C23D-4E29-9109-CDBE06E79A98}" name="Column12975"/>
    <tableColumn id="12983" xr3:uid="{2E7992EE-EEE3-46AB-8FFE-E57598614A45}" name="Column12976"/>
    <tableColumn id="12984" xr3:uid="{F1E8E298-5F7B-48A9-8568-C037ED9D2752}" name="Column12977"/>
    <tableColumn id="12985" xr3:uid="{6B6D3E91-04C5-4AD2-8F01-68808A69B649}" name="Column12978"/>
    <tableColumn id="12986" xr3:uid="{EA2B37F0-6136-492B-9CD8-72F21B255B7A}" name="Column12979"/>
    <tableColumn id="12987" xr3:uid="{5A38C6CB-5692-44DD-B041-D3EB594872DB}" name="Column12980"/>
    <tableColumn id="12988" xr3:uid="{ABA63AE6-60AC-4FBD-8511-AF6353D47B10}" name="Column12981"/>
    <tableColumn id="12989" xr3:uid="{C76D81F4-A27B-45E7-BE8E-A72D1A13EF04}" name="Column12982"/>
    <tableColumn id="12990" xr3:uid="{EA7B2F78-651C-475B-9028-585EF171217D}" name="Column12983"/>
    <tableColumn id="12991" xr3:uid="{20A8A07F-B3C8-4935-B658-C6B37FD2A174}" name="Column12984"/>
    <tableColumn id="12992" xr3:uid="{865F8382-4E9C-48F3-8607-5334E2337522}" name="Column12985"/>
    <tableColumn id="12993" xr3:uid="{07A901BE-0FE7-4EF7-AB32-29AAA78A288F}" name="Column12986"/>
    <tableColumn id="12994" xr3:uid="{9EB2CF31-F730-4A30-BBC0-03F335C8D78C}" name="Column12987"/>
    <tableColumn id="12995" xr3:uid="{10BFB9EF-C0E4-456B-9415-793E26688FB2}" name="Column12988"/>
    <tableColumn id="12996" xr3:uid="{3F3F7718-2DD9-4DA2-B16E-AC92FD219115}" name="Column12989"/>
    <tableColumn id="12997" xr3:uid="{59092569-65F4-4623-8475-C5067D246B9E}" name="Column12990"/>
    <tableColumn id="12998" xr3:uid="{A6FC62FC-2CC1-4556-9AB2-0CBDF97BF8BB}" name="Column12991"/>
    <tableColumn id="12999" xr3:uid="{4D2D74D8-5B0E-4E0E-B433-A2BA29657D7E}" name="Column12992"/>
    <tableColumn id="13000" xr3:uid="{E256051A-4BCB-4350-BC2E-786FF5151B23}" name="Column12993"/>
    <tableColumn id="13001" xr3:uid="{30913B07-8219-4A53-8330-35F89095BF0B}" name="Column12994"/>
    <tableColumn id="13002" xr3:uid="{DEEFCD59-9EF2-4051-BA32-CFDA731D0C97}" name="Column12995"/>
    <tableColumn id="13003" xr3:uid="{CCD55ADF-C6CE-46A9-8682-3011588A17DB}" name="Column12996"/>
    <tableColumn id="13004" xr3:uid="{DE34DE06-984F-45A7-B85E-D02665778E8A}" name="Column12997"/>
    <tableColumn id="13005" xr3:uid="{8F4238ED-FADF-44A8-97D6-62B1A32D405F}" name="Column12998"/>
    <tableColumn id="13006" xr3:uid="{2C6E1213-50A3-4AD8-A319-6662F12D4B94}" name="Column12999"/>
    <tableColumn id="13007" xr3:uid="{21905FA1-4538-41AC-B2CC-6A987B20256E}" name="Column13000"/>
    <tableColumn id="13008" xr3:uid="{7E7ED43B-265D-4A25-B596-92DE4723042F}" name="Column13001"/>
    <tableColumn id="13009" xr3:uid="{CD46B8D1-DE02-43E0-97F3-39A0F9EF0E79}" name="Column13002"/>
    <tableColumn id="13010" xr3:uid="{ED430D5A-00B6-4876-BB98-007497AAFCCD}" name="Column13003"/>
    <tableColumn id="13011" xr3:uid="{F7F7D099-4376-4115-8857-FD246CB38D98}" name="Column13004"/>
    <tableColumn id="13012" xr3:uid="{F7FDED89-025C-492F-BB21-F45E748361B3}" name="Column13005"/>
    <tableColumn id="13013" xr3:uid="{8DA70E7D-D78F-4F59-98DA-633F7AFBB529}" name="Column13006"/>
    <tableColumn id="13014" xr3:uid="{0977E257-A096-44B2-8C65-012FC4F0BFB2}" name="Column13007"/>
    <tableColumn id="13015" xr3:uid="{DF0F0A87-0E2B-4702-980C-617D173EE63F}" name="Column13008"/>
    <tableColumn id="13016" xr3:uid="{0D62BCED-2FDE-467F-B5A2-B392E23AEB6E}" name="Column13009"/>
    <tableColumn id="13017" xr3:uid="{33183AA3-4FAC-486E-A8CC-E797AD4C3D84}" name="Column13010"/>
    <tableColumn id="13018" xr3:uid="{6D28F808-31EB-4F44-9D84-4F6A14A1323F}" name="Column13011"/>
    <tableColumn id="13019" xr3:uid="{174B1A86-7B57-47C3-A40D-72E4123A7353}" name="Column13012"/>
    <tableColumn id="13020" xr3:uid="{E8564D8A-5653-4A4A-B1CE-E69F58F3E448}" name="Column13013"/>
    <tableColumn id="13021" xr3:uid="{CD362160-F1AD-4347-8844-F2F0E6336A31}" name="Column13014"/>
    <tableColumn id="13022" xr3:uid="{FC18B99A-16F0-43A9-9B63-D9310DA324EF}" name="Column13015"/>
    <tableColumn id="13023" xr3:uid="{1CBD877D-1FC3-46F5-9B60-89B191DAA032}" name="Column13016"/>
    <tableColumn id="13024" xr3:uid="{7EE28BDE-0325-401E-A987-2A74216F11E7}" name="Column13017"/>
    <tableColumn id="13025" xr3:uid="{9A78BFA5-067C-4D7B-A3FC-E199C4EE6CF5}" name="Column13018"/>
    <tableColumn id="13026" xr3:uid="{C3A913F0-521E-4B36-AC28-3632BAAE4B5D}" name="Column13019"/>
    <tableColumn id="13027" xr3:uid="{4444FDDE-C4BA-4A33-8450-B06C569EB601}" name="Column13020"/>
    <tableColumn id="13028" xr3:uid="{66C07740-8D53-4FC1-8922-6BA391A51468}" name="Column13021"/>
    <tableColumn id="13029" xr3:uid="{B488171D-41FA-4B89-8BF4-70A359351AE4}" name="Column13022"/>
    <tableColumn id="13030" xr3:uid="{940AB384-FBD5-40DF-9706-A04F1392D8CE}" name="Column13023"/>
    <tableColumn id="13031" xr3:uid="{4AC258C5-0F04-491C-9B13-DFBFF123A9F3}" name="Column13024"/>
    <tableColumn id="13032" xr3:uid="{E6B847FD-AF2A-483C-82EA-B17D827BAD56}" name="Column13025"/>
    <tableColumn id="13033" xr3:uid="{D89E17B2-EDF6-4293-8613-A66A32417054}" name="Column13026"/>
    <tableColumn id="13034" xr3:uid="{ECF4FFD4-8EDE-4137-92C7-C48763E73349}" name="Column13027"/>
    <tableColumn id="13035" xr3:uid="{196281B5-7278-418B-860B-940C87045C62}" name="Column13028"/>
    <tableColumn id="13036" xr3:uid="{295F61AD-471B-43CA-8EDE-0172B53DDE29}" name="Column13029"/>
    <tableColumn id="13037" xr3:uid="{B075CA58-E57E-4922-8AA5-DE606FD31EEC}" name="Column13030"/>
    <tableColumn id="13038" xr3:uid="{5C31A9F2-71AE-4DA2-9E2E-3CE821B5D34A}" name="Column13031"/>
    <tableColumn id="13039" xr3:uid="{5FDA76AB-C842-44EF-BA7C-42C4EBDADD51}" name="Column13032"/>
    <tableColumn id="13040" xr3:uid="{A5215384-FDCE-4F72-BB06-8986BB32DFE2}" name="Column13033"/>
    <tableColumn id="13041" xr3:uid="{846E8345-A769-4F43-8A5D-F1A8C8E8B065}" name="Column13034"/>
    <tableColumn id="13042" xr3:uid="{843535C2-27AF-4337-B4E9-88778AF78AE1}" name="Column13035"/>
    <tableColumn id="13043" xr3:uid="{5BA7E950-FA31-4AA1-BA4A-07169E2C1CD1}" name="Column13036"/>
    <tableColumn id="13044" xr3:uid="{77175A17-6D62-46B2-A46E-A1DF82E14749}" name="Column13037"/>
    <tableColumn id="13045" xr3:uid="{035FEB87-8918-43C8-B68F-88E85FEA1A91}" name="Column13038"/>
    <tableColumn id="13046" xr3:uid="{C0FD700B-AC44-4363-8213-B65060550BD2}" name="Column13039"/>
    <tableColumn id="13047" xr3:uid="{BF7795CE-3996-45B4-8F93-DD577059037A}" name="Column13040"/>
    <tableColumn id="13048" xr3:uid="{E23C824E-E878-4690-BA78-0749EADC5F6A}" name="Column13041"/>
    <tableColumn id="13049" xr3:uid="{6BE8E640-2DC4-463E-8CD0-E90FC6A5F4F1}" name="Column13042"/>
    <tableColumn id="13050" xr3:uid="{E67BC903-59E3-4940-BE19-1269589CE5F7}" name="Column13043"/>
    <tableColumn id="13051" xr3:uid="{78949C72-87BE-444A-9F79-44147C712E48}" name="Column13044"/>
    <tableColumn id="13052" xr3:uid="{78AEF888-6A3F-400B-A3D0-3967D7089870}" name="Column13045"/>
    <tableColumn id="13053" xr3:uid="{76DD8701-988D-46FC-8F3E-401BF944763F}" name="Column13046"/>
    <tableColumn id="13054" xr3:uid="{15537A7C-E095-47F8-A778-94FF238ACD0D}" name="Column13047"/>
    <tableColumn id="13055" xr3:uid="{E10EA7CD-F008-4D8E-BFB7-A06C43455524}" name="Column13048"/>
    <tableColumn id="13056" xr3:uid="{D1F2D81B-8872-42C0-89D2-29968B927D96}" name="Column13049"/>
    <tableColumn id="13057" xr3:uid="{D47F238F-D008-49CE-912C-10B94010C1AA}" name="Column13050"/>
    <tableColumn id="13058" xr3:uid="{F4600636-CCC1-4767-9851-3B38AA896DF0}" name="Column13051"/>
    <tableColumn id="13059" xr3:uid="{3C93D242-56CC-4B97-BF45-E14F40D11549}" name="Column13052"/>
    <tableColumn id="13060" xr3:uid="{22981A74-BA4A-4442-8ABC-1837C8E0D9A7}" name="Column13053"/>
    <tableColumn id="13061" xr3:uid="{AC8D2BA0-37C7-491C-ABBD-C811BF35D2B7}" name="Column13054"/>
    <tableColumn id="13062" xr3:uid="{E39A8636-6788-4633-8E8F-7E91D5631301}" name="Column13055"/>
    <tableColumn id="13063" xr3:uid="{D9535053-5E97-497B-8878-DF5B8F239A3D}" name="Column13056"/>
    <tableColumn id="13064" xr3:uid="{90EE6665-3ACA-4263-BF0B-8F2980DB2B04}" name="Column13057"/>
    <tableColumn id="13065" xr3:uid="{E8E37DF3-500D-4E42-98EF-FD37839E2DED}" name="Column13058"/>
    <tableColumn id="13066" xr3:uid="{FCD74C81-D846-4A3D-A712-CEE7D6E762D2}" name="Column13059"/>
    <tableColumn id="13067" xr3:uid="{205F4B00-FD3B-4410-94D0-B37687A7DDFB}" name="Column13060"/>
    <tableColumn id="13068" xr3:uid="{F235B4B9-C31D-409D-BAA0-82324448224D}" name="Column13061"/>
    <tableColumn id="13069" xr3:uid="{9306C7EB-DEC3-4F83-A14A-6DFDC92C87E5}" name="Column13062"/>
    <tableColumn id="13070" xr3:uid="{623EFE93-CFAF-4418-A955-F7EA0E6EABCF}" name="Column13063"/>
    <tableColumn id="13071" xr3:uid="{45CB841B-5C1A-4B67-9069-DF893831021A}" name="Column13064"/>
    <tableColumn id="13072" xr3:uid="{85659560-3010-4BD4-B08E-BABD77BB9A2E}" name="Column13065"/>
    <tableColumn id="13073" xr3:uid="{2DCEB0E9-584D-404D-9D7E-7FE8BA67F5F8}" name="Column13066"/>
    <tableColumn id="13074" xr3:uid="{4FCC6E7B-9D7B-4286-A94A-867C411C77D6}" name="Column13067"/>
    <tableColumn id="13075" xr3:uid="{F2424A9C-B172-42B1-917B-62174B3DE1BD}" name="Column13068"/>
    <tableColumn id="13076" xr3:uid="{05FA117B-EDC1-4D27-9D9C-DDF63670ADAA}" name="Column13069"/>
    <tableColumn id="13077" xr3:uid="{BCE248A6-97C8-4038-A466-6C0C395ACA4D}" name="Column13070"/>
    <tableColumn id="13078" xr3:uid="{0ACD139D-2009-4AAE-94D0-07AFDA569C5E}" name="Column13071"/>
    <tableColumn id="13079" xr3:uid="{5CFA38B2-623F-4D09-8230-D2D04D9634A4}" name="Column13072"/>
    <tableColumn id="13080" xr3:uid="{C8B165BB-2741-4D4E-AE10-F2C684128BC2}" name="Column13073"/>
    <tableColumn id="13081" xr3:uid="{DB046457-99E4-426D-89C0-7365900079CE}" name="Column13074"/>
    <tableColumn id="13082" xr3:uid="{16C7D406-B1B8-4F06-A3E6-F284C4A76965}" name="Column13075"/>
    <tableColumn id="13083" xr3:uid="{2B6FF12C-1A58-43E4-86CC-08F6FCE382C0}" name="Column13076"/>
    <tableColumn id="13084" xr3:uid="{E559FDC9-B9CE-489D-B400-0683D0769D00}" name="Column13077"/>
    <tableColumn id="13085" xr3:uid="{042E5FE8-43DB-4D2A-947A-8B0D2DDB6777}" name="Column13078"/>
    <tableColumn id="13086" xr3:uid="{238AF544-8EC0-4306-8FB4-24A3523625FD}" name="Column13079"/>
    <tableColumn id="13087" xr3:uid="{C0BEB104-CB02-42E0-AAA4-D00E61E18927}" name="Column13080"/>
    <tableColumn id="13088" xr3:uid="{4A9B24A0-7441-440B-B3D3-992E39D24E42}" name="Column13081"/>
    <tableColumn id="13089" xr3:uid="{41BCF9D4-214F-4878-A60B-4B499A115A96}" name="Column13082"/>
    <tableColumn id="13090" xr3:uid="{7444AA6A-7581-4824-944A-5965B7F891E9}" name="Column13083"/>
    <tableColumn id="13091" xr3:uid="{B0ABD4C9-B5F5-421D-8496-AC28C0480D55}" name="Column13084"/>
    <tableColumn id="13092" xr3:uid="{04DAED31-B7C9-40E6-8F47-2E85E4A2D122}" name="Column13085"/>
    <tableColumn id="13093" xr3:uid="{317AF946-90E5-486B-B758-B6C2DDF00CC1}" name="Column13086"/>
    <tableColumn id="13094" xr3:uid="{6D3672E6-CA91-4D54-84B0-939F0A1F7F4D}" name="Column13087"/>
    <tableColumn id="13095" xr3:uid="{ACEAE913-9AC3-4C81-837A-0DA1714CED5F}" name="Column13088"/>
    <tableColumn id="13096" xr3:uid="{88B9FD7A-9D2A-4BC2-B714-1D81F8EBCFB3}" name="Column13089"/>
    <tableColumn id="13097" xr3:uid="{33521947-3938-4EC2-AB36-1D42462526F9}" name="Column13090"/>
    <tableColumn id="13098" xr3:uid="{E9B7B0E0-4E25-4C04-8F7A-74927B945679}" name="Column13091"/>
    <tableColumn id="13099" xr3:uid="{5AD90982-ABE6-443B-BA96-6F143D7DB270}" name="Column13092"/>
    <tableColumn id="13100" xr3:uid="{FE4F8999-C54F-440C-B0D0-EE6FC7B6FB81}" name="Column13093"/>
    <tableColumn id="13101" xr3:uid="{AE702BDB-1E4A-404D-9A42-D9438A34AE0E}" name="Column13094"/>
    <tableColumn id="13102" xr3:uid="{847CC2C4-DDD7-4D6E-BBA8-9A4809544066}" name="Column13095"/>
    <tableColumn id="13103" xr3:uid="{4A15F099-34A9-4B22-B4C2-3DFB8E62AA33}" name="Column13096"/>
    <tableColumn id="13104" xr3:uid="{7AEE84A8-E37C-495A-93AE-6DAD8D793446}" name="Column13097"/>
    <tableColumn id="13105" xr3:uid="{1987D673-81F1-4A06-99DF-569C708ED46A}" name="Column13098"/>
    <tableColumn id="13106" xr3:uid="{39E633D7-E2C5-4020-8A37-DA47623ED86F}" name="Column13099"/>
    <tableColumn id="13107" xr3:uid="{5FB33887-467C-4CA1-B796-563AA6EADD32}" name="Column13100"/>
    <tableColumn id="13108" xr3:uid="{86CEC6F2-A179-4511-BF3B-E6B442A41BD2}" name="Column13101"/>
    <tableColumn id="13109" xr3:uid="{D7623248-84E9-4429-AC14-A7C44AB729C5}" name="Column13102"/>
    <tableColumn id="13110" xr3:uid="{ACBC9BC1-FA52-4175-8028-D8928238E07A}" name="Column13103"/>
    <tableColumn id="13111" xr3:uid="{6EBAD8D7-3E20-489B-B19D-8559A0DA2B9A}" name="Column13104"/>
    <tableColumn id="13112" xr3:uid="{976D5EC3-FFE4-4CFE-BA65-23C96137C3EA}" name="Column13105"/>
    <tableColumn id="13113" xr3:uid="{701AD57A-AC2D-49E0-868C-F9C546F32572}" name="Column13106"/>
    <tableColumn id="13114" xr3:uid="{15FA2258-2034-431C-80CF-1DECEB2E1461}" name="Column13107"/>
    <tableColumn id="13115" xr3:uid="{19E42B94-FEA6-47BA-9C5D-8CD5C7E3742B}" name="Column13108"/>
    <tableColumn id="13116" xr3:uid="{A0C2CB3E-D7ED-4A97-BEE1-E07F21B59155}" name="Column13109"/>
    <tableColumn id="13117" xr3:uid="{859F6790-A92B-44E1-B759-EA415A9F8A86}" name="Column13110"/>
    <tableColumn id="13118" xr3:uid="{984D0977-E4F7-46BF-93DD-2855445E5399}" name="Column13111"/>
    <tableColumn id="13119" xr3:uid="{E126AC91-5E36-4D89-92AE-787C7012331A}" name="Column13112"/>
    <tableColumn id="13120" xr3:uid="{35D77BDB-EB06-4F75-9FDC-F2C6AF5D576E}" name="Column13113"/>
    <tableColumn id="13121" xr3:uid="{70949714-F3FE-4B57-AD89-3ABF8FA46A6B}" name="Column13114"/>
    <tableColumn id="13122" xr3:uid="{8043DC9E-2E7E-4609-BBAC-DA442DE8043E}" name="Column13115"/>
    <tableColumn id="13123" xr3:uid="{1EFC722A-FB31-48C8-A8F6-83C21018C469}" name="Column13116"/>
    <tableColumn id="13124" xr3:uid="{F3E8749B-4A6B-4634-973C-A794F8BEFF40}" name="Column13117"/>
    <tableColumn id="13125" xr3:uid="{CC259CF0-31D6-430B-8CB5-79CB29C16777}" name="Column13118"/>
    <tableColumn id="13126" xr3:uid="{01879A30-ECD2-4A8D-AB83-52C7B46EF362}" name="Column13119"/>
    <tableColumn id="13127" xr3:uid="{6D39CA9A-DAE3-4434-984D-072FC162D5FA}" name="Column13120"/>
    <tableColumn id="13128" xr3:uid="{415CF230-D1CB-4319-AC51-D3C18ED68442}" name="Column13121"/>
    <tableColumn id="13129" xr3:uid="{21631CC2-9177-4703-A39D-DDFBF1EC4B4E}" name="Column13122"/>
    <tableColumn id="13130" xr3:uid="{16BF268E-3B7B-4CE4-8D75-8872C047B33E}" name="Column13123"/>
    <tableColumn id="13131" xr3:uid="{CBA55A7F-8100-4274-A9A2-1AA5064F4159}" name="Column13124"/>
    <tableColumn id="13132" xr3:uid="{50C9968B-C8B1-437D-B434-E5986EFA66B5}" name="Column13125"/>
    <tableColumn id="13133" xr3:uid="{51920B2A-BF92-4FAC-9FD7-E487DB48811C}" name="Column13126"/>
    <tableColumn id="13134" xr3:uid="{9BF8FA99-59B2-4DD6-AD80-3F0E84A9EBB6}" name="Column13127"/>
    <tableColumn id="13135" xr3:uid="{B39B5A6E-BCFF-460C-9F4E-65E5D476438D}" name="Column13128"/>
    <tableColumn id="13136" xr3:uid="{BC07DF57-E91F-4D02-9F5E-789C4917F97C}" name="Column13129"/>
    <tableColumn id="13137" xr3:uid="{58ACD520-8474-4A88-9CFC-3D1C6D4727EA}" name="Column13130"/>
    <tableColumn id="13138" xr3:uid="{F7E7C031-68F7-4CD7-8EB4-C95076E121EF}" name="Column13131"/>
    <tableColumn id="13139" xr3:uid="{CB49A063-CD23-4592-BD04-B4D04E248B1B}" name="Column13132"/>
    <tableColumn id="13140" xr3:uid="{A8C106C6-F9E4-4F2D-866F-418F3C93B6E6}" name="Column13133"/>
    <tableColumn id="13141" xr3:uid="{9AD3C4C7-8216-42B4-8034-AAE8C3E75FCA}" name="Column13134"/>
    <tableColumn id="13142" xr3:uid="{4427111E-9253-42B1-91B8-1D44AA93F13C}" name="Column13135"/>
    <tableColumn id="13143" xr3:uid="{DF6F2754-07EB-4522-841B-4A2D03571A99}" name="Column13136"/>
    <tableColumn id="13144" xr3:uid="{8A0F70C8-E87C-4CB7-A718-1373443BF906}" name="Column13137"/>
    <tableColumn id="13145" xr3:uid="{7BABC672-4365-42A9-8979-1DAEC8F4237E}" name="Column13138"/>
    <tableColumn id="13146" xr3:uid="{E8A84158-051B-4FC5-A88B-4199554E19CB}" name="Column13139"/>
    <tableColumn id="13147" xr3:uid="{3EBDB205-78C8-47AE-9203-A911103B9BC6}" name="Column13140"/>
    <tableColumn id="13148" xr3:uid="{827A09A0-92F9-46D0-90F3-C44D15BD6AEE}" name="Column13141"/>
    <tableColumn id="13149" xr3:uid="{1AFCF04E-F926-481C-B2BD-56708611E98A}" name="Column13142"/>
    <tableColumn id="13150" xr3:uid="{D0CB632D-7B10-4F9C-8FE8-BD369020E2DD}" name="Column13143"/>
    <tableColumn id="13151" xr3:uid="{23437ACD-C5D7-468F-8487-A24C2C13EDEB}" name="Column13144"/>
    <tableColumn id="13152" xr3:uid="{7EA43A83-4D94-4706-8B2A-BB8CA955DD7E}" name="Column13145"/>
    <tableColumn id="13153" xr3:uid="{A3CDF899-916B-421A-BC06-11835C7106FB}" name="Column13146"/>
    <tableColumn id="13154" xr3:uid="{0F8C2F91-148A-49C8-B661-B6BF8C2A2230}" name="Column13147"/>
    <tableColumn id="13155" xr3:uid="{34EB732C-0AB7-4F10-9D44-5B0CD48A42B4}" name="Column13148"/>
    <tableColumn id="13156" xr3:uid="{FDBB2A08-7FDE-4945-907E-04C7371E32F8}" name="Column13149"/>
    <tableColumn id="13157" xr3:uid="{8AF8B129-F8DF-46D1-8557-B0744B6ECA06}" name="Column13150"/>
    <tableColumn id="13158" xr3:uid="{293C0293-7F73-4646-8CE2-FA440F2A7C1F}" name="Column13151"/>
    <tableColumn id="13159" xr3:uid="{83C8518A-229B-4A5D-AEBE-190067E23D10}" name="Column13152"/>
    <tableColumn id="13160" xr3:uid="{866C6A07-0ED4-44A6-A7DE-E7C9EE66735B}" name="Column13153"/>
    <tableColumn id="13161" xr3:uid="{21FD31FA-232B-445F-BE3D-8100E1DB6165}" name="Column13154"/>
    <tableColumn id="13162" xr3:uid="{FD67B5DD-3891-4F73-B1A6-ADA6FD7ED501}" name="Column13155"/>
    <tableColumn id="13163" xr3:uid="{AB1CF211-376E-498E-98C6-A0B6EE909942}" name="Column13156"/>
    <tableColumn id="13164" xr3:uid="{5BFBEF10-728B-40F5-940C-ED26164BBE56}" name="Column13157"/>
    <tableColumn id="13165" xr3:uid="{3E747829-8427-46A3-91B4-C168C9825AD4}" name="Column13158"/>
    <tableColumn id="13166" xr3:uid="{DF1E2FA4-6158-4FF9-AE41-67FFCB8F38AF}" name="Column13159"/>
    <tableColumn id="13167" xr3:uid="{4EED1511-65ED-4433-BFD6-26C3E81B2E5C}" name="Column13160"/>
    <tableColumn id="13168" xr3:uid="{757762A9-57C7-410D-9A87-4BB3E99141B7}" name="Column13161"/>
    <tableColumn id="13169" xr3:uid="{CD109878-A75C-41B2-BD3C-13C54FFDEA23}" name="Column13162"/>
    <tableColumn id="13170" xr3:uid="{FAEB4066-F524-46A2-94AD-541F5B9A0134}" name="Column13163"/>
    <tableColumn id="13171" xr3:uid="{E7577F0E-E2A3-41A4-950B-1D8869EB7BAE}" name="Column13164"/>
    <tableColumn id="13172" xr3:uid="{D66876FC-6BE4-4766-96A3-0238ADDF89CE}" name="Column13165"/>
    <tableColumn id="13173" xr3:uid="{0CE0F9F3-5B10-4412-BDE4-6F0C0B56A815}" name="Column13166"/>
    <tableColumn id="13174" xr3:uid="{DFA17E95-5A76-4B79-BCED-0CE1F340F1A5}" name="Column13167"/>
    <tableColumn id="13175" xr3:uid="{7C2589C3-15F0-4DF4-B58D-7F07DAAC9AC9}" name="Column13168"/>
    <tableColumn id="13176" xr3:uid="{85061821-831E-41AD-8B53-E729CD294D2F}" name="Column13169"/>
    <tableColumn id="13177" xr3:uid="{4FDA2C33-977F-4832-91DD-36287C8F90DD}" name="Column13170"/>
    <tableColumn id="13178" xr3:uid="{35E02EDA-2C5A-4BC4-BFD6-043CA8531BEB}" name="Column13171"/>
    <tableColumn id="13179" xr3:uid="{B36127E9-7F4A-4D9A-B722-B995DD535091}" name="Column13172"/>
    <tableColumn id="13180" xr3:uid="{47561489-0D4B-4C66-934C-1B702A2B2C53}" name="Column13173"/>
    <tableColumn id="13181" xr3:uid="{FAE7FA20-4EEA-4C74-9331-DC451B287DF0}" name="Column13174"/>
    <tableColumn id="13182" xr3:uid="{56F8C182-D7C7-4DB9-81F1-8444B1A21BAD}" name="Column13175"/>
    <tableColumn id="13183" xr3:uid="{392FBD39-4858-4602-AF2D-6CC424AA7FBA}" name="Column13176"/>
    <tableColumn id="13184" xr3:uid="{FCB5F60F-2569-4A5A-8292-679F04D43184}" name="Column13177"/>
    <tableColumn id="13185" xr3:uid="{BBF9F800-26E8-45DC-BC2B-E4DFFA5D17C5}" name="Column13178"/>
    <tableColumn id="13186" xr3:uid="{8AFF3BF6-8609-418B-AA4B-0F79E2312C0D}" name="Column13179"/>
    <tableColumn id="13187" xr3:uid="{4CF00D38-F134-4A03-9384-0D6E69BEFE82}" name="Column13180"/>
    <tableColumn id="13188" xr3:uid="{8C8EB07D-9811-436D-BDBA-5B9368058ECB}" name="Column13181"/>
    <tableColumn id="13189" xr3:uid="{F72EABB9-FA13-4E9C-B1DB-F14A7CB7706B}" name="Column13182"/>
    <tableColumn id="13190" xr3:uid="{E2ADD14E-9199-45B6-856F-1A77362E5B12}" name="Column13183"/>
    <tableColumn id="13191" xr3:uid="{0D9F2252-50DD-4555-B61D-77E324C91C54}" name="Column13184"/>
    <tableColumn id="13192" xr3:uid="{84F1EC6B-1FFF-4799-9403-D47B8BA1C310}" name="Column13185"/>
    <tableColumn id="13193" xr3:uid="{C1E97086-77FC-43AA-B14D-BCCA180C6ACC}" name="Column13186"/>
    <tableColumn id="13194" xr3:uid="{81E7A40D-7265-4C00-8099-6B3EFD8320F1}" name="Column13187"/>
    <tableColumn id="13195" xr3:uid="{17414F9D-2823-4AB3-A553-73653BCECAB1}" name="Column13188"/>
    <tableColumn id="13196" xr3:uid="{D91B53D8-766B-4361-B4FA-C5B8213C9542}" name="Column13189"/>
    <tableColumn id="13197" xr3:uid="{4D986C84-B7C4-4924-AB68-FFCD8B7C782D}" name="Column13190"/>
    <tableColumn id="13198" xr3:uid="{11BC72D9-103B-403E-B4D4-568B919FF504}" name="Column13191"/>
    <tableColumn id="13199" xr3:uid="{53D40562-7EFC-4B8B-82F5-9DBC64B56BF3}" name="Column13192"/>
    <tableColumn id="13200" xr3:uid="{417AD952-15A2-4969-89E4-D39A8663F056}" name="Column13193"/>
    <tableColumn id="13201" xr3:uid="{40D0EB2E-3BD8-4E29-A52B-D23AD83F781E}" name="Column13194"/>
    <tableColumn id="13202" xr3:uid="{61A10204-2B83-43C0-B57E-E7CF309F58CA}" name="Column13195"/>
    <tableColumn id="13203" xr3:uid="{741F35EB-C522-4E2E-A8DF-D7499C1C3B9B}" name="Column13196"/>
    <tableColumn id="13204" xr3:uid="{EB4F81BD-5A7C-4566-855E-9931308BC53E}" name="Column13197"/>
    <tableColumn id="13205" xr3:uid="{60C4D815-9894-493F-BD08-B9DC45234EBF}" name="Column13198"/>
    <tableColumn id="13206" xr3:uid="{0E1A17B9-7AD0-44BF-ACA1-9414040FB089}" name="Column13199"/>
    <tableColumn id="13207" xr3:uid="{8E232440-A7E6-4B8C-A9F0-5AA5F2A643B1}" name="Column13200"/>
    <tableColumn id="13208" xr3:uid="{619D9DAB-5E28-4EB2-ACFE-F999A820222D}" name="Column13201"/>
    <tableColumn id="13209" xr3:uid="{74AE193B-94BD-4D2F-BEAB-028F61965563}" name="Column13202"/>
    <tableColumn id="13210" xr3:uid="{2AA37BB1-61FE-4277-997E-8F792D4179CB}" name="Column13203"/>
    <tableColumn id="13211" xr3:uid="{801AAD32-9D2B-49BF-A851-7B6DC2F33846}" name="Column13204"/>
    <tableColumn id="13212" xr3:uid="{B45F11F4-94D0-4F49-8E73-52378012E56E}" name="Column13205"/>
    <tableColumn id="13213" xr3:uid="{247CE318-2633-47CF-BC47-56D7A43D2336}" name="Column13206"/>
    <tableColumn id="13214" xr3:uid="{3D0DB230-078D-46C7-9964-96E2EAA4E15B}" name="Column13207"/>
    <tableColumn id="13215" xr3:uid="{35D8B868-CBE7-4EED-AC5D-4A5E09E49BD6}" name="Column13208"/>
    <tableColumn id="13216" xr3:uid="{288D9A64-C516-46A6-8016-D1F55CA29C37}" name="Column13209"/>
    <tableColumn id="13217" xr3:uid="{1AC2BFAB-25CE-45E0-85F1-8930E1D3161E}" name="Column13210"/>
    <tableColumn id="13218" xr3:uid="{C404A85E-A34C-4CC7-8EFC-CE15F1CE0E9C}" name="Column13211"/>
    <tableColumn id="13219" xr3:uid="{105AEA6D-B724-4428-99E1-3EB1E93BFC7D}" name="Column13212"/>
    <tableColumn id="13220" xr3:uid="{AB9EEE79-0142-4B70-B745-7B13550C49FE}" name="Column13213"/>
    <tableColumn id="13221" xr3:uid="{19F0C797-0D1D-458B-923E-5887D00DF465}" name="Column13214"/>
    <tableColumn id="13222" xr3:uid="{E3A0653D-4988-4D03-A1FA-415A55EE6B3F}" name="Column13215"/>
    <tableColumn id="13223" xr3:uid="{F5DAE5D8-F2CF-428F-AAE3-5861A8D94179}" name="Column13216"/>
    <tableColumn id="13224" xr3:uid="{1CB57209-7185-464F-9895-BA726FABF437}" name="Column13217"/>
    <tableColumn id="13225" xr3:uid="{22E82AAF-4BE9-4D25-9014-1AE34C639C2D}" name="Column13218"/>
    <tableColumn id="13226" xr3:uid="{83C3D587-AC3A-4368-B3C6-5BB8EE302368}" name="Column13219"/>
    <tableColumn id="13227" xr3:uid="{22FEB1D4-6035-4063-B83D-C7EE7115F2F9}" name="Column13220"/>
    <tableColumn id="13228" xr3:uid="{A7D437D2-7678-4AD5-998C-9F47135E1822}" name="Column13221"/>
    <tableColumn id="13229" xr3:uid="{674560CB-FE19-4468-9B42-1CB697A98751}" name="Column13222"/>
    <tableColumn id="13230" xr3:uid="{A7A4D0FB-6F89-405E-85BA-11B5BC827A15}" name="Column13223"/>
    <tableColumn id="13231" xr3:uid="{555B7C86-D92F-4BE2-94B0-6C4B2856A568}" name="Column13224"/>
    <tableColumn id="13232" xr3:uid="{6A445205-C6FC-41BE-8D9B-B7CF0026A521}" name="Column13225"/>
    <tableColumn id="13233" xr3:uid="{ECA3551A-0802-4985-A7C0-48EFD614DCB0}" name="Column13226"/>
    <tableColumn id="13234" xr3:uid="{49194A45-7379-418A-9E4E-B95CB0A02546}" name="Column13227"/>
    <tableColumn id="13235" xr3:uid="{FF467E0E-8873-4FC5-8697-1D4361150EE1}" name="Column13228"/>
    <tableColumn id="13236" xr3:uid="{4DE15340-854B-428E-BCC1-2B2F21FED3B1}" name="Column13229"/>
    <tableColumn id="13237" xr3:uid="{E22635E8-F8F7-428A-B525-0E3B345DF9D4}" name="Column13230"/>
    <tableColumn id="13238" xr3:uid="{A0A89F40-3C5D-4AAD-85CC-9FB4FA45BB63}" name="Column13231"/>
    <tableColumn id="13239" xr3:uid="{E70D8F04-9C98-4988-8835-01CBF8EE541B}" name="Column13232"/>
    <tableColumn id="13240" xr3:uid="{DEB3D4ED-C8FD-470D-A30A-39A575A6249F}" name="Column13233"/>
    <tableColumn id="13241" xr3:uid="{3329D02D-BB86-471F-ADCE-711C6D66EFAA}" name="Column13234"/>
    <tableColumn id="13242" xr3:uid="{ED7840FC-5CE6-4FC7-9385-61898A107279}" name="Column13235"/>
    <tableColumn id="13243" xr3:uid="{8CE80562-D304-4D69-98A4-3EBDDF92E5D3}" name="Column13236"/>
    <tableColumn id="13244" xr3:uid="{13388D79-DE99-4B14-B466-94DB7878C855}" name="Column13237"/>
    <tableColumn id="13245" xr3:uid="{6DD60337-3375-4EDC-AB73-08D556B22E7C}" name="Column13238"/>
    <tableColumn id="13246" xr3:uid="{09F01754-2361-4339-9047-282FD63A1B6B}" name="Column13239"/>
    <tableColumn id="13247" xr3:uid="{5CCDCE9B-5A43-44F7-90BE-6595AE5EB2BC}" name="Column13240"/>
    <tableColumn id="13248" xr3:uid="{8D964704-9B9F-43A1-A629-656CFEE9B318}" name="Column13241"/>
    <tableColumn id="13249" xr3:uid="{6D8391F6-D8F5-451D-8F68-37D002B0A1B2}" name="Column13242"/>
    <tableColumn id="13250" xr3:uid="{8C5B56F0-E8F0-465C-A909-4F08B99FCED3}" name="Column13243"/>
    <tableColumn id="13251" xr3:uid="{5E316266-BA6A-4314-9DF6-2598E535C5EC}" name="Column13244"/>
    <tableColumn id="13252" xr3:uid="{3855512A-8E73-4743-9BF1-8A0DD854AD7D}" name="Column13245"/>
    <tableColumn id="13253" xr3:uid="{3F49FAF2-350B-4D1F-891A-89402514A596}" name="Column13246"/>
    <tableColumn id="13254" xr3:uid="{63BC8629-DEE7-4065-A19D-ABCF9ECB9F2C}" name="Column13247"/>
    <tableColumn id="13255" xr3:uid="{F6863360-9D6F-44CB-B0CA-0BC8CADA4BD2}" name="Column13248"/>
    <tableColumn id="13256" xr3:uid="{4E1FEFBE-639A-4E41-9146-2F70F0D553A9}" name="Column13249"/>
    <tableColumn id="13257" xr3:uid="{C7D5D8EE-5418-4842-ADAD-92E3252B611C}" name="Column13250"/>
    <tableColumn id="13258" xr3:uid="{E2A8CC99-C998-4595-920E-E505EEDFC61E}" name="Column13251"/>
    <tableColumn id="13259" xr3:uid="{AE06C83A-4BDD-40CE-AEA3-1C0471FED9A6}" name="Column13252"/>
    <tableColumn id="13260" xr3:uid="{2D419BE5-569C-4BDF-9255-A3B216871E25}" name="Column13253"/>
    <tableColumn id="13261" xr3:uid="{215E1C3F-68D8-4342-9523-8EDCCE9E09CE}" name="Column13254"/>
    <tableColumn id="13262" xr3:uid="{3E1DAB01-E5AB-4F90-895C-497BD572E3E5}" name="Column13255"/>
    <tableColumn id="13263" xr3:uid="{CA330E63-FFCC-497D-98F2-E20582A4F78D}" name="Column13256"/>
    <tableColumn id="13264" xr3:uid="{087ADEDC-CE78-4D37-B543-A64F922DAEE2}" name="Column13257"/>
    <tableColumn id="13265" xr3:uid="{2030A087-1AD7-4EA3-9F54-83A60CBEA6CD}" name="Column13258"/>
    <tableColumn id="13266" xr3:uid="{CCF81868-EF9B-482F-AF86-B1CB93FA3DCD}" name="Column13259"/>
    <tableColumn id="13267" xr3:uid="{D45C9E21-528E-44EA-A86D-CD415CDD7F62}" name="Column13260"/>
    <tableColumn id="13268" xr3:uid="{B91419A7-13F0-403C-859B-14712DE6C266}" name="Column13261"/>
    <tableColumn id="13269" xr3:uid="{28ABB6D3-6DA8-4477-AB15-DEE087FC2B20}" name="Column13262"/>
    <tableColumn id="13270" xr3:uid="{06984163-D48C-4F77-8CB0-09EB09294841}" name="Column13263"/>
    <tableColumn id="13271" xr3:uid="{781DDD81-9FDF-487F-ABA9-CEEC089C960A}" name="Column13264"/>
    <tableColumn id="13272" xr3:uid="{10FF15BC-6C61-4DD8-8700-D97061AF1E51}" name="Column13265"/>
    <tableColumn id="13273" xr3:uid="{B7263EA1-06B7-4E80-A57E-63D1A136ABF4}" name="Column13266"/>
    <tableColumn id="13274" xr3:uid="{05730D5E-7246-44AE-A459-2C306B3A23BB}" name="Column13267"/>
    <tableColumn id="13275" xr3:uid="{959D74EE-54C7-4423-9926-A60E4C635EE5}" name="Column13268"/>
    <tableColumn id="13276" xr3:uid="{FBB38C34-5803-4C03-BC61-AA125DC97F98}" name="Column13269"/>
    <tableColumn id="13277" xr3:uid="{47628EA5-E671-4A97-823E-FA49B7AB5C4F}" name="Column13270"/>
    <tableColumn id="13278" xr3:uid="{65FFFAF6-DAC7-4089-8E4B-E745EDF39D8C}" name="Column13271"/>
    <tableColumn id="13279" xr3:uid="{9F5A8A98-1881-4338-9ECE-F4CF5424918B}" name="Column13272"/>
    <tableColumn id="13280" xr3:uid="{8C46017D-AF42-442D-922F-6D64166D4E08}" name="Column13273"/>
    <tableColumn id="13281" xr3:uid="{2662DC93-CA40-491C-8E82-EA232C3F3B78}" name="Column13274"/>
    <tableColumn id="13282" xr3:uid="{2556C5D8-FFF4-40B5-B32D-872169E2CA1E}" name="Column13275"/>
    <tableColumn id="13283" xr3:uid="{2D988759-C0EF-46D6-AA64-C3BCE7F5E5EB}" name="Column13276"/>
    <tableColumn id="13284" xr3:uid="{13721038-D25A-4C4D-B581-979C75F62C05}" name="Column13277"/>
    <tableColumn id="13285" xr3:uid="{D4492CF5-1129-4121-8628-2D465C11912B}" name="Column13278"/>
    <tableColumn id="13286" xr3:uid="{1DA0E8DA-AD04-437E-96D7-CBBCB3A96A7E}" name="Column13279"/>
    <tableColumn id="13287" xr3:uid="{A0F3A251-40DE-4FD0-A778-9DB684F2399B}" name="Column13280"/>
    <tableColumn id="13288" xr3:uid="{106115AA-3013-4A4D-A699-A84751A4ADE5}" name="Column13281"/>
    <tableColumn id="13289" xr3:uid="{1E9FBCF1-C590-49EC-B082-54046C9413CB}" name="Column13282"/>
    <tableColumn id="13290" xr3:uid="{4ED6FF61-F5B2-4E4D-B4C1-1158E0B58DF5}" name="Column13283"/>
    <tableColumn id="13291" xr3:uid="{FBA3D5BA-423B-4253-A46A-757A1D01B678}" name="Column13284"/>
    <tableColumn id="13292" xr3:uid="{40DADBE1-03CB-4454-A9C5-23C4006C439D}" name="Column13285"/>
    <tableColumn id="13293" xr3:uid="{4ECD5427-B602-4A85-9D05-7679D6454888}" name="Column13286"/>
    <tableColumn id="13294" xr3:uid="{B8CAD088-70C3-43BD-B208-4396AAC7895C}" name="Column13287"/>
    <tableColumn id="13295" xr3:uid="{5542DD51-7E6B-4A66-B26C-E628E8F78DD4}" name="Column13288"/>
    <tableColumn id="13296" xr3:uid="{00C4B64E-006E-4445-ACC8-78B761D8F1A8}" name="Column13289"/>
    <tableColumn id="13297" xr3:uid="{ADAC69C2-BD4B-439C-932B-41A2ACA991E5}" name="Column13290"/>
    <tableColumn id="13298" xr3:uid="{841372DD-3B76-4C10-B5AF-5F0EBDA3F49E}" name="Column13291"/>
    <tableColumn id="13299" xr3:uid="{4EBC96E1-4780-4DFD-A426-6546D3ECB0BA}" name="Column13292"/>
    <tableColumn id="13300" xr3:uid="{DE43BEBD-EFD7-4709-BBC2-A24A6B5FFE1E}" name="Column13293"/>
    <tableColumn id="13301" xr3:uid="{00EBB46B-ABB0-4C18-ABA1-67537D524DF7}" name="Column13294"/>
    <tableColumn id="13302" xr3:uid="{A5104F9F-8729-47EC-AAEA-376469DCC258}" name="Column13295"/>
    <tableColumn id="13303" xr3:uid="{FCB28A2B-4446-48F4-921F-345919FCCB6F}" name="Column13296"/>
    <tableColumn id="13304" xr3:uid="{6237BED3-5EBC-4D3A-AFE4-35AE2C40F06B}" name="Column13297"/>
    <tableColumn id="13305" xr3:uid="{001A96F4-8B39-4742-88EF-A956540B832F}" name="Column13298"/>
    <tableColumn id="13306" xr3:uid="{530DC9DC-C9F8-419E-86E1-C31AEAFA017B}" name="Column13299"/>
    <tableColumn id="13307" xr3:uid="{B82831E7-6F0A-496D-8479-7414EDFEB307}" name="Column13300"/>
    <tableColumn id="13308" xr3:uid="{B89FEE8D-B99D-4CBC-8CB4-817E43AEC997}" name="Column13301"/>
    <tableColumn id="13309" xr3:uid="{0C51B7C0-D33F-406A-8295-91E9E8CCDE17}" name="Column13302"/>
    <tableColumn id="13310" xr3:uid="{FD427D30-C011-41A0-8939-0E97AC3A8C57}" name="Column13303"/>
    <tableColumn id="13311" xr3:uid="{4291C91A-6CD5-4AE5-85B5-30735AE90F7F}" name="Column13304"/>
    <tableColumn id="13312" xr3:uid="{96FDE050-49D2-4BEE-BB56-5DCE5A9EDF5A}" name="Column13305"/>
    <tableColumn id="13313" xr3:uid="{3A6DAA06-2136-4C58-862A-9C0CEA40A936}" name="Column13306"/>
    <tableColumn id="13314" xr3:uid="{690451FF-91FD-4343-8161-22031B630C42}" name="Column13307"/>
    <tableColumn id="13315" xr3:uid="{57B23A16-27F4-4E5B-BDE4-F39E3781E312}" name="Column13308"/>
    <tableColumn id="13316" xr3:uid="{406DFB71-F15E-4F31-890A-6AC31B91B9B4}" name="Column13309"/>
    <tableColumn id="13317" xr3:uid="{0BE28D1F-2737-40FA-A3A7-086540B0486E}" name="Column13310"/>
    <tableColumn id="13318" xr3:uid="{BD7C89AD-023C-4D29-88E5-95A77F5F9AE0}" name="Column13311"/>
    <tableColumn id="13319" xr3:uid="{BF85727F-3D2C-4D83-B68B-45DF19DCB168}" name="Column13312"/>
    <tableColumn id="13320" xr3:uid="{92197FC0-06FC-48A5-8243-DCF5105B18EE}" name="Column13313"/>
    <tableColumn id="13321" xr3:uid="{D5C8F594-299E-47CE-B3FB-1E436B124813}" name="Column13314"/>
    <tableColumn id="13322" xr3:uid="{66CBB677-B087-4EF7-A4CD-56CE59F734A4}" name="Column13315"/>
    <tableColumn id="13323" xr3:uid="{A41CED97-7508-4700-B4DB-8A28A0FA686C}" name="Column13316"/>
    <tableColumn id="13324" xr3:uid="{A3A27C6F-DEFC-4508-8C43-8B7C7C1A208E}" name="Column13317"/>
    <tableColumn id="13325" xr3:uid="{B624EED0-50AE-4AE8-895A-9B3610F0B415}" name="Column13318"/>
    <tableColumn id="13326" xr3:uid="{588D0985-226D-4F77-8B65-BABF5CB63763}" name="Column13319"/>
    <tableColumn id="13327" xr3:uid="{1A596107-BEA1-4400-BA4D-0AB183639B55}" name="Column13320"/>
    <tableColumn id="13328" xr3:uid="{FCE41F18-D0EB-434E-A94E-045025C17BCA}" name="Column13321"/>
    <tableColumn id="13329" xr3:uid="{FF60428E-D833-4DFB-B4C5-2035162CB9F7}" name="Column13322"/>
    <tableColumn id="13330" xr3:uid="{4260E44F-DDE3-4ACF-9AAB-2A7761F08807}" name="Column13323"/>
    <tableColumn id="13331" xr3:uid="{F2C12975-E43D-4AC7-BC79-DB18B90E560E}" name="Column13324"/>
    <tableColumn id="13332" xr3:uid="{7B8B6760-0E58-4DF2-BD56-762227E67E78}" name="Column13325"/>
    <tableColumn id="13333" xr3:uid="{E8F045C4-0CFE-4FE2-9BCA-6E8469EE1CEC}" name="Column13326"/>
    <tableColumn id="13334" xr3:uid="{B1041A7E-6AC2-4550-8E8D-80E40CAEEC30}" name="Column13327"/>
    <tableColumn id="13335" xr3:uid="{22794464-0FC5-4602-B94F-2B96CBA50442}" name="Column13328"/>
    <tableColumn id="13336" xr3:uid="{E3E5E7BC-0264-4F6A-AAB9-F6DC1BD611A3}" name="Column13329"/>
    <tableColumn id="13337" xr3:uid="{D7952232-8D0E-4137-9365-7E9F23750F6B}" name="Column13330"/>
    <tableColumn id="13338" xr3:uid="{7DCEAB61-D492-497A-A49A-2D41117BE945}" name="Column13331"/>
    <tableColumn id="13339" xr3:uid="{7ACF7A13-5C60-41DA-AA88-C9D5BD50FEFB}" name="Column13332"/>
    <tableColumn id="13340" xr3:uid="{EF188965-5C97-409B-8589-F76A639A8B30}" name="Column13333"/>
    <tableColumn id="13341" xr3:uid="{9F52A84D-5DD1-4ABA-9EB3-C2D4D73750B4}" name="Column13334"/>
    <tableColumn id="13342" xr3:uid="{22E4AF73-0A32-4BC0-AEC5-946AD36484CE}" name="Column13335"/>
    <tableColumn id="13343" xr3:uid="{22312ED8-0255-4E1F-B184-44D1CCFA1C3D}" name="Column13336"/>
    <tableColumn id="13344" xr3:uid="{F2871FD9-B790-41C4-B4E6-4C3CB7DC83E2}" name="Column13337"/>
    <tableColumn id="13345" xr3:uid="{86F1E799-EF88-4EA6-886F-490C2B965427}" name="Column13338"/>
    <tableColumn id="13346" xr3:uid="{79179BA6-DF54-47F6-9DB6-CCB7D15CC547}" name="Column13339"/>
    <tableColumn id="13347" xr3:uid="{FBC0DCC4-13BB-4D5D-94D5-CB7EB7F06557}" name="Column13340"/>
    <tableColumn id="13348" xr3:uid="{354F0B9C-E2DE-41EE-AB6A-5B17765E52AE}" name="Column13341"/>
    <tableColumn id="13349" xr3:uid="{B6AF8D50-D8B8-4ACC-961B-38BF5434F5BB}" name="Column13342"/>
    <tableColumn id="13350" xr3:uid="{53EA80AD-CD92-4C53-82A6-90DCE59AB0CB}" name="Column13343"/>
    <tableColumn id="13351" xr3:uid="{07E7FDF1-3ABC-423C-A526-F6A57588C4C0}" name="Column13344"/>
    <tableColumn id="13352" xr3:uid="{007B9815-46FF-4C62-855E-F501E1B069FF}" name="Column13345"/>
    <tableColumn id="13353" xr3:uid="{43A141B6-90E6-402C-B845-092B78614207}" name="Column13346"/>
    <tableColumn id="13354" xr3:uid="{CC30B886-9BBB-462D-8426-83C5400CBEF7}" name="Column13347"/>
    <tableColumn id="13355" xr3:uid="{D8A20B05-FD15-47C2-A570-23AC278B56B0}" name="Column13348"/>
    <tableColumn id="13356" xr3:uid="{48A45EAE-BCB3-4256-A68F-AE00752ECDE9}" name="Column13349"/>
    <tableColumn id="13357" xr3:uid="{A19FE06C-3348-46C4-8963-0F71E5A7825D}" name="Column13350"/>
    <tableColumn id="13358" xr3:uid="{34B3EFD1-8D57-45FD-A3A8-67CCA8E04CDA}" name="Column13351"/>
    <tableColumn id="13359" xr3:uid="{0FC83375-AC90-4E12-8230-7EEDC9D649D3}" name="Column13352"/>
    <tableColumn id="13360" xr3:uid="{6708752F-A203-4C65-B722-645BE606BAA7}" name="Column13353"/>
    <tableColumn id="13361" xr3:uid="{B64CF298-2CB4-4EAD-B026-04EC390978CE}" name="Column13354"/>
    <tableColumn id="13362" xr3:uid="{8523A40B-72AF-410B-ADCA-528F270700FB}" name="Column13355"/>
    <tableColumn id="13363" xr3:uid="{7FE6BCEF-FAD9-47CA-BC6C-8DB8950B774D}" name="Column13356"/>
    <tableColumn id="13364" xr3:uid="{6CB09A65-90F9-430C-8C3B-257EB0FA94B6}" name="Column13357"/>
    <tableColumn id="13365" xr3:uid="{A2B6CD9D-50DD-44F6-9102-339BE298E48B}" name="Column13358"/>
    <tableColumn id="13366" xr3:uid="{9383045C-5754-487C-B886-A1CEA0133861}" name="Column13359"/>
    <tableColumn id="13367" xr3:uid="{26936348-C6BF-4F01-AA44-635A194A483A}" name="Column13360"/>
    <tableColumn id="13368" xr3:uid="{8CA013EA-084A-47DC-A303-3DF106A6A100}" name="Column13361"/>
    <tableColumn id="13369" xr3:uid="{2746CF6C-5D55-4FA0-888C-BBD2E54DC3E7}" name="Column13362"/>
    <tableColumn id="13370" xr3:uid="{6B8C3981-4907-462F-92DF-B92CF6F78667}" name="Column13363"/>
    <tableColumn id="13371" xr3:uid="{E4BE2F3E-B8F2-4BD8-99A2-509F55784375}" name="Column13364"/>
    <tableColumn id="13372" xr3:uid="{49ED9D1B-C3B5-4E6F-AEC0-5510B952DE04}" name="Column13365"/>
    <tableColumn id="13373" xr3:uid="{0806C4AE-FC21-423A-B587-A2E026B416C0}" name="Column13366"/>
    <tableColumn id="13374" xr3:uid="{E9CD37A8-E12D-4F91-8A96-6C66ED532756}" name="Column13367"/>
    <tableColumn id="13375" xr3:uid="{5E1108AD-178D-4C00-AD34-5FDA0B47BE5A}" name="Column13368"/>
    <tableColumn id="13376" xr3:uid="{A36B80A4-9376-4705-8AD9-D1E38491DD4C}" name="Column13369"/>
    <tableColumn id="13377" xr3:uid="{BC4FBCB2-1B52-4D87-A983-53D27694EDEF}" name="Column13370"/>
    <tableColumn id="13378" xr3:uid="{822D451B-FE3D-48C1-BA5D-2DD4944D904F}" name="Column13371"/>
    <tableColumn id="13379" xr3:uid="{3469FFD7-36EA-47CD-BC8F-1C05C36FF19A}" name="Column13372"/>
    <tableColumn id="13380" xr3:uid="{D77C433D-A0A4-44D2-B783-7812F15F839A}" name="Column13373"/>
    <tableColumn id="13381" xr3:uid="{F153E10C-3F6F-4EC1-A316-92D4457F0C78}" name="Column13374"/>
    <tableColumn id="13382" xr3:uid="{4BFC747C-2D06-44DA-9670-737C09EECBA0}" name="Column13375"/>
    <tableColumn id="13383" xr3:uid="{34C18D89-E361-4FCE-B96E-4AD240AAED05}" name="Column13376"/>
    <tableColumn id="13384" xr3:uid="{8F1CC133-A28B-44C7-8E8E-0572F1407DF6}" name="Column13377"/>
    <tableColumn id="13385" xr3:uid="{4FC62548-7C55-4682-83CF-25EEEA77E312}" name="Column13378"/>
    <tableColumn id="13386" xr3:uid="{4383659E-94AC-47CE-8C7F-6AF129ED36CA}" name="Column13379"/>
    <tableColumn id="13387" xr3:uid="{D5AD8F1B-D12E-4760-A236-AE659F8A5DF1}" name="Column13380"/>
    <tableColumn id="13388" xr3:uid="{DDEDC8D7-BDF1-4A09-B16F-7AC6EEE96350}" name="Column13381"/>
    <tableColumn id="13389" xr3:uid="{991A5D88-E6F7-4D0F-80A1-64B5CF80F245}" name="Column13382"/>
    <tableColumn id="13390" xr3:uid="{8CED67D4-7C9E-4AF2-8D97-A7CB4BCD42F7}" name="Column13383"/>
    <tableColumn id="13391" xr3:uid="{2C46A62E-C2A3-4743-A388-667DCE523E0D}" name="Column13384"/>
    <tableColumn id="13392" xr3:uid="{8E45ECDD-6239-4A68-93DC-846672E8EC18}" name="Column13385"/>
    <tableColumn id="13393" xr3:uid="{70F81D2F-3055-4647-B9A2-EE64C3EC3054}" name="Column13386"/>
    <tableColumn id="13394" xr3:uid="{5DC2D760-D605-424E-BAF5-F6DC5B67A49A}" name="Column13387"/>
    <tableColumn id="13395" xr3:uid="{814A86EC-F067-4338-B1A3-18B1CC964E76}" name="Column13388"/>
    <tableColumn id="13396" xr3:uid="{75E0CFFE-D04E-4E30-8EB3-F11DED4F51BE}" name="Column13389"/>
    <tableColumn id="13397" xr3:uid="{C79E55F6-5E7A-4E7D-A364-406B811B791F}" name="Column13390"/>
    <tableColumn id="13398" xr3:uid="{68511642-3E01-47CA-814B-2A4E2E8A0255}" name="Column13391"/>
    <tableColumn id="13399" xr3:uid="{AE8F510B-12C3-4D74-A879-07AAA8732A7D}" name="Column13392"/>
    <tableColumn id="13400" xr3:uid="{853284D9-1669-47B6-B37E-7A6631B91C38}" name="Column13393"/>
    <tableColumn id="13401" xr3:uid="{3E5A9F18-B619-44F8-AC04-B8C206696659}" name="Column13394"/>
    <tableColumn id="13402" xr3:uid="{4F166F00-5582-4EDE-B8DF-0AF9CC5D3836}" name="Column13395"/>
    <tableColumn id="13403" xr3:uid="{75D76244-240C-4153-963C-64DA749708C9}" name="Column13396"/>
    <tableColumn id="13404" xr3:uid="{BDA0F998-82C7-470B-B8A5-CB9503077E10}" name="Column13397"/>
    <tableColumn id="13405" xr3:uid="{AF74B6BB-0DB6-4052-A210-573ECA45141E}" name="Column13398"/>
    <tableColumn id="13406" xr3:uid="{0151865A-2DB7-4174-B6CA-DB45DC5929EF}" name="Column13399"/>
    <tableColumn id="13407" xr3:uid="{5AA431DF-A653-4FF4-826B-441B8EEA30C1}" name="Column13400"/>
    <tableColumn id="13408" xr3:uid="{B7AC7FCC-9B2A-4BFA-9B65-34B6CD70E748}" name="Column13401"/>
    <tableColumn id="13409" xr3:uid="{F811126E-1E49-4C36-88C6-4801CA1B4D70}" name="Column13402"/>
    <tableColumn id="13410" xr3:uid="{46A41221-FF7E-42F2-B5E9-581E7D961804}" name="Column13403"/>
    <tableColumn id="13411" xr3:uid="{BC126B49-D346-47CE-82E1-893ABF98C68B}" name="Column13404"/>
    <tableColumn id="13412" xr3:uid="{26CB8975-29AB-41C1-90C7-97A905A95F64}" name="Column13405"/>
    <tableColumn id="13413" xr3:uid="{8E43EAEA-C11B-41EF-BF6B-A2E7ED6CA635}" name="Column13406"/>
    <tableColumn id="13414" xr3:uid="{BD877499-3984-4BCF-ABFB-535BE3117229}" name="Column13407"/>
    <tableColumn id="13415" xr3:uid="{3ECC0783-9311-4171-8953-0E12D2065DA9}" name="Column13408"/>
    <tableColumn id="13416" xr3:uid="{9B0E0E3E-834E-442A-BD3F-3791152F50E0}" name="Column13409"/>
    <tableColumn id="13417" xr3:uid="{B0ACDC0E-F70C-4256-96A6-AE937E01F7E2}" name="Column13410"/>
    <tableColumn id="13418" xr3:uid="{137129D7-B7AE-4F81-A862-21A6F95D3E82}" name="Column13411"/>
    <tableColumn id="13419" xr3:uid="{F32C6F9D-A9D8-4B26-8A1A-D2AE4CEBCBB7}" name="Column13412"/>
    <tableColumn id="13420" xr3:uid="{9937D4A1-2BE0-4EB9-880C-0C597186FD0F}" name="Column13413"/>
    <tableColumn id="13421" xr3:uid="{5A482125-6021-44D6-91D0-3E0380164B1A}" name="Column13414"/>
    <tableColumn id="13422" xr3:uid="{E5BEBD01-883A-4D80-A05D-68F4B315A10C}" name="Column13415"/>
    <tableColumn id="13423" xr3:uid="{F41C6A99-B44C-4EF3-B141-92118E15BED2}" name="Column13416"/>
    <tableColumn id="13424" xr3:uid="{72327889-9123-44A6-908E-A0E9558531E9}" name="Column13417"/>
    <tableColumn id="13425" xr3:uid="{505008F4-684B-42E6-A015-01DDD9DC651A}" name="Column13418"/>
    <tableColumn id="13426" xr3:uid="{87AD68C3-90B0-4877-B522-7BBD8BCA881F}" name="Column13419"/>
    <tableColumn id="13427" xr3:uid="{D9156513-89D0-4D3E-8147-C95F15606B15}" name="Column13420"/>
    <tableColumn id="13428" xr3:uid="{C16CBA7D-7630-493D-93F3-3AE8822826C0}" name="Column13421"/>
    <tableColumn id="13429" xr3:uid="{FE36C06A-3CDE-4EEC-B294-FE4F21D8B199}" name="Column13422"/>
    <tableColumn id="13430" xr3:uid="{F9AF0580-9604-4771-A011-0E4C9DD65467}" name="Column13423"/>
    <tableColumn id="13431" xr3:uid="{5F9C39F7-90CB-4545-8C82-7523176F2A42}" name="Column13424"/>
    <tableColumn id="13432" xr3:uid="{508BED9C-0261-4200-B037-5060E8E6D1FE}" name="Column13425"/>
    <tableColumn id="13433" xr3:uid="{FEC24062-9C51-47BA-9618-FB0FB4D5458C}" name="Column13426"/>
    <tableColumn id="13434" xr3:uid="{C9365221-F86A-40DB-9BC3-72872AE3F1F6}" name="Column13427"/>
    <tableColumn id="13435" xr3:uid="{17D821C5-86A2-40AF-BA4D-7298DF5D0277}" name="Column13428"/>
    <tableColumn id="13436" xr3:uid="{F8DFADD2-F634-4936-A838-82CD80228962}" name="Column13429"/>
    <tableColumn id="13437" xr3:uid="{BB8AAD2C-D211-47B3-A661-69A9B3DF022F}" name="Column13430"/>
    <tableColumn id="13438" xr3:uid="{F882F775-4BB9-4244-BEDB-0EC3CDE1FDEA}" name="Column13431"/>
    <tableColumn id="13439" xr3:uid="{AA8DD4FA-76E4-477F-8131-FC70BFF72BBA}" name="Column13432"/>
    <tableColumn id="13440" xr3:uid="{5BBA8A30-5049-43D5-87D2-85ED94468E2C}" name="Column13433"/>
    <tableColumn id="13441" xr3:uid="{4B340F3B-3FA0-4603-8675-69108B67B92B}" name="Column13434"/>
    <tableColumn id="13442" xr3:uid="{E5CCF7C8-9ECC-4698-A593-3EE722244F27}" name="Column13435"/>
    <tableColumn id="13443" xr3:uid="{C16982B0-A7F9-4CF5-8899-514D67CCA28E}" name="Column13436"/>
    <tableColumn id="13444" xr3:uid="{959838E9-D7DC-41E8-A368-6ED0F4DDD651}" name="Column13437"/>
    <tableColumn id="13445" xr3:uid="{2E31EDB2-E6BF-48BE-9248-D23EF5FFFBB5}" name="Column13438"/>
    <tableColumn id="13446" xr3:uid="{885DCDDF-7C3D-485E-AAF7-9CA915D819C8}" name="Column13439"/>
    <tableColumn id="13447" xr3:uid="{B0EDC591-B797-49A7-A55E-64A74691D641}" name="Column13440"/>
    <tableColumn id="13448" xr3:uid="{DCD58EA2-ADE7-472A-A699-FF5ED07B6DAD}" name="Column13441"/>
    <tableColumn id="13449" xr3:uid="{DA461C1D-6D30-4D24-ADA0-879C9F0AFC87}" name="Column13442"/>
    <tableColumn id="13450" xr3:uid="{243A9B4A-0138-419E-B4C8-D75642D10EDF}" name="Column13443"/>
    <tableColumn id="13451" xr3:uid="{72610AE0-605B-48A0-8102-FCFF8A9C0EDD}" name="Column13444"/>
    <tableColumn id="13452" xr3:uid="{DEF35723-DE27-4BF6-B72A-439513644471}" name="Column13445"/>
    <tableColumn id="13453" xr3:uid="{A6B8006C-98B8-47E1-A840-AAB0B528F4AC}" name="Column13446"/>
    <tableColumn id="13454" xr3:uid="{B5D9D776-78D4-4736-ABEA-1B2E32F93474}" name="Column13447"/>
    <tableColumn id="13455" xr3:uid="{FB33D212-2D15-4834-8793-0215909A885C}" name="Column13448"/>
    <tableColumn id="13456" xr3:uid="{76EE7086-BFBA-4F83-A5CC-F1EFCFD155E4}" name="Column13449"/>
    <tableColumn id="13457" xr3:uid="{40814431-A731-47FC-AC23-70CD21C10225}" name="Column13450"/>
    <tableColumn id="13458" xr3:uid="{A0B6E762-043F-40E6-B1F8-1BA895BC8DEE}" name="Column13451"/>
    <tableColumn id="13459" xr3:uid="{FF5293B6-58E7-431B-A6A3-3E53A942A57F}" name="Column13452"/>
    <tableColumn id="13460" xr3:uid="{1BFDC897-5C94-4F39-928B-8D4EF616D335}" name="Column13453"/>
    <tableColumn id="13461" xr3:uid="{CDF7AF2B-5FE8-4B00-BB75-2D7D975F1197}" name="Column13454"/>
    <tableColumn id="13462" xr3:uid="{C106713C-6446-4446-9DE1-A9C609AF831A}" name="Column13455"/>
    <tableColumn id="13463" xr3:uid="{C90ECDA1-C92B-4F93-AFF7-2EAC84C7EBD1}" name="Column13456"/>
    <tableColumn id="13464" xr3:uid="{21965D74-CED9-4B57-9B05-2B47C1D24381}" name="Column13457"/>
    <tableColumn id="13465" xr3:uid="{40B1A981-A6EA-4905-A101-4A25FE84B0CD}" name="Column13458"/>
    <tableColumn id="13466" xr3:uid="{78DB9B01-DF0D-4BC6-9FB2-88E09F06DE0C}" name="Column13459"/>
    <tableColumn id="13467" xr3:uid="{DB446FAD-481B-4C6D-BFC2-D72908874952}" name="Column13460"/>
    <tableColumn id="13468" xr3:uid="{E8DA30AB-3F3A-41FA-9F4F-DDD85FC472CA}" name="Column13461"/>
    <tableColumn id="13469" xr3:uid="{B80BFB19-F040-4A0D-AAA9-EE0E06A518D1}" name="Column13462"/>
    <tableColumn id="13470" xr3:uid="{1740B8C0-F1EE-4A87-96FE-5E1F152C3512}" name="Column13463"/>
    <tableColumn id="13471" xr3:uid="{C1C6109C-B50D-479C-99AC-E957CF7882D7}" name="Column13464"/>
    <tableColumn id="13472" xr3:uid="{E5096579-91D7-4DA1-8329-536850F99CBA}" name="Column13465"/>
    <tableColumn id="13473" xr3:uid="{3C232EC0-49E6-4EAB-AAD8-53D8A7D05C9E}" name="Column13466"/>
    <tableColumn id="13474" xr3:uid="{03075AEF-25A6-49C1-88A1-9F144414CF08}" name="Column13467"/>
    <tableColumn id="13475" xr3:uid="{E6991620-F394-40FB-B34A-09E4C977C523}" name="Column13468"/>
    <tableColumn id="13476" xr3:uid="{04C6CA21-2A80-423C-8D26-0E72D9095EBD}" name="Column13469"/>
    <tableColumn id="13477" xr3:uid="{BDC1F52F-C9EB-49C2-8D65-46826FDD5489}" name="Column13470"/>
    <tableColumn id="13478" xr3:uid="{AA3E0A2B-CB93-48A4-9B30-9B49B4D63924}" name="Column13471"/>
    <tableColumn id="13479" xr3:uid="{116F5800-011B-4601-B5F9-D18F3DC677B1}" name="Column13472"/>
    <tableColumn id="13480" xr3:uid="{7E58A12E-1A4C-4D4B-8491-C4821BCD4348}" name="Column13473"/>
    <tableColumn id="13481" xr3:uid="{604EEC5F-2645-47C2-98C0-6EAD51486F3F}" name="Column13474"/>
    <tableColumn id="13482" xr3:uid="{2BDF8B14-DCB6-4E8F-B985-B02D88C93057}" name="Column13475"/>
    <tableColumn id="13483" xr3:uid="{28363118-E081-4921-A0F9-C815A609F71C}" name="Column13476"/>
    <tableColumn id="13484" xr3:uid="{BEE17BA0-ABBA-4527-84B0-5B816C591E26}" name="Column13477"/>
    <tableColumn id="13485" xr3:uid="{889638E9-4CCF-48DF-B005-826842B5AF15}" name="Column13478"/>
    <tableColumn id="13486" xr3:uid="{C2F65E61-0F48-4D67-AA61-13EC79DFC3F6}" name="Column13479"/>
    <tableColumn id="13487" xr3:uid="{F5AC7C23-3458-473E-9C45-0B12D24C9EEA}" name="Column13480"/>
    <tableColumn id="13488" xr3:uid="{5529D0FC-CF8A-4D52-8259-2E018DBB4563}" name="Column13481"/>
    <tableColumn id="13489" xr3:uid="{DDF2B725-99A7-43E5-8318-309EE6DA88E5}" name="Column13482"/>
    <tableColumn id="13490" xr3:uid="{A62F5832-19E0-4B58-95BE-9F76CA9335C1}" name="Column13483"/>
    <tableColumn id="13491" xr3:uid="{3E7BB8C7-D59C-433F-874C-DD73685637D5}" name="Column13484"/>
    <tableColumn id="13492" xr3:uid="{A611FF6C-BAB4-45EB-B2CC-D4DCEDAF0EBF}" name="Column13485"/>
    <tableColumn id="13493" xr3:uid="{307BA8C6-F471-4379-89CD-AC43DE8BE3CD}" name="Column13486"/>
    <tableColumn id="13494" xr3:uid="{7D2A8A18-6E5E-485D-B262-4F31FC5FC68E}" name="Column13487"/>
    <tableColumn id="13495" xr3:uid="{BF51B5DE-AC4E-461F-8017-89C370217D93}" name="Column13488"/>
    <tableColumn id="13496" xr3:uid="{C586B621-8B0E-4A89-8936-6EFD30D12BAF}" name="Column13489"/>
    <tableColumn id="13497" xr3:uid="{F161D7D0-A0CC-4A66-8424-B2A0908BCC3A}" name="Column13490"/>
    <tableColumn id="13498" xr3:uid="{174BCCDE-ABDC-4760-98B2-2547FF6ADF93}" name="Column13491"/>
    <tableColumn id="13499" xr3:uid="{46F8B3CF-3D7F-4499-A708-855FB7912FFB}" name="Column13492"/>
    <tableColumn id="13500" xr3:uid="{83A32994-AB7C-4B07-BFD8-8AD1DF4BF3EF}" name="Column13493"/>
    <tableColumn id="13501" xr3:uid="{EEC825EA-EDC4-4E56-A602-23D8C9ABE086}" name="Column13494"/>
    <tableColumn id="13502" xr3:uid="{44791DAC-3698-459F-B442-B80F8E83A39F}" name="Column13495"/>
    <tableColumn id="13503" xr3:uid="{AB8CD0A9-9EDE-410E-A32C-02D89C3415EF}" name="Column13496"/>
    <tableColumn id="13504" xr3:uid="{D8362A57-C1FB-40C9-8D1B-AC65D39DD2BA}" name="Column13497"/>
    <tableColumn id="13505" xr3:uid="{B43731D4-9567-4D5F-9C21-C9BA44C8F224}" name="Column13498"/>
    <tableColumn id="13506" xr3:uid="{A83D2EA1-64BE-44A7-8CA4-A0EA1F5EB196}" name="Column13499"/>
    <tableColumn id="13507" xr3:uid="{F3CB831D-8366-4838-982A-A4F904353BB3}" name="Column13500"/>
    <tableColumn id="13508" xr3:uid="{7AA16468-8CD7-4E1F-9D09-F2DE78DD789C}" name="Column13501"/>
    <tableColumn id="13509" xr3:uid="{7F5838F7-2E35-4A55-BD18-F9506386D237}" name="Column13502"/>
    <tableColumn id="13510" xr3:uid="{285CC92C-69FA-444F-B1AB-761B0C6B9E70}" name="Column13503"/>
    <tableColumn id="13511" xr3:uid="{D8B2BB57-B3C1-4346-ABAD-2D855DB3C461}" name="Column13504"/>
    <tableColumn id="13512" xr3:uid="{778F320F-0185-4B9C-A946-96BE8261971D}" name="Column13505"/>
    <tableColumn id="13513" xr3:uid="{682DAAB2-D6C0-4517-A10D-1EB4F5B7E965}" name="Column13506"/>
    <tableColumn id="13514" xr3:uid="{DD5ECE4A-9E59-473A-81F1-0A879BE2D89C}" name="Column13507"/>
    <tableColumn id="13515" xr3:uid="{3A2C709F-01FA-4AE3-81CF-1A3979F68CB9}" name="Column13508"/>
    <tableColumn id="13516" xr3:uid="{ABC49FBB-A18C-4EDF-A054-024D90A3EC7E}" name="Column13509"/>
    <tableColumn id="13517" xr3:uid="{A926644F-D5B0-4CB3-8BA6-A3DA4137BAC0}" name="Column13510"/>
    <tableColumn id="13518" xr3:uid="{25DB6B34-E7D6-4961-9881-5CF2A1B0151D}" name="Column13511"/>
    <tableColumn id="13519" xr3:uid="{F5672915-3C0E-430E-A926-1CCFDE4B0723}" name="Column13512"/>
    <tableColumn id="13520" xr3:uid="{731684F5-4B28-4F9D-B6A4-2892B4F9619B}" name="Column13513"/>
    <tableColumn id="13521" xr3:uid="{1DB1E177-02A3-4A44-ACEB-4E995A7F5D80}" name="Column13514"/>
    <tableColumn id="13522" xr3:uid="{79A85083-96EB-4317-99B2-3611078052AC}" name="Column13515"/>
    <tableColumn id="13523" xr3:uid="{BC96390F-9B7A-4178-84AB-BE7AD03F1843}" name="Column13516"/>
    <tableColumn id="13524" xr3:uid="{95CCFBA7-458C-4188-BA58-AAD5AD3EE47C}" name="Column13517"/>
    <tableColumn id="13525" xr3:uid="{C77CF3A5-1ECD-4341-9EDB-819E6E839796}" name="Column13518"/>
    <tableColumn id="13526" xr3:uid="{82D83BF0-7843-4754-B396-C0986A882A33}" name="Column13519"/>
    <tableColumn id="13527" xr3:uid="{D4FA25A8-43F7-4D30-8381-CED58348378B}" name="Column13520"/>
    <tableColumn id="13528" xr3:uid="{B6883921-4AF7-4562-9C24-DF36DB3ECE52}" name="Column13521"/>
    <tableColumn id="13529" xr3:uid="{21BFF021-68B3-4B31-B852-00C582C8C952}" name="Column13522"/>
    <tableColumn id="13530" xr3:uid="{BA2D3567-13FB-4E51-85FC-14058765D347}" name="Column13523"/>
    <tableColumn id="13531" xr3:uid="{4CE62DE1-3FCD-4EAC-8773-CF1E81A79F06}" name="Column13524"/>
    <tableColumn id="13532" xr3:uid="{845E64B9-B500-4CDE-B795-1732B6CCC8EA}" name="Column13525"/>
    <tableColumn id="13533" xr3:uid="{78577001-F1A4-4E6B-AFF8-F49309D1CBC5}" name="Column13526"/>
    <tableColumn id="13534" xr3:uid="{43D9AD04-1C5D-45D1-81BB-FCC64AF30A1E}" name="Column13527"/>
    <tableColumn id="13535" xr3:uid="{60AA2113-78FD-4FCB-BF82-FF84B3ABECB1}" name="Column13528"/>
    <tableColumn id="13536" xr3:uid="{0D1E212E-7A34-4173-B643-8067035E71E8}" name="Column13529"/>
    <tableColumn id="13537" xr3:uid="{24B9E9CD-9C4D-4BED-85C7-F94D72252F38}" name="Column13530"/>
    <tableColumn id="13538" xr3:uid="{FF6AEFC4-1212-453F-831E-21F90DE04F07}" name="Column13531"/>
    <tableColumn id="13539" xr3:uid="{E0F24E4B-99FA-4554-A687-3463710FCEED}" name="Column13532"/>
    <tableColumn id="13540" xr3:uid="{6CA9F5AB-C829-4B07-B599-639771898743}" name="Column13533"/>
    <tableColumn id="13541" xr3:uid="{B489E210-DD2B-4014-A912-BF478130A417}" name="Column13534"/>
    <tableColumn id="13542" xr3:uid="{5FF31D69-1D7D-44E3-96F8-4C22564A47B2}" name="Column13535"/>
    <tableColumn id="13543" xr3:uid="{0390F467-9568-4C5A-B58E-AF85F98E0F4E}" name="Column13536"/>
    <tableColumn id="13544" xr3:uid="{A0B4DC23-F457-46F6-8FDB-3B932ADFDF21}" name="Column13537"/>
    <tableColumn id="13545" xr3:uid="{59FAB993-BDF3-46DC-A4BB-FAA0360F3527}" name="Column13538"/>
    <tableColumn id="13546" xr3:uid="{35CE9B55-0320-4624-891B-5D1BB03332E7}" name="Column13539"/>
    <tableColumn id="13547" xr3:uid="{3F218E6F-F106-4524-8AD2-099BA961CAD8}" name="Column13540"/>
    <tableColumn id="13548" xr3:uid="{EB80EC7F-BBD9-43D9-B82E-2D258543A5D8}" name="Column13541"/>
    <tableColumn id="13549" xr3:uid="{51D7AD40-F80D-4B91-8461-EBE7C392D8DB}" name="Column13542"/>
    <tableColumn id="13550" xr3:uid="{D363164A-A12A-4FF7-856F-CDDA9BF7FA67}" name="Column13543"/>
    <tableColumn id="13551" xr3:uid="{81C02332-D91B-48B2-B752-A1ACBF377FE2}" name="Column13544"/>
    <tableColumn id="13552" xr3:uid="{F884851A-BF79-4A2D-8262-60785CC13C36}" name="Column13545"/>
    <tableColumn id="13553" xr3:uid="{48C07F2D-7747-46AB-BDF2-A102E7BA9912}" name="Column13546"/>
    <tableColumn id="13554" xr3:uid="{C276859A-5FD6-42D6-A294-42C45FA7405A}" name="Column13547"/>
    <tableColumn id="13555" xr3:uid="{D532687B-F101-4CC9-9FA3-A67116BDAD02}" name="Column13548"/>
    <tableColumn id="13556" xr3:uid="{D3E52D0A-8123-4806-A47B-E1C1AE5A05C8}" name="Column13549"/>
    <tableColumn id="13557" xr3:uid="{EBC6CB95-15D1-4407-A853-B431079D2038}" name="Column13550"/>
    <tableColumn id="13558" xr3:uid="{743522FE-3924-4A2D-B75D-205EC4DE5B0D}" name="Column13551"/>
    <tableColumn id="13559" xr3:uid="{B11B27B5-DACD-439B-84DC-9F93116EB85D}" name="Column13552"/>
    <tableColumn id="13560" xr3:uid="{102AC9A3-5F2C-4F96-B7C5-281EC999B4B7}" name="Column13553"/>
    <tableColumn id="13561" xr3:uid="{F5F10875-6E57-40D7-A9E0-B78E5AE19515}" name="Column13554"/>
    <tableColumn id="13562" xr3:uid="{71762308-0836-4AE3-9C5F-45BA97A23389}" name="Column13555"/>
    <tableColumn id="13563" xr3:uid="{75DEF2E1-C931-48A9-A4A5-87A81D36F0D2}" name="Column13556"/>
    <tableColumn id="13564" xr3:uid="{90CF7560-9A0F-4150-B5FF-2B04CC3D25F5}" name="Column13557"/>
    <tableColumn id="13565" xr3:uid="{56B2A2DC-C285-47C4-A6C4-07651E4608A0}" name="Column13558"/>
    <tableColumn id="13566" xr3:uid="{BCD2928A-C4C5-46E5-9BCE-FD1290140648}" name="Column13559"/>
    <tableColumn id="13567" xr3:uid="{94FC95C6-C964-45BA-B792-D83B59AB2D10}" name="Column13560"/>
    <tableColumn id="13568" xr3:uid="{2B89A3E7-409A-4C95-8F6A-D9893125A5D6}" name="Column13561"/>
    <tableColumn id="13569" xr3:uid="{20BBD48C-4F81-43AD-9D6A-881223200A7F}" name="Column13562"/>
    <tableColumn id="13570" xr3:uid="{9E3F9331-C9F9-4AFF-B725-0A7C82965BDD}" name="Column13563"/>
    <tableColumn id="13571" xr3:uid="{63346E3D-EBDF-4BCF-A608-E5197B26709B}" name="Column13564"/>
    <tableColumn id="13572" xr3:uid="{441669B8-1C67-444E-A8A8-1890B90D64EF}" name="Column13565"/>
    <tableColumn id="13573" xr3:uid="{DD9A16D7-BFE1-4415-AC20-6AD91EC50784}" name="Column13566"/>
    <tableColumn id="13574" xr3:uid="{D47BD69D-6E26-447C-BCA3-0CD30B26FEF6}" name="Column13567"/>
    <tableColumn id="13575" xr3:uid="{C3788576-08A2-45EE-86F9-2AF504E2E0D1}" name="Column13568"/>
    <tableColumn id="13576" xr3:uid="{B7E2EB04-79A6-4CFC-B43E-81A6AB9E0E5E}" name="Column13569"/>
    <tableColumn id="13577" xr3:uid="{A054E7B1-2C16-4551-BAC4-8F7255EA6B18}" name="Column13570"/>
    <tableColumn id="13578" xr3:uid="{3C8B5D4B-C049-419A-B814-4BE737FC6B92}" name="Column13571"/>
    <tableColumn id="13579" xr3:uid="{402116BC-5C9D-4A4F-A257-AFBE3B558250}" name="Column13572"/>
    <tableColumn id="13580" xr3:uid="{075E323C-691B-4483-B011-4B9224609A8B}" name="Column13573"/>
    <tableColumn id="13581" xr3:uid="{ED9CA53D-734E-4C5B-8A1A-FA45076F8E08}" name="Column13574"/>
    <tableColumn id="13582" xr3:uid="{C844EAAC-C290-4BA0-8BA0-346D936A396E}" name="Column13575"/>
    <tableColumn id="13583" xr3:uid="{50A29541-803B-4FDD-A811-A0F63E67C400}" name="Column13576"/>
    <tableColumn id="13584" xr3:uid="{3D2EA496-1634-4CF8-AADF-3609E8C08979}" name="Column13577"/>
    <tableColumn id="13585" xr3:uid="{9EBE1A5B-994E-4271-A7E3-59CCE7460CFC}" name="Column13578"/>
    <tableColumn id="13586" xr3:uid="{6CC421CB-9BEB-4B60-BEA4-D2CE4ABDAF15}" name="Column13579"/>
    <tableColumn id="13587" xr3:uid="{96BA0439-D89F-4407-BBEA-4C06A192E637}" name="Column13580"/>
    <tableColumn id="13588" xr3:uid="{1AD53581-6D59-44A2-BD67-83515DE584D0}" name="Column13581"/>
    <tableColumn id="13589" xr3:uid="{3EE04435-7711-426D-90AD-8DE919622E6A}" name="Column13582"/>
    <tableColumn id="13590" xr3:uid="{E58165B2-4E4D-4A57-9F55-02CFF62905B5}" name="Column13583"/>
    <tableColumn id="13591" xr3:uid="{83914595-4513-44DE-B622-5F91C37DC327}" name="Column13584"/>
    <tableColumn id="13592" xr3:uid="{1EC01FE0-3EC7-4A16-BC44-CBD515A121F4}" name="Column13585"/>
    <tableColumn id="13593" xr3:uid="{7CBAC346-27F6-48A7-BD5D-1092DA78B192}" name="Column13586"/>
    <tableColumn id="13594" xr3:uid="{E5FFA32F-5661-48BA-AECE-C930746C850F}" name="Column13587"/>
    <tableColumn id="13595" xr3:uid="{99A61FE3-CA2B-4594-921A-871E3FC707BE}" name="Column13588"/>
    <tableColumn id="13596" xr3:uid="{A61939E0-53AE-461D-B490-C82B9790CD8F}" name="Column13589"/>
    <tableColumn id="13597" xr3:uid="{A50ABB28-57E1-42B2-89B0-25146DB0DDD7}" name="Column13590"/>
    <tableColumn id="13598" xr3:uid="{DE7C5DCE-E307-479F-AA13-8D2F245B74B2}" name="Column13591"/>
    <tableColumn id="13599" xr3:uid="{36C42EC0-26FC-42B7-82D9-E24D18EEF5BE}" name="Column13592"/>
    <tableColumn id="13600" xr3:uid="{5C6AB7FE-591C-4981-9907-5BD703ACDCA7}" name="Column13593"/>
    <tableColumn id="13601" xr3:uid="{B30BE7F8-5805-42C4-8958-9473C382B973}" name="Column13594"/>
    <tableColumn id="13602" xr3:uid="{95D9DB14-8B55-4FAF-8585-EA0517FDFFE9}" name="Column13595"/>
    <tableColumn id="13603" xr3:uid="{16A7748F-924F-49CE-B3F8-8199BE8779E2}" name="Column13596"/>
    <tableColumn id="13604" xr3:uid="{3DD6FD0E-6634-458B-AF3C-8E3F7BFDBD13}" name="Column13597"/>
    <tableColumn id="13605" xr3:uid="{4CB25BBA-ADF1-488D-B57C-9C78C86ADFBF}" name="Column13598"/>
    <tableColumn id="13606" xr3:uid="{029D1033-7B48-4493-B81A-B8D864B45AA1}" name="Column13599"/>
    <tableColumn id="13607" xr3:uid="{A4BF64F7-ED64-4CE4-B485-721E15F3C6E3}" name="Column13600"/>
    <tableColumn id="13608" xr3:uid="{461AE098-63C2-414A-BC0C-4C41136EDAC5}" name="Column13601"/>
    <tableColumn id="13609" xr3:uid="{D5D5C8C7-8EAB-4BE9-A785-3A83226CC5E7}" name="Column13602"/>
    <tableColumn id="13610" xr3:uid="{669FBA94-048F-435C-BCC3-A3A1F6E3EB7A}" name="Column13603"/>
    <tableColumn id="13611" xr3:uid="{DD5E8904-FE01-415D-88D6-5C4670D77B99}" name="Column13604"/>
    <tableColumn id="13612" xr3:uid="{7AFFA501-4CA2-4B25-8936-E4DEC1530B74}" name="Column13605"/>
    <tableColumn id="13613" xr3:uid="{DF7B0BB6-3825-4758-ABA6-6D89C8371FFD}" name="Column13606"/>
    <tableColumn id="13614" xr3:uid="{48F3DA84-BE0D-4E8E-B85B-FE2E83DE7483}" name="Column13607"/>
    <tableColumn id="13615" xr3:uid="{E48A55C2-95D6-4222-A0FD-2F3C0C022C22}" name="Column13608"/>
    <tableColumn id="13616" xr3:uid="{2A133AFA-2543-45A0-BC0F-FFD45EC515DF}" name="Column13609"/>
    <tableColumn id="13617" xr3:uid="{377A9A46-A900-46B4-B42D-E81B57A133EA}" name="Column13610"/>
    <tableColumn id="13618" xr3:uid="{B6072C98-8542-486E-B44F-A9505BF844D0}" name="Column13611"/>
    <tableColumn id="13619" xr3:uid="{063B5AC4-01BA-4676-9238-958F6563E31A}" name="Column13612"/>
    <tableColumn id="13620" xr3:uid="{8D9FC212-5016-4186-BEEE-AD25E6E7A825}" name="Column13613"/>
    <tableColumn id="13621" xr3:uid="{A8592991-D0AB-46DE-AECE-AC640034A8DC}" name="Column13614"/>
    <tableColumn id="13622" xr3:uid="{B678700B-7E97-4FAA-9ABA-1F61601A1E27}" name="Column13615"/>
    <tableColumn id="13623" xr3:uid="{0A496956-C457-455E-A5A5-22FC101AEF45}" name="Column13616"/>
    <tableColumn id="13624" xr3:uid="{BC287DCD-46B4-4669-87F5-CBE9D007B51A}" name="Column13617"/>
    <tableColumn id="13625" xr3:uid="{26FE0391-1BAF-4178-8C58-3AD16E67589D}" name="Column13618"/>
    <tableColumn id="13626" xr3:uid="{48ECFADB-C3C3-4B2F-9063-91F9A96BC68E}" name="Column13619"/>
    <tableColumn id="13627" xr3:uid="{E9C6940D-71F0-4B43-950B-3587E542AE8D}" name="Column13620"/>
    <tableColumn id="13628" xr3:uid="{49BD6176-A911-4A95-8394-C031C9CB2994}" name="Column13621"/>
    <tableColumn id="13629" xr3:uid="{25068E35-FB4B-4B17-A68A-7E84118D4F3F}" name="Column13622"/>
    <tableColumn id="13630" xr3:uid="{E5962004-E1E3-4A14-885B-7E2A4ABE7DF1}" name="Column13623"/>
    <tableColumn id="13631" xr3:uid="{CB64D769-1133-4D53-BE6C-74F59AECBB60}" name="Column13624"/>
    <tableColumn id="13632" xr3:uid="{18759FF2-9951-44ED-8031-F437334D18A7}" name="Column13625"/>
    <tableColumn id="13633" xr3:uid="{0797668B-D8DC-41FB-B4DA-C2DE7F20F1EB}" name="Column13626"/>
    <tableColumn id="13634" xr3:uid="{3719B073-3100-43EA-92C1-376A5082126D}" name="Column13627"/>
    <tableColumn id="13635" xr3:uid="{D2A9DBF2-F740-4B74-BEC6-33EFDA1AEC60}" name="Column13628"/>
    <tableColumn id="13636" xr3:uid="{D786E556-9928-44BC-80ED-286568BD5800}" name="Column13629"/>
    <tableColumn id="13637" xr3:uid="{4F1BDB00-97B7-4122-BD9D-EE5B6E72AD3E}" name="Column13630"/>
    <tableColumn id="13638" xr3:uid="{16ABDD5B-E370-4895-BEAF-18A68367ED52}" name="Column13631"/>
    <tableColumn id="13639" xr3:uid="{3E89ED7B-0664-4303-A362-924F1222C5C3}" name="Column13632"/>
    <tableColumn id="13640" xr3:uid="{335022C2-AD6D-4819-B808-011D97BE1186}" name="Column13633"/>
    <tableColumn id="13641" xr3:uid="{D0028445-6F1F-4C96-8B73-9EE4F74EA6A9}" name="Column13634"/>
    <tableColumn id="13642" xr3:uid="{69D0F652-E670-42DF-A294-F6CB7306043D}" name="Column13635"/>
    <tableColumn id="13643" xr3:uid="{DFA75B67-37CA-4A6C-BDEB-6DD837BFD320}" name="Column13636"/>
    <tableColumn id="13644" xr3:uid="{62CDD4A3-FF52-435B-9C0D-61F68567EE4F}" name="Column13637"/>
    <tableColumn id="13645" xr3:uid="{755E5D72-3E26-423C-8FF5-3B713BD94C20}" name="Column13638"/>
    <tableColumn id="13646" xr3:uid="{C0D7E5BB-9EE4-405F-AD05-5783428BA414}" name="Column13639"/>
    <tableColumn id="13647" xr3:uid="{3D7519F1-FF26-4122-8647-1633C6CCAD2E}" name="Column13640"/>
    <tableColumn id="13648" xr3:uid="{4DCDBDA4-E657-481F-85D6-D079A84B5995}" name="Column13641"/>
    <tableColumn id="13649" xr3:uid="{3289F248-493A-4A73-9E76-26D9E40C7DBA}" name="Column13642"/>
    <tableColumn id="13650" xr3:uid="{00B3396F-642E-40A2-A5ED-B335D5AB2988}" name="Column13643"/>
    <tableColumn id="13651" xr3:uid="{8D9E1215-CAF4-43B5-A9B0-FF6496246579}" name="Column13644"/>
    <tableColumn id="13652" xr3:uid="{D13E7404-AABE-4943-AE62-15335BFBA819}" name="Column13645"/>
    <tableColumn id="13653" xr3:uid="{92DD5E94-B818-469A-8462-DAED23EE54A6}" name="Column13646"/>
    <tableColumn id="13654" xr3:uid="{E6440EB2-E28D-46AE-9403-B2CA3B4879A9}" name="Column13647"/>
    <tableColumn id="13655" xr3:uid="{32B2EBCA-6988-4FDA-87B5-5925B57C4257}" name="Column13648"/>
    <tableColumn id="13656" xr3:uid="{FFFBD786-EEC7-4CB4-B36C-070CD2A415D4}" name="Column13649"/>
    <tableColumn id="13657" xr3:uid="{41AD391F-DE91-462B-8D19-371FC6A8499C}" name="Column13650"/>
    <tableColumn id="13658" xr3:uid="{C6C783F6-A91B-4E69-A2D2-259CDA7BCD68}" name="Column13651"/>
    <tableColumn id="13659" xr3:uid="{ADBA8695-D470-4745-98C3-57E13DA49CB1}" name="Column13652"/>
    <tableColumn id="13660" xr3:uid="{DAD23F29-CC5C-4DD6-85AB-85C9CD67960E}" name="Column13653"/>
    <tableColumn id="13661" xr3:uid="{7ADD1F23-93E7-4532-A209-691AF05661FD}" name="Column13654"/>
    <tableColumn id="13662" xr3:uid="{D4948C54-D9C7-4D92-92FA-09EEC9B281AD}" name="Column13655"/>
    <tableColumn id="13663" xr3:uid="{79AF6FD0-CDAF-4A2C-9AD8-6CAB2552139B}" name="Column13656"/>
    <tableColumn id="13664" xr3:uid="{CA805036-C447-48F2-AFFC-50159B46D50A}" name="Column13657"/>
    <tableColumn id="13665" xr3:uid="{E5CC449E-9F8A-461A-B44C-CB4C7E3D43C3}" name="Column13658"/>
    <tableColumn id="13666" xr3:uid="{0220A127-D7C6-4F0D-8610-B86A06289793}" name="Column13659"/>
    <tableColumn id="13667" xr3:uid="{7605D9FD-2708-42A7-921E-187E0C10FD11}" name="Column13660"/>
    <tableColumn id="13668" xr3:uid="{693B58AF-95B8-47FF-8499-5471BA61B9DB}" name="Column13661"/>
    <tableColumn id="13669" xr3:uid="{52C01F98-30AC-492F-9DA0-8E38C18B4558}" name="Column13662"/>
    <tableColumn id="13670" xr3:uid="{2EEDEEDD-7EEF-4D84-B315-A70E732B762D}" name="Column13663"/>
    <tableColumn id="13671" xr3:uid="{0630AF9D-6220-48E0-A533-020A688557F2}" name="Column13664"/>
    <tableColumn id="13672" xr3:uid="{B774A342-639A-40F9-823B-A9037CD16564}" name="Column13665"/>
    <tableColumn id="13673" xr3:uid="{631C6FA0-F30A-4B00-85FD-7EB516BED83C}" name="Column13666"/>
    <tableColumn id="13674" xr3:uid="{51A6F470-7AF5-42E9-8EA0-46C5B4D1C04D}" name="Column13667"/>
    <tableColumn id="13675" xr3:uid="{5E1EDD46-1ACC-49C5-9B43-B0BA23D729F8}" name="Column13668"/>
    <tableColumn id="13676" xr3:uid="{F4DF1F3C-8173-480A-AA70-17F6627770AE}" name="Column13669"/>
    <tableColumn id="13677" xr3:uid="{92A2906E-8D3D-4F5F-AB7D-D80AFAB2106C}" name="Column13670"/>
    <tableColumn id="13678" xr3:uid="{19A3DDAE-4E50-484D-A491-AA08AC603417}" name="Column13671"/>
    <tableColumn id="13679" xr3:uid="{155AFC15-02C4-4792-927D-CA774A9EA03B}" name="Column13672"/>
    <tableColumn id="13680" xr3:uid="{32E39C67-8489-437F-B814-CB4389004127}" name="Column13673"/>
    <tableColumn id="13681" xr3:uid="{F9E5C9B0-C243-4E13-8CCC-5DDC37FB88DF}" name="Column13674"/>
    <tableColumn id="13682" xr3:uid="{D8465824-0CCA-408F-B17B-6F4EF764C4EC}" name="Column13675"/>
    <tableColumn id="13683" xr3:uid="{2D466E99-F8C0-457D-90F1-FF141B9CE6AF}" name="Column13676"/>
    <tableColumn id="13684" xr3:uid="{1EC824A5-A5AC-4B41-AD3F-665BEDAC1724}" name="Column13677"/>
    <tableColumn id="13685" xr3:uid="{010D217B-205B-44A7-841C-8F447320AAD9}" name="Column13678"/>
    <tableColumn id="13686" xr3:uid="{B3169F28-4951-4668-B04C-71797F19A5D4}" name="Column13679"/>
    <tableColumn id="13687" xr3:uid="{35BA2DD6-94C3-43FA-BCA0-D82C578F566E}" name="Column13680"/>
    <tableColumn id="13688" xr3:uid="{432AA99F-F4BE-49F5-B3CF-92EBB28FB2FA}" name="Column13681"/>
    <tableColumn id="13689" xr3:uid="{A54A50A3-BBD1-4C20-B288-3146A21DE953}" name="Column13682"/>
    <tableColumn id="13690" xr3:uid="{DCC9A586-6622-444C-AFB0-AEF166EA13D0}" name="Column13683"/>
    <tableColumn id="13691" xr3:uid="{22E61C7E-2887-438D-8E74-DF8C081A68E5}" name="Column13684"/>
    <tableColumn id="13692" xr3:uid="{D015058F-00A8-4CAB-B523-F753DBB030C5}" name="Column13685"/>
    <tableColumn id="13693" xr3:uid="{0A6A46A5-39D3-4655-AD61-142E99DB88F4}" name="Column13686"/>
    <tableColumn id="13694" xr3:uid="{37D7E0E8-E924-414A-98F8-EDA4F583891B}" name="Column13687"/>
    <tableColumn id="13695" xr3:uid="{4BE9013F-B66E-404B-B050-BB04F53A477D}" name="Column13688"/>
    <tableColumn id="13696" xr3:uid="{8CFBD183-64FE-42A9-9FB1-9342E71C1A2F}" name="Column13689"/>
    <tableColumn id="13697" xr3:uid="{AA4899D5-6601-4279-B403-F54ED72E908D}" name="Column13690"/>
    <tableColumn id="13698" xr3:uid="{C360716A-9BAC-41EF-84F1-0CDB2B9A8BD1}" name="Column13691"/>
    <tableColumn id="13699" xr3:uid="{B80C7C57-C1E0-44F4-9CBC-E06035D1EEB9}" name="Column13692"/>
    <tableColumn id="13700" xr3:uid="{B844B91D-F858-4B3F-80ED-C686036206E8}" name="Column13693"/>
    <tableColumn id="13701" xr3:uid="{A11B4C70-F476-478F-BD75-A829C7CB22C6}" name="Column13694"/>
    <tableColumn id="13702" xr3:uid="{34707190-3920-4340-AAB4-A3F189380105}" name="Column13695"/>
    <tableColumn id="13703" xr3:uid="{1648D0BF-296D-4DEA-BCD8-6A3568B269EB}" name="Column13696"/>
    <tableColumn id="13704" xr3:uid="{115F1671-5E50-4297-BF3E-F09907FA318B}" name="Column13697"/>
    <tableColumn id="13705" xr3:uid="{451F6359-B084-4CBB-9562-28F6B60103CE}" name="Column13698"/>
    <tableColumn id="13706" xr3:uid="{E27654E7-6327-4A7D-BB9B-1A57FB4637AD}" name="Column13699"/>
    <tableColumn id="13707" xr3:uid="{27B2185D-088C-427A-97BA-90A20E2DBD5A}" name="Column13700"/>
    <tableColumn id="13708" xr3:uid="{4CD84E78-BE72-4137-86AE-A2A52EA2C72D}" name="Column13701"/>
    <tableColumn id="13709" xr3:uid="{AB0490F1-092F-4187-951F-3DCC0B96D862}" name="Column13702"/>
    <tableColumn id="13710" xr3:uid="{F4A11EC1-FF65-4D11-A77C-E08BFCE9051F}" name="Column13703"/>
    <tableColumn id="13711" xr3:uid="{BACF92E0-F791-4CD3-8BFD-5AEA1D2831C8}" name="Column13704"/>
    <tableColumn id="13712" xr3:uid="{529DEA5B-96A0-473A-9AEA-532493229DCF}" name="Column13705"/>
    <tableColumn id="13713" xr3:uid="{CAFD74BE-9096-4563-BCA4-0FEA31E04E4C}" name="Column13706"/>
    <tableColumn id="13714" xr3:uid="{7C61B06A-9C09-4B55-A4B4-B9164D89A108}" name="Column13707"/>
    <tableColumn id="13715" xr3:uid="{BA809A65-8F55-4CF9-BE2B-3D9158453006}" name="Column13708"/>
    <tableColumn id="13716" xr3:uid="{A0B281C7-3183-4A25-849D-7339DFA0B2CA}" name="Column13709"/>
    <tableColumn id="13717" xr3:uid="{4CE03E22-5105-492B-B000-2AD87B6D2F02}" name="Column13710"/>
    <tableColumn id="13718" xr3:uid="{C2F18AB8-ABF8-430E-A56B-B3F0D8A20F60}" name="Column13711"/>
    <tableColumn id="13719" xr3:uid="{6BEEE90B-FE31-42E5-A641-021100DA3B8D}" name="Column13712"/>
    <tableColumn id="13720" xr3:uid="{5223A9F5-4726-4384-A8CB-E0517C330F9D}" name="Column13713"/>
    <tableColumn id="13721" xr3:uid="{7DF507AD-DB8E-46C0-B481-E41878D0C203}" name="Column13714"/>
    <tableColumn id="13722" xr3:uid="{FDB38AE1-11A3-4BC0-AF4E-B72382792742}" name="Column13715"/>
    <tableColumn id="13723" xr3:uid="{8EF8A2E4-BD55-4BA0-A5A4-A73A92ECEEE0}" name="Column13716"/>
    <tableColumn id="13724" xr3:uid="{84C27A42-5886-4D5D-AB0A-2410B98BF0E9}" name="Column13717"/>
    <tableColumn id="13725" xr3:uid="{E1D58825-A05E-4EA6-A873-F55CAB60CF80}" name="Column13718"/>
    <tableColumn id="13726" xr3:uid="{38013005-CF7A-4318-8EA8-6B71FF77203B}" name="Column13719"/>
    <tableColumn id="13727" xr3:uid="{D080E977-3C58-4657-8557-A838EAAA7A03}" name="Column13720"/>
    <tableColumn id="13728" xr3:uid="{11FB4252-78D2-4BBB-9828-25EEFD372531}" name="Column13721"/>
    <tableColumn id="13729" xr3:uid="{B4D844BD-D346-4CA6-B07E-7E38B54A982F}" name="Column13722"/>
    <tableColumn id="13730" xr3:uid="{0CD6C56B-471E-4FC6-B7C8-DDBB702D4A39}" name="Column13723"/>
    <tableColumn id="13731" xr3:uid="{E71538C6-D9DD-40CA-82A8-1A8F2892ABDF}" name="Column13724"/>
    <tableColumn id="13732" xr3:uid="{3E12C413-7111-46FE-9811-81658C6F3A9F}" name="Column13725"/>
    <tableColumn id="13733" xr3:uid="{D8178058-6F34-47DF-8E66-25BD8FF8286E}" name="Column13726"/>
    <tableColumn id="13734" xr3:uid="{DC0326FB-823B-4C2D-8CDB-460D9BA8982B}" name="Column13727"/>
    <tableColumn id="13735" xr3:uid="{0AD7FF69-4197-4FCE-89CF-8FD4676E6ACD}" name="Column13728"/>
    <tableColumn id="13736" xr3:uid="{F2B709D6-0EEB-43D3-97A7-6BF4859FA26A}" name="Column13729"/>
    <tableColumn id="13737" xr3:uid="{69C1B526-E1EC-49EA-821B-91904BE8F157}" name="Column13730"/>
    <tableColumn id="13738" xr3:uid="{7647D21E-2B40-4A58-8CB6-ABD3EB73E6AE}" name="Column13731"/>
    <tableColumn id="13739" xr3:uid="{3CF81EC4-F036-4D3E-B271-B53C198E7799}" name="Column13732"/>
    <tableColumn id="13740" xr3:uid="{FD8E9B1D-FE19-42FF-A33E-38E86E6DA914}" name="Column13733"/>
    <tableColumn id="13741" xr3:uid="{F9B87A35-8D05-424D-8178-67641770DBA6}" name="Column13734"/>
    <tableColumn id="13742" xr3:uid="{91890F6E-4E86-4B98-B046-3B384DA0828F}" name="Column13735"/>
    <tableColumn id="13743" xr3:uid="{A8BFD513-86C0-4340-A506-F88A454D2178}" name="Column13736"/>
    <tableColumn id="13744" xr3:uid="{4BBB9B30-7BA4-4BA1-B766-4BEDE133F629}" name="Column13737"/>
    <tableColumn id="13745" xr3:uid="{42584091-97E1-4DFB-A8BA-78BA263CE770}" name="Column13738"/>
    <tableColumn id="13746" xr3:uid="{B40ED0D1-DE3C-4871-8C6B-84339ED4E358}" name="Column13739"/>
    <tableColumn id="13747" xr3:uid="{B5AA27E4-B8D5-4A43-BB4C-706D32C74A83}" name="Column13740"/>
    <tableColumn id="13748" xr3:uid="{F6A435D3-88A6-4A28-BA68-085C3A613723}" name="Column13741"/>
    <tableColumn id="13749" xr3:uid="{081B47F5-A240-4CA6-9B0E-A05A94DD5DC4}" name="Column13742"/>
    <tableColumn id="13750" xr3:uid="{F8BF5D44-F458-40EE-A755-A57B61E08440}" name="Column13743"/>
    <tableColumn id="13751" xr3:uid="{608E1F40-081A-4DF7-9F1C-FB8BB0CCA4B0}" name="Column13744"/>
    <tableColumn id="13752" xr3:uid="{B4631ECE-B02A-44E8-8176-CBEE2751D26A}" name="Column13745"/>
    <tableColumn id="13753" xr3:uid="{44802E12-5DA3-4E5E-A60A-8D3FE2A2B994}" name="Column13746"/>
    <tableColumn id="13754" xr3:uid="{8F93B06A-DBEC-4DF9-A349-3435750B05E8}" name="Column13747"/>
    <tableColumn id="13755" xr3:uid="{23FF4C0E-F65C-4241-A536-91A4A1645BEC}" name="Column13748"/>
    <tableColumn id="13756" xr3:uid="{EADDC0DF-E52C-485C-82F2-5D53446FD6DB}" name="Column13749"/>
    <tableColumn id="13757" xr3:uid="{BE252ECD-A963-410C-96BC-2E9281C7F388}" name="Column13750"/>
    <tableColumn id="13758" xr3:uid="{41391952-4A6B-4530-BCE7-D534E1011CA1}" name="Column13751"/>
    <tableColumn id="13759" xr3:uid="{DF0173C8-31B5-44F8-B560-DEAFF16D66B8}" name="Column13752"/>
    <tableColumn id="13760" xr3:uid="{1C5AD23A-B95A-439E-B033-5F8FC56B9826}" name="Column13753"/>
    <tableColumn id="13761" xr3:uid="{CC0BCB9D-7876-4C71-B917-BF2D96C212A1}" name="Column13754"/>
    <tableColumn id="13762" xr3:uid="{996F450E-8B31-4546-AE12-EBBF1AB6657E}" name="Column13755"/>
    <tableColumn id="13763" xr3:uid="{BCDC0D4D-7D41-4580-A99C-885949C78ABA}" name="Column13756"/>
    <tableColumn id="13764" xr3:uid="{A1304CEA-880C-4F01-BBDE-449DFBB5DDA1}" name="Column13757"/>
    <tableColumn id="13765" xr3:uid="{BFF39D8E-1BB2-428B-98ED-3E44D10FFA30}" name="Column13758"/>
    <tableColumn id="13766" xr3:uid="{3BF16468-2A3A-48D3-B145-2A918A1E8EEB}" name="Column13759"/>
    <tableColumn id="13767" xr3:uid="{223706E6-6704-44E4-ADCF-D78A315B6A5B}" name="Column13760"/>
    <tableColumn id="13768" xr3:uid="{263124C5-21E4-4744-BB21-76E1C515264D}" name="Column13761"/>
    <tableColumn id="13769" xr3:uid="{653BC43E-AB10-4A0A-A63E-664C8D4CE8F4}" name="Column13762"/>
    <tableColumn id="13770" xr3:uid="{86393065-027F-46F8-ADE6-8D2F79EF69B5}" name="Column13763"/>
    <tableColumn id="13771" xr3:uid="{117D6977-DC00-4199-B109-D166C5347E42}" name="Column13764"/>
    <tableColumn id="13772" xr3:uid="{4D8BEB01-CD03-4064-844D-E91DDBEE0294}" name="Column13765"/>
    <tableColumn id="13773" xr3:uid="{7E21053F-48B3-4AB8-A1F4-AE70977297F5}" name="Column13766"/>
    <tableColumn id="13774" xr3:uid="{8C386748-1941-47DE-9AA6-F45C7BFED560}" name="Column13767"/>
    <tableColumn id="13775" xr3:uid="{8E5D26D5-AED5-4487-A146-023215A4EDA2}" name="Column13768"/>
    <tableColumn id="13776" xr3:uid="{21F17CEF-41E2-497F-96E4-B88D5C3FAF0C}" name="Column13769"/>
    <tableColumn id="13777" xr3:uid="{73001164-1966-4531-B5EA-E9CF41AE237E}" name="Column13770"/>
    <tableColumn id="13778" xr3:uid="{ADD43AD7-ECA4-403F-9586-8CC1D4619EF5}" name="Column13771"/>
    <tableColumn id="13779" xr3:uid="{E8195E15-AF2F-46EA-95F5-6693DE7436FF}" name="Column13772"/>
    <tableColumn id="13780" xr3:uid="{F8B889DA-C10F-4B61-B424-42464662CC4C}" name="Column13773"/>
    <tableColumn id="13781" xr3:uid="{BA2049F0-7465-4FDD-AC9D-1AD0B4139DA7}" name="Column13774"/>
    <tableColumn id="13782" xr3:uid="{0E50B89F-FC4C-4036-A46D-6A0CB66EC916}" name="Column13775"/>
    <tableColumn id="13783" xr3:uid="{472FB05D-6034-4E89-9B76-19E59400832E}" name="Column13776"/>
    <tableColumn id="13784" xr3:uid="{64FF19A2-93B3-4C9F-88BE-59EC2D74111F}" name="Column13777"/>
    <tableColumn id="13785" xr3:uid="{D20760D6-AE93-4263-8A1B-79A47F011C1A}" name="Column13778"/>
    <tableColumn id="13786" xr3:uid="{36009EF9-1E57-4FF6-9385-063C38C5AC20}" name="Column13779"/>
    <tableColumn id="13787" xr3:uid="{9FF81998-F8D2-4F89-AEDE-D02660AA15C3}" name="Column13780"/>
    <tableColumn id="13788" xr3:uid="{00B50E68-DF28-4023-BD18-CAA760409A79}" name="Column13781"/>
    <tableColumn id="13789" xr3:uid="{4810F8CF-7F49-4649-B6ED-B2800C64162C}" name="Column13782"/>
    <tableColumn id="13790" xr3:uid="{7528C209-C6F3-42BA-B719-E867E42CB761}" name="Column13783"/>
    <tableColumn id="13791" xr3:uid="{327343A4-0DED-4E7E-B06F-99D541450502}" name="Column13784"/>
    <tableColumn id="13792" xr3:uid="{FAA512A7-8033-4321-B635-458644D1884A}" name="Column13785"/>
    <tableColumn id="13793" xr3:uid="{FCB54A8F-B547-480F-8078-34A1817E5507}" name="Column13786"/>
    <tableColumn id="13794" xr3:uid="{3BB2CFF2-670F-4DDD-9687-270711D94E16}" name="Column13787"/>
    <tableColumn id="13795" xr3:uid="{9E3311D5-18F8-4374-81C7-A46BE693B881}" name="Column13788"/>
    <tableColumn id="13796" xr3:uid="{350815F6-401F-4387-9773-ADEA287F4A1A}" name="Column13789"/>
    <tableColumn id="13797" xr3:uid="{B1D330C5-518D-4096-906E-6AC73A41E207}" name="Column13790"/>
    <tableColumn id="13798" xr3:uid="{9A3E0B15-438A-4DEA-B55D-EDDAA04B3869}" name="Column13791"/>
    <tableColumn id="13799" xr3:uid="{5C0C9451-4EF9-4D9D-A19D-83CCEA6D6453}" name="Column13792"/>
    <tableColumn id="13800" xr3:uid="{3755867E-CB4E-46B6-84D7-A8E96C06C3F9}" name="Column13793"/>
    <tableColumn id="13801" xr3:uid="{09BD3745-E85D-4389-89AF-49D62BA30D7E}" name="Column13794"/>
    <tableColumn id="13802" xr3:uid="{4BD2849B-F8D3-4E93-9FE6-B8CFD0E3D0DE}" name="Column13795"/>
    <tableColumn id="13803" xr3:uid="{192C69F3-B4FB-437D-8159-73A9B0FEB1BD}" name="Column13796"/>
    <tableColumn id="13804" xr3:uid="{82E38044-5655-4539-AD3E-7608C84CD08A}" name="Column13797"/>
    <tableColumn id="13805" xr3:uid="{13877A31-10CA-4EA5-AF3F-CC52ECBC3503}" name="Column13798"/>
    <tableColumn id="13806" xr3:uid="{9114CA18-161A-4EAD-9CF6-94DD4A39D8BE}" name="Column13799"/>
    <tableColumn id="13807" xr3:uid="{7C0D5C62-E32D-4DAC-9A95-2B85D778AD86}" name="Column13800"/>
    <tableColumn id="13808" xr3:uid="{F28F644E-7F94-445F-B4D3-04C3D208A9C5}" name="Column13801"/>
    <tableColumn id="13809" xr3:uid="{862D1AFF-873F-4480-88A5-FC268D67DDE5}" name="Column13802"/>
    <tableColumn id="13810" xr3:uid="{17B3885F-A273-45B2-9038-7C9FB20ADE9B}" name="Column13803"/>
    <tableColumn id="13811" xr3:uid="{39D5BB14-2DA6-491E-BE94-4B3EF4598989}" name="Column13804"/>
    <tableColumn id="13812" xr3:uid="{0053A24C-1FA3-4EEB-89D4-A5D403FD975D}" name="Column13805"/>
    <tableColumn id="13813" xr3:uid="{83D850AA-8DF5-4E76-B60D-72A7521A76CB}" name="Column13806"/>
    <tableColumn id="13814" xr3:uid="{1D2F8414-CDC2-4170-AE71-7F9EC257B923}" name="Column13807"/>
    <tableColumn id="13815" xr3:uid="{A0832987-7EDB-4E19-9218-FD51AA90F545}" name="Column13808"/>
    <tableColumn id="13816" xr3:uid="{36795B3D-1C8F-49B4-A3D6-A41D528AD5E2}" name="Column13809"/>
    <tableColumn id="13817" xr3:uid="{BACA9910-0716-4AAA-8F10-1CB9A8387F9D}" name="Column13810"/>
    <tableColumn id="13818" xr3:uid="{BEA25E3D-8E3F-40E4-BD1C-8EBC0B5C7A8A}" name="Column13811"/>
    <tableColumn id="13819" xr3:uid="{103320A3-522D-4EDA-A59F-AF99DC2A086A}" name="Column13812"/>
    <tableColumn id="13820" xr3:uid="{876627DE-5B90-4880-8D4F-A155F5F40932}" name="Column13813"/>
    <tableColumn id="13821" xr3:uid="{44A417DA-F5E5-46C1-95FB-D5E938B3EB5F}" name="Column13814"/>
    <tableColumn id="13822" xr3:uid="{597AF121-126E-4502-8F09-FE7ABD59E8DA}" name="Column13815"/>
    <tableColumn id="13823" xr3:uid="{12E9998E-76D3-41A7-9EAD-D2378AB4271B}" name="Column13816"/>
    <tableColumn id="13824" xr3:uid="{9ED6984B-D998-4F2D-9C84-B6EB4B07DF39}" name="Column13817"/>
    <tableColumn id="13825" xr3:uid="{C1C40539-13EA-41D5-8102-733146CE9F40}" name="Column13818"/>
    <tableColumn id="13826" xr3:uid="{6787DF17-5BBD-4FAA-90B8-9B652E8DE36F}" name="Column13819"/>
    <tableColumn id="13827" xr3:uid="{15F4913D-1E0F-4348-802B-A354088A26A7}" name="Column13820"/>
    <tableColumn id="13828" xr3:uid="{EF12252F-2F68-4D68-A22E-33DC08EDACC6}" name="Column13821"/>
    <tableColumn id="13829" xr3:uid="{B3706D28-0975-4CA5-83F6-279809E868C9}" name="Column13822"/>
    <tableColumn id="13830" xr3:uid="{10AE2CCA-483F-49B6-9AC0-2D050EE9DDAF}" name="Column13823"/>
    <tableColumn id="13831" xr3:uid="{CB2E5AFF-3E74-499C-BF15-45A7840723FC}" name="Column13824"/>
    <tableColumn id="13832" xr3:uid="{39947218-3060-4B5E-8FB8-971412367E0C}" name="Column13825"/>
    <tableColumn id="13833" xr3:uid="{A9FD9BDE-F1CA-435C-985C-F8CBC81317C9}" name="Column13826"/>
    <tableColumn id="13834" xr3:uid="{CDD0B8B7-DB1D-4782-A30B-1676F5F6111B}" name="Column13827"/>
    <tableColumn id="13835" xr3:uid="{69A636EA-49CD-43C7-9841-D773329FC2A0}" name="Column13828"/>
    <tableColumn id="13836" xr3:uid="{F33F7D73-575A-4167-8219-49CAF42E8B6B}" name="Column13829"/>
    <tableColumn id="13837" xr3:uid="{7F67825D-D7EC-4F85-8E18-5392A06FDE1D}" name="Column13830"/>
    <tableColumn id="13838" xr3:uid="{B3AAA707-41BA-4C5E-AD70-D09915CA1480}" name="Column13831"/>
    <tableColumn id="13839" xr3:uid="{134F45BF-B21A-4F06-B341-AF0EA3D68897}" name="Column13832"/>
    <tableColumn id="13840" xr3:uid="{70CB0C8F-4CAC-426F-BB51-28961E6D337C}" name="Column13833"/>
    <tableColumn id="13841" xr3:uid="{C4326B59-C9C5-4D77-86D7-7E64DCE07F76}" name="Column13834"/>
    <tableColumn id="13842" xr3:uid="{091DABB2-4096-420D-B1D4-9746C05143F7}" name="Column13835"/>
    <tableColumn id="13843" xr3:uid="{AEF1DADB-A7C1-406A-AE15-18B5CE0B3288}" name="Column13836"/>
    <tableColumn id="13844" xr3:uid="{C5DDDE5D-D9F2-4F26-8B64-5F4F219A999D}" name="Column13837"/>
    <tableColumn id="13845" xr3:uid="{CC3A2F0B-15B5-4D70-9A16-CDDBD76AB0E1}" name="Column13838"/>
    <tableColumn id="13846" xr3:uid="{F9A93BBA-1A09-4098-A636-C76DB5E1D2B3}" name="Column13839"/>
    <tableColumn id="13847" xr3:uid="{B2D8F390-EBD6-4D27-9835-5059409A7A27}" name="Column13840"/>
    <tableColumn id="13848" xr3:uid="{1F8D2700-4E48-42BF-972C-9AF87A6D48CD}" name="Column13841"/>
    <tableColumn id="13849" xr3:uid="{B8E938A2-36D3-4B16-B843-62626A4DE1BF}" name="Column13842"/>
    <tableColumn id="13850" xr3:uid="{8FDB6149-4A4C-43D2-98F3-4538DE98702C}" name="Column13843"/>
    <tableColumn id="13851" xr3:uid="{8827F42D-537E-4142-BD39-5E4CF61D7513}" name="Column13844"/>
    <tableColumn id="13852" xr3:uid="{277434D5-8137-481A-98B1-226E8132154E}" name="Column13845"/>
    <tableColumn id="13853" xr3:uid="{07EBFC7C-F2FB-4333-A5F2-FE26B2378174}" name="Column13846"/>
    <tableColumn id="13854" xr3:uid="{326EE3F8-17C3-430D-BC61-744AD49E3628}" name="Column13847"/>
    <tableColumn id="13855" xr3:uid="{420686AD-D77F-4AFF-AA8D-8728E8872AC2}" name="Column13848"/>
    <tableColumn id="13856" xr3:uid="{4A48E193-99FD-4762-B821-109E4AB18974}" name="Column13849"/>
    <tableColumn id="13857" xr3:uid="{EC1FBEBC-3C3F-4753-91F3-0032C3BDE484}" name="Column13850"/>
    <tableColumn id="13858" xr3:uid="{583B0CBE-3137-43FD-966D-8EB5C9483A06}" name="Column13851"/>
    <tableColumn id="13859" xr3:uid="{9214FF93-21B6-4BA3-A012-30A902239E92}" name="Column13852"/>
    <tableColumn id="13860" xr3:uid="{B2228750-44AA-49C7-A693-5E46A2A4E143}" name="Column13853"/>
    <tableColumn id="13861" xr3:uid="{A0CADFAC-4399-42BF-88A8-3FCC0DBC8EFB}" name="Column13854"/>
    <tableColumn id="13862" xr3:uid="{AD8A9860-8F9E-4BB5-B3BE-DA9741BA5D10}" name="Column13855"/>
    <tableColumn id="13863" xr3:uid="{726544AC-BFFE-45F7-A43E-7A0720BB50AE}" name="Column13856"/>
    <tableColumn id="13864" xr3:uid="{59749067-2FD9-43A1-AD53-27089E26048B}" name="Column13857"/>
    <tableColumn id="13865" xr3:uid="{DFCD2B78-AAF5-457B-9039-8F2A40CC6C1F}" name="Column13858"/>
    <tableColumn id="13866" xr3:uid="{647B93C5-3C10-414E-A3E2-044FA1E4F359}" name="Column13859"/>
    <tableColumn id="13867" xr3:uid="{5FA9D360-071E-469D-8C01-4AD2D9C5513F}" name="Column13860"/>
    <tableColumn id="13868" xr3:uid="{6B5D6633-B102-4CDA-B510-0528318C5A4E}" name="Column13861"/>
    <tableColumn id="13869" xr3:uid="{D7B6AC74-3452-4AB6-A0BD-3424DB3897EA}" name="Column13862"/>
    <tableColumn id="13870" xr3:uid="{64B2B4E7-216E-44E7-A3D7-2FC095E7ED3B}" name="Column13863"/>
    <tableColumn id="13871" xr3:uid="{21D8B9C4-1D2C-4FED-A895-D1EFAA7568D9}" name="Column13864"/>
    <tableColumn id="13872" xr3:uid="{EA6313CA-6F29-428B-B7E7-3AA808C8FBD6}" name="Column13865"/>
    <tableColumn id="13873" xr3:uid="{2FCF5366-8F4E-42B3-B312-C207DC1977E4}" name="Column13866"/>
    <tableColumn id="13874" xr3:uid="{F5E33521-8702-4E1F-949D-4BD7609E2E17}" name="Column13867"/>
    <tableColumn id="13875" xr3:uid="{965F988D-E284-41C5-AC90-B37250A0930C}" name="Column13868"/>
    <tableColumn id="13876" xr3:uid="{D8E96DCE-1300-447E-B717-BA753D59FE0C}" name="Column13869"/>
    <tableColumn id="13877" xr3:uid="{9D67ABAF-B7B6-4C20-821A-C236EBA14E43}" name="Column13870"/>
    <tableColumn id="13878" xr3:uid="{A80A8802-444F-4870-845D-A8A997E94DD5}" name="Column13871"/>
    <tableColumn id="13879" xr3:uid="{4E940573-ED42-4431-8CE1-FDB303ACBF36}" name="Column13872"/>
    <tableColumn id="13880" xr3:uid="{841A5EC6-4A6F-47C2-8B15-4AE7254A71AE}" name="Column13873"/>
    <tableColumn id="13881" xr3:uid="{4B67B89C-F560-4F80-9D55-942FAEEAB44A}" name="Column13874"/>
    <tableColumn id="13882" xr3:uid="{4AF0E313-58DE-4EED-9C69-003AC192F6C9}" name="Column13875"/>
    <tableColumn id="13883" xr3:uid="{9C33DB17-F21B-49CE-8F5E-AC470CB395DD}" name="Column13876"/>
    <tableColumn id="13884" xr3:uid="{E92A7715-4097-479C-BA0C-7302E1D9057E}" name="Column13877"/>
    <tableColumn id="13885" xr3:uid="{C3FEE325-1FD1-4B87-A60B-A164FEC36B29}" name="Column13878"/>
    <tableColumn id="13886" xr3:uid="{F2D6E5C4-ED7A-4BBE-A1B9-FB1BD081CB01}" name="Column13879"/>
    <tableColumn id="13887" xr3:uid="{BDDAEEF5-1668-49B3-89F7-E8D7B342A945}" name="Column13880"/>
    <tableColumn id="13888" xr3:uid="{7716470F-92BC-4A6D-B9CB-68AAEA304775}" name="Column13881"/>
    <tableColumn id="13889" xr3:uid="{118AAE6F-DAA1-4C99-BF80-5F489F607D7A}" name="Column13882"/>
    <tableColumn id="13890" xr3:uid="{0FB5B030-4B93-4977-AFC5-498A5C98B46A}" name="Column13883"/>
    <tableColumn id="13891" xr3:uid="{8CE58DB2-6D5F-48F0-92A9-B823760E2514}" name="Column13884"/>
    <tableColumn id="13892" xr3:uid="{214AE089-5741-4360-BCB7-E3290422DA46}" name="Column13885"/>
    <tableColumn id="13893" xr3:uid="{16CE2517-7559-4F43-BDBD-BE96F8C6ACE0}" name="Column13886"/>
    <tableColumn id="13894" xr3:uid="{D7DB90CF-333E-41C8-B444-E0F8F335249F}" name="Column13887"/>
    <tableColumn id="13895" xr3:uid="{2DD680B0-AD0E-4658-A44A-E25D6CF982EB}" name="Column13888"/>
    <tableColumn id="13896" xr3:uid="{7D425B03-D309-4CCD-86D7-8CBB0ABDC0ED}" name="Column13889"/>
    <tableColumn id="13897" xr3:uid="{0CFFC9F8-69AF-4222-9068-D625CC8ACAD2}" name="Column13890"/>
    <tableColumn id="13898" xr3:uid="{A87AB481-9F71-46BE-ADC7-45FBD77D0295}" name="Column13891"/>
    <tableColumn id="13899" xr3:uid="{680F0318-BA9E-4FCD-9205-0D9563439684}" name="Column13892"/>
    <tableColumn id="13900" xr3:uid="{4AA0D7DC-E94F-445C-BD1B-9E76350E4254}" name="Column13893"/>
    <tableColumn id="13901" xr3:uid="{7C46AC19-7DAF-4194-9594-5EDE8AA1D107}" name="Column13894"/>
    <tableColumn id="13902" xr3:uid="{E7079F5A-7EC2-4428-8BF4-F1A840B1F498}" name="Column13895"/>
    <tableColumn id="13903" xr3:uid="{B6229620-6D5D-4E20-A2E7-E0BE5916481D}" name="Column13896"/>
    <tableColumn id="13904" xr3:uid="{2E09B468-DDD4-4EF8-84EB-71218491C3C7}" name="Column13897"/>
    <tableColumn id="13905" xr3:uid="{17AC3EE0-02CC-4D81-8A1C-F61B2065ECF4}" name="Column13898"/>
    <tableColumn id="13906" xr3:uid="{A56F0563-5407-4467-A102-642B5F5EDA9F}" name="Column13899"/>
    <tableColumn id="13907" xr3:uid="{2D0FE05E-EEF0-4037-B8C6-81DFDE43C8C3}" name="Column13900"/>
    <tableColumn id="13908" xr3:uid="{847937FE-6C87-4277-BCAE-142C4731A6E0}" name="Column13901"/>
    <tableColumn id="13909" xr3:uid="{C167F7DF-BE2A-4F77-B60C-910FA2011879}" name="Column13902"/>
    <tableColumn id="13910" xr3:uid="{0FDDDE2D-8F1A-46C3-8BD8-DFCA3629C1C1}" name="Column13903"/>
    <tableColumn id="13911" xr3:uid="{265CC57C-FD4D-4766-BC02-F3CD403E5868}" name="Column13904"/>
    <tableColumn id="13912" xr3:uid="{F693EFF2-4AD1-4064-9D54-611E6B9838D9}" name="Column13905"/>
    <tableColumn id="13913" xr3:uid="{063A42EC-510D-4970-8DEC-1D428269BFD4}" name="Column13906"/>
    <tableColumn id="13914" xr3:uid="{55009A19-FDC0-44DA-99EC-DAD36BD0E2CD}" name="Column13907"/>
    <tableColumn id="13915" xr3:uid="{AA318724-BCC6-4954-A763-7C4D0EC3F7D0}" name="Column13908"/>
    <tableColumn id="13916" xr3:uid="{BBA2ED6A-4A7A-466F-B263-5673801AE807}" name="Column13909"/>
    <tableColumn id="13917" xr3:uid="{54F62A57-9713-4F4A-93F4-021F0A3FF9EB}" name="Column13910"/>
    <tableColumn id="13918" xr3:uid="{FAD29D13-B0BC-4EB1-84D3-CD06A61BBB00}" name="Column13911"/>
    <tableColumn id="13919" xr3:uid="{A0AF0F58-D359-415C-83B4-D6326D090987}" name="Column13912"/>
    <tableColumn id="13920" xr3:uid="{4B5962C6-081A-437C-9F41-5075EEEC1C9C}" name="Column13913"/>
    <tableColumn id="13921" xr3:uid="{1632BA1C-7904-47B3-93E8-4133BCEA5B29}" name="Column13914"/>
    <tableColumn id="13922" xr3:uid="{819F81AB-1E27-4303-991B-847D2427B5AB}" name="Column13915"/>
    <tableColumn id="13923" xr3:uid="{1B608157-D984-480A-B701-E6A794AEB60E}" name="Column13916"/>
    <tableColumn id="13924" xr3:uid="{B50FE59E-36F7-4DBB-8F96-C6F43003A543}" name="Column13917"/>
    <tableColumn id="13925" xr3:uid="{C24C92F2-705A-4E63-AEBF-BD82575ACB00}" name="Column13918"/>
    <tableColumn id="13926" xr3:uid="{A8459B7C-B406-4066-A074-C01C6655D1F8}" name="Column13919"/>
    <tableColumn id="13927" xr3:uid="{EBDF0073-9F6F-44BB-A453-7286F47BA046}" name="Column13920"/>
    <tableColumn id="13928" xr3:uid="{D8AD3BA5-A141-44C8-A90C-60D329EA9168}" name="Column13921"/>
    <tableColumn id="13929" xr3:uid="{21D5E0A1-1954-4AB4-8254-C422DA7036CC}" name="Column13922"/>
    <tableColumn id="13930" xr3:uid="{57C1FD3B-9C5B-4A04-A451-3EE73447DD17}" name="Column13923"/>
    <tableColumn id="13931" xr3:uid="{9E55FFFD-CA47-48D3-B0C8-0E08AAB97BF6}" name="Column13924"/>
    <tableColumn id="13932" xr3:uid="{285C7670-11A8-4724-A896-EEFD90655C22}" name="Column13925"/>
    <tableColumn id="13933" xr3:uid="{50BA14E1-1EC3-4D58-B57A-D9AAA08AA429}" name="Column13926"/>
    <tableColumn id="13934" xr3:uid="{DB182B1B-5E2D-4049-8668-9AFA69845A23}" name="Column13927"/>
    <tableColumn id="13935" xr3:uid="{A3FC6159-1419-44DB-84C0-8278E0391441}" name="Column13928"/>
    <tableColumn id="13936" xr3:uid="{D981DA2E-FA4E-488F-9429-888C549F1703}" name="Column13929"/>
    <tableColumn id="13937" xr3:uid="{9207E6B7-F29D-4930-863B-BA69C04A6DCB}" name="Column13930"/>
    <tableColumn id="13938" xr3:uid="{7F36F4F1-7EE9-4E41-A276-85C1DEF070A1}" name="Column13931"/>
    <tableColumn id="13939" xr3:uid="{003FDD79-5F8A-40B8-BEA5-2729CFE9EB01}" name="Column13932"/>
    <tableColumn id="13940" xr3:uid="{B949976A-BFC5-44CD-B39C-B2E5CAC4290F}" name="Column13933"/>
    <tableColumn id="13941" xr3:uid="{AD4FF2E5-0F04-48D7-8424-A30ABE7B1250}" name="Column13934"/>
    <tableColumn id="13942" xr3:uid="{CD5EFB1F-1115-480E-A555-41629B8EC131}" name="Column13935"/>
    <tableColumn id="13943" xr3:uid="{5A623DA7-D8F8-4442-8BBC-B4D50FF6A15D}" name="Column13936"/>
    <tableColumn id="13944" xr3:uid="{E2543589-8FCC-4F3B-AAB9-155116E29D0A}" name="Column13937"/>
    <tableColumn id="13945" xr3:uid="{270E8E22-0AF7-4F9B-800F-578DC491C059}" name="Column13938"/>
    <tableColumn id="13946" xr3:uid="{79FCD07C-C434-429C-888C-2CF917812364}" name="Column13939"/>
    <tableColumn id="13947" xr3:uid="{BD855A01-D447-42E8-BC44-05E515230B47}" name="Column13940"/>
    <tableColumn id="13948" xr3:uid="{26AE3342-BC7D-4931-8D98-E0FC642BB739}" name="Column13941"/>
    <tableColumn id="13949" xr3:uid="{7ABC9FC9-4301-4CEB-AA74-953609A84676}" name="Column13942"/>
    <tableColumn id="13950" xr3:uid="{57E60558-0B2B-49BC-AA6B-FD384460EE5C}" name="Column13943"/>
    <tableColumn id="13951" xr3:uid="{694466DE-C8FD-4F29-9E4A-C5CC0C647FE1}" name="Column13944"/>
    <tableColumn id="13952" xr3:uid="{DF7CCB0E-7460-46F5-B826-4B7F09E358B7}" name="Column13945"/>
    <tableColumn id="13953" xr3:uid="{6ED77D09-8F0B-46AE-98EF-BF037BA1210E}" name="Column13946"/>
    <tableColumn id="13954" xr3:uid="{0191158E-8A19-4BAA-9550-53D6D3B34887}" name="Column13947"/>
    <tableColumn id="13955" xr3:uid="{EB98F77F-F34E-44D3-AC5D-1656421749CC}" name="Column13948"/>
    <tableColumn id="13956" xr3:uid="{437A2B21-8D52-45C0-9B80-CA043BA72C98}" name="Column13949"/>
    <tableColumn id="13957" xr3:uid="{13A73851-1F18-4A1F-807F-8883613490D5}" name="Column13950"/>
    <tableColumn id="13958" xr3:uid="{B452FA3E-CDFD-4BF6-8AF0-2586EA18E5F9}" name="Column13951"/>
    <tableColumn id="13959" xr3:uid="{EE84DEC6-5AFA-439E-8615-61E89D608C63}" name="Column13952"/>
    <tableColumn id="13960" xr3:uid="{53EF8BE0-93A0-4CEB-8C9F-33911161A2E5}" name="Column13953"/>
    <tableColumn id="13961" xr3:uid="{B848AE25-8CF2-464F-BFD7-FB19FE0C42B0}" name="Column13954"/>
    <tableColumn id="13962" xr3:uid="{F2E63F8A-3DDD-4B3F-BE24-347FDE64E2C5}" name="Column13955"/>
    <tableColumn id="13963" xr3:uid="{92A5D249-2A56-4E0A-A028-46605485F6D4}" name="Column13956"/>
    <tableColumn id="13964" xr3:uid="{123BB6B2-5467-4D42-B5BC-D6FD6C4E338E}" name="Column13957"/>
    <tableColumn id="13965" xr3:uid="{398FA1D2-B6B0-4B66-867B-A5FA249EF6A9}" name="Column13958"/>
    <tableColumn id="13966" xr3:uid="{78D3BA65-2B64-4B1C-B353-F43AD4F621AF}" name="Column13959"/>
    <tableColumn id="13967" xr3:uid="{023863A8-C96A-4FBB-8F76-31E0801C77CF}" name="Column13960"/>
    <tableColumn id="13968" xr3:uid="{E0674AD7-7758-4D79-BF52-248BC3563A53}" name="Column13961"/>
    <tableColumn id="13969" xr3:uid="{8031D114-331F-492C-B4AC-20DE620C2008}" name="Column13962"/>
    <tableColumn id="13970" xr3:uid="{CBFFA937-CB94-4FC6-B0A3-68F1B3AE0AB5}" name="Column13963"/>
    <tableColumn id="13971" xr3:uid="{8B64EA9F-FC5D-4E5B-8C59-49C54F17EF5A}" name="Column13964"/>
    <tableColumn id="13972" xr3:uid="{15629C39-70CB-4386-AD5B-7BF3FA8EE2CA}" name="Column13965"/>
    <tableColumn id="13973" xr3:uid="{5D8CC911-36CC-4E0F-9711-36812BD5E22D}" name="Column13966"/>
    <tableColumn id="13974" xr3:uid="{78A12D2C-E886-4813-97A4-4536A9E9EEC0}" name="Column13967"/>
    <tableColumn id="13975" xr3:uid="{2B98F319-6AB7-4253-9F50-CE8494EE072F}" name="Column13968"/>
    <tableColumn id="13976" xr3:uid="{F0D69685-E1EB-4B19-A811-8C1C523D510E}" name="Column13969"/>
    <tableColumn id="13977" xr3:uid="{AF5800F2-0BDE-43AE-B4D5-E75D6B770483}" name="Column13970"/>
    <tableColumn id="13978" xr3:uid="{A8D7DFAD-4743-4451-90EC-D89C1500ADC8}" name="Column13971"/>
    <tableColumn id="13979" xr3:uid="{AD23D7A0-3283-45C8-9B81-2A709CC4B033}" name="Column13972"/>
    <tableColumn id="13980" xr3:uid="{7BAB1018-5232-49B9-B80D-79410C907DF5}" name="Column13973"/>
    <tableColumn id="13981" xr3:uid="{56678229-1611-47DB-8BA1-9047B19E92E0}" name="Column13974"/>
    <tableColumn id="13982" xr3:uid="{F10562B3-ACBD-44C2-A6AE-08A449DE7B68}" name="Column13975"/>
    <tableColumn id="13983" xr3:uid="{045F42E1-E513-4501-B905-E1882806AEE7}" name="Column13976"/>
    <tableColumn id="13984" xr3:uid="{98AF3B2A-1791-4DFE-919E-934073673210}" name="Column13977"/>
    <tableColumn id="13985" xr3:uid="{BBC3EE19-2681-48AC-A6FF-7FFD2CFD7CC9}" name="Column13978"/>
    <tableColumn id="13986" xr3:uid="{9F15DC80-4DEE-4AC4-A4DD-F94088DB7592}" name="Column13979"/>
    <tableColumn id="13987" xr3:uid="{0911910B-A5E6-4E95-8A8D-D2E82F2E77DB}" name="Column13980"/>
    <tableColumn id="13988" xr3:uid="{CA4FECED-D843-406A-B9C1-E998E229C2B7}" name="Column13981"/>
    <tableColumn id="13989" xr3:uid="{75CC64FA-0CF8-4659-8FF0-66C67FC5D088}" name="Column13982"/>
    <tableColumn id="13990" xr3:uid="{238110DF-88B8-486B-8B4D-69C45625C817}" name="Column13983"/>
    <tableColumn id="13991" xr3:uid="{0829E060-1537-405B-92B7-894B5C660628}" name="Column13984"/>
    <tableColumn id="13992" xr3:uid="{607F1839-94CC-42BF-A7E3-100C1E0B00BE}" name="Column13985"/>
    <tableColumn id="13993" xr3:uid="{96C7C8D1-E7D7-4314-8223-0E299DBFDC13}" name="Column13986"/>
    <tableColumn id="13994" xr3:uid="{604F49CE-5993-43FB-B1D5-4F55D2E05FB3}" name="Column13987"/>
    <tableColumn id="13995" xr3:uid="{6C00A951-1A97-43B4-ACEB-A5C21BE5A27D}" name="Column13988"/>
    <tableColumn id="13996" xr3:uid="{4F0C3AEC-EEC8-4936-9023-C5B9F9174439}" name="Column13989"/>
    <tableColumn id="13997" xr3:uid="{4E9758A6-19ED-467A-ACAD-BD81311C7568}" name="Column13990"/>
    <tableColumn id="13998" xr3:uid="{4EB3F129-AEEE-4615-9BC0-546B49080C20}" name="Column13991"/>
    <tableColumn id="13999" xr3:uid="{205D1B10-2538-4CC6-9AE6-C54D9F1F6D84}" name="Column13992"/>
    <tableColumn id="14000" xr3:uid="{11793AEE-C701-466C-91C5-0EABE77A4BA8}" name="Column13993"/>
    <tableColumn id="14001" xr3:uid="{A97A1679-4C13-46CA-88B7-16645C86EBDB}" name="Column13994"/>
    <tableColumn id="14002" xr3:uid="{4E5E5AB7-6C8B-42AB-AC69-0467DCCB1B09}" name="Column13995"/>
    <tableColumn id="14003" xr3:uid="{63C7A561-5AAC-42C0-83F3-BA488620B419}" name="Column13996"/>
    <tableColumn id="14004" xr3:uid="{8DFF83FE-CCC8-4409-B59B-88F35E9CF26E}" name="Column13997"/>
    <tableColumn id="14005" xr3:uid="{C50A354C-1672-4953-B718-40923BAEB449}" name="Column13998"/>
    <tableColumn id="14006" xr3:uid="{84068EA3-7367-46B9-BEB0-F66D9E08BA1E}" name="Column13999"/>
    <tableColumn id="14007" xr3:uid="{3D1232FE-F325-4A82-A2A2-34F268C01E72}" name="Column14000"/>
    <tableColumn id="14008" xr3:uid="{0D3B3516-0017-424B-8997-C27BD8FA0BBE}" name="Column14001"/>
    <tableColumn id="14009" xr3:uid="{925394BA-5F8B-4044-B72E-AEA785E57EB5}" name="Column14002"/>
    <tableColumn id="14010" xr3:uid="{66C8CEC4-5D94-41C4-8E9F-ED3EAB9CCDEB}" name="Column14003"/>
    <tableColumn id="14011" xr3:uid="{55A9A689-2223-4E39-9976-0163D9EB7CE4}" name="Column14004"/>
    <tableColumn id="14012" xr3:uid="{E850559B-58CC-4A04-9B56-58C39238E611}" name="Column14005"/>
    <tableColumn id="14013" xr3:uid="{86719936-4E82-4F2C-BD42-0B81D4E64F07}" name="Column14006"/>
    <tableColumn id="14014" xr3:uid="{54B3E261-A7D7-430E-A6C4-064F6E4D8F19}" name="Column14007"/>
    <tableColumn id="14015" xr3:uid="{EEEEBBEE-F891-4A59-AA6D-B9CC694BB984}" name="Column14008"/>
    <tableColumn id="14016" xr3:uid="{B1E2B927-F366-4773-8EAD-55188581ED35}" name="Column14009"/>
    <tableColumn id="14017" xr3:uid="{031BBF17-D675-4A1B-BD24-04534E8547B9}" name="Column14010"/>
    <tableColumn id="14018" xr3:uid="{CE748956-A87C-4470-AB71-6CACDAD2DD8E}" name="Column14011"/>
    <tableColumn id="14019" xr3:uid="{2027E33F-54C9-415F-956D-79ABAFFC1717}" name="Column14012"/>
    <tableColumn id="14020" xr3:uid="{85034278-DA84-4421-B40E-266B1DD64989}" name="Column14013"/>
    <tableColumn id="14021" xr3:uid="{ABE3F800-C99D-4FA1-8D4E-4A01A780C68F}" name="Column14014"/>
    <tableColumn id="14022" xr3:uid="{14759813-E7A5-47F2-9D1D-EE7D859B1287}" name="Column14015"/>
    <tableColumn id="14023" xr3:uid="{B7A46159-23A3-4C03-BCD9-C355DDDCBDAA}" name="Column14016"/>
    <tableColumn id="14024" xr3:uid="{EE9E4E0F-25D5-49A6-9FD6-F2CF533A54A4}" name="Column14017"/>
    <tableColumn id="14025" xr3:uid="{5D6D0752-0601-4E06-829C-F9D5C1369801}" name="Column14018"/>
    <tableColumn id="14026" xr3:uid="{491B8227-A8D4-4A76-9876-4F99A83513BD}" name="Column14019"/>
    <tableColumn id="14027" xr3:uid="{5CC7422F-6A5E-48C3-8563-C4B2145C3F9E}" name="Column14020"/>
    <tableColumn id="14028" xr3:uid="{03E4A9EB-77C4-4821-8191-C3A18A8EF62A}" name="Column14021"/>
    <tableColumn id="14029" xr3:uid="{A5B6F209-C0E7-481C-8C37-FDB8D372914C}" name="Column14022"/>
    <tableColumn id="14030" xr3:uid="{7E595215-D8D4-4E83-A234-74F9EEE0F0A4}" name="Column14023"/>
    <tableColumn id="14031" xr3:uid="{014A5AE8-3D09-497D-9F01-16A0A4F7DF04}" name="Column14024"/>
    <tableColumn id="14032" xr3:uid="{36FBC85E-19D3-4F8A-80BF-5D35D44B2035}" name="Column14025"/>
    <tableColumn id="14033" xr3:uid="{EAA546DE-F889-40AF-9FA3-163F17BEF19F}" name="Column14026"/>
    <tableColumn id="14034" xr3:uid="{4C1B92A6-E0FD-4A03-BBB5-A3B9A0A23D98}" name="Column14027"/>
    <tableColumn id="14035" xr3:uid="{0FDAB378-9E0F-4520-9DF3-A840DC048801}" name="Column14028"/>
    <tableColumn id="14036" xr3:uid="{AF2C1328-C36F-466B-BD43-93E39D81DA8E}" name="Column14029"/>
    <tableColumn id="14037" xr3:uid="{B197D976-00A6-458F-A67D-47DB5461BCF2}" name="Column14030"/>
    <tableColumn id="14038" xr3:uid="{243097FB-C5BD-4AF3-8FB5-C965CE83FA46}" name="Column14031"/>
    <tableColumn id="14039" xr3:uid="{019F8FC3-2BE1-4DEF-BDBB-611ACEA25238}" name="Column14032"/>
    <tableColumn id="14040" xr3:uid="{5B24CE20-97FF-4EBE-9746-A57E7C6B4460}" name="Column14033"/>
    <tableColumn id="14041" xr3:uid="{0ED3AA72-BAAE-4F33-AAC2-7A3282E17A29}" name="Column14034"/>
    <tableColumn id="14042" xr3:uid="{A264B5D7-8052-44A8-BE06-6FC465AF691E}" name="Column14035"/>
    <tableColumn id="14043" xr3:uid="{50FD65AC-3DFA-4DB4-A37B-43077A2D9A3D}" name="Column14036"/>
    <tableColumn id="14044" xr3:uid="{DD68F7BC-E3D3-4201-9229-9BE36EB3054C}" name="Column14037"/>
    <tableColumn id="14045" xr3:uid="{97138C61-0E81-4990-A38F-CF195EE76B9D}" name="Column14038"/>
    <tableColumn id="14046" xr3:uid="{944E6C07-24FC-4718-8824-1E5EDEBD0DBD}" name="Column14039"/>
    <tableColumn id="14047" xr3:uid="{35A33B3F-0AB4-4479-AA70-2F1D44E9CB90}" name="Column14040"/>
    <tableColumn id="14048" xr3:uid="{A5F4B56D-15FD-4DFB-8E5A-41B40D0D57C5}" name="Column14041"/>
    <tableColumn id="14049" xr3:uid="{F718BD16-2937-4D64-A3C2-DE993C3263AB}" name="Column14042"/>
    <tableColumn id="14050" xr3:uid="{6AC5D09D-4DCB-43B8-879E-A1BA16EB24D2}" name="Column14043"/>
    <tableColumn id="14051" xr3:uid="{E32FDF49-008D-4C44-A2FA-34DEB440716E}" name="Column14044"/>
    <tableColumn id="14052" xr3:uid="{1B94BF05-5D27-409D-9FDA-51132C67F8DC}" name="Column14045"/>
    <tableColumn id="14053" xr3:uid="{16214420-F37A-4484-AD65-CAA6D443B01B}" name="Column14046"/>
    <tableColumn id="14054" xr3:uid="{78B7915C-C4D6-45BA-9C17-8450998BCB6B}" name="Column14047"/>
    <tableColumn id="14055" xr3:uid="{2AF4899A-0890-4C40-8967-EDFB106440B0}" name="Column14048"/>
    <tableColumn id="14056" xr3:uid="{AB9F34E4-4054-42D3-ABCA-13369701A303}" name="Column14049"/>
    <tableColumn id="14057" xr3:uid="{485A2C4E-3007-49F7-B71B-F3B659E1DEB7}" name="Column14050"/>
    <tableColumn id="14058" xr3:uid="{91A74FEC-2A38-4FAA-8B78-C0B93254AF55}" name="Column14051"/>
    <tableColumn id="14059" xr3:uid="{833D3F88-15E4-4C76-981A-4F89DF885807}" name="Column14052"/>
    <tableColumn id="14060" xr3:uid="{17878780-3A93-4B39-9C1C-77A30C750010}" name="Column14053"/>
    <tableColumn id="14061" xr3:uid="{493E2F49-0A2A-418D-AD27-A59E9463E23B}" name="Column14054"/>
    <tableColumn id="14062" xr3:uid="{C858F562-01CD-493D-9227-3FC95DC7AFBC}" name="Column14055"/>
    <tableColumn id="14063" xr3:uid="{6985D0AC-876F-4A0B-84D8-3BD402C90C2E}" name="Column14056"/>
    <tableColumn id="14064" xr3:uid="{9B3D9FAE-B01C-44E8-9B5D-9553C887F796}" name="Column14057"/>
    <tableColumn id="14065" xr3:uid="{DDE22BEE-79C5-4020-AFB9-E573D592C96B}" name="Column14058"/>
    <tableColumn id="14066" xr3:uid="{525339B0-10EA-4B1C-938F-0D2909E6FCCC}" name="Column14059"/>
    <tableColumn id="14067" xr3:uid="{102FED2A-22AF-4B29-AF0E-6E7349FB0978}" name="Column14060"/>
    <tableColumn id="14068" xr3:uid="{C2F44448-ED17-403C-BAE6-816EA57CE097}" name="Column14061"/>
    <tableColumn id="14069" xr3:uid="{ADC0F389-499B-4CBD-B833-7782D948571F}" name="Column14062"/>
    <tableColumn id="14070" xr3:uid="{45A3C79B-85F9-4345-A49E-4E48C04EF84A}" name="Column14063"/>
    <tableColumn id="14071" xr3:uid="{D8445CB8-22A4-41D4-926A-679E8E45406F}" name="Column14064"/>
    <tableColumn id="14072" xr3:uid="{E172D8A8-772F-4870-8ADF-A4CA39615B46}" name="Column14065"/>
    <tableColumn id="14073" xr3:uid="{FD7EB373-9F43-46D9-ADED-23AB07516017}" name="Column14066"/>
    <tableColumn id="14074" xr3:uid="{BE9001BD-203E-4FB4-BD26-4DC17487B032}" name="Column14067"/>
    <tableColumn id="14075" xr3:uid="{60D47E1F-C67C-4374-92A2-303F3AEFECEB}" name="Column14068"/>
    <tableColumn id="14076" xr3:uid="{FC2A53BD-1182-40AA-B925-5D1DBD76938B}" name="Column14069"/>
    <tableColumn id="14077" xr3:uid="{BF7E0EC9-E42D-4391-AE44-2B7D573982C2}" name="Column14070"/>
    <tableColumn id="14078" xr3:uid="{DC1D29B3-5E69-4F5F-A465-A0EF2EAD90B7}" name="Column14071"/>
    <tableColumn id="14079" xr3:uid="{E6B7AA42-1301-4092-B552-2F2CEE540E96}" name="Column14072"/>
    <tableColumn id="14080" xr3:uid="{45465C62-34DE-411B-B33B-20CECBF0FDCD}" name="Column14073"/>
    <tableColumn id="14081" xr3:uid="{9626B5DF-ECD6-4114-B93F-EEFB1EA00C2D}" name="Column14074"/>
    <tableColumn id="14082" xr3:uid="{36476170-DAF6-44EA-A6C9-86F8CBFC08F0}" name="Column14075"/>
    <tableColumn id="14083" xr3:uid="{72670579-8125-4FF5-94E9-9C8BCFB2504D}" name="Column14076"/>
    <tableColumn id="14084" xr3:uid="{EA23DF23-9451-4E92-B8FC-E4C699600033}" name="Column14077"/>
    <tableColumn id="14085" xr3:uid="{F4439162-8059-489E-B035-43F5B9495ECF}" name="Column14078"/>
    <tableColumn id="14086" xr3:uid="{99345C76-E7AA-4BE0-AB77-76B4ED8ECCED}" name="Column14079"/>
    <tableColumn id="14087" xr3:uid="{F879CABA-32E3-4C39-825C-F8E9A4430D03}" name="Column14080"/>
    <tableColumn id="14088" xr3:uid="{AC97D5F1-21D9-4393-809C-8408F305E9CA}" name="Column14081"/>
    <tableColumn id="14089" xr3:uid="{53522F74-EEC9-4867-B376-D23F83763779}" name="Column14082"/>
    <tableColumn id="14090" xr3:uid="{0A952FB6-90C0-4C93-AB1E-D6FA6B720542}" name="Column14083"/>
    <tableColumn id="14091" xr3:uid="{60FB769B-0F9A-4274-AFC4-B45DDF9D3EC2}" name="Column14084"/>
    <tableColumn id="14092" xr3:uid="{B7347123-21EC-46E1-9B73-A8EB175D3533}" name="Column14085"/>
    <tableColumn id="14093" xr3:uid="{E0CB2CEA-BB37-4E40-8FC1-0F73B01479F8}" name="Column14086"/>
    <tableColumn id="14094" xr3:uid="{3B58AAA8-743B-4D64-ACA3-24C907B0A72A}" name="Column14087"/>
    <tableColumn id="14095" xr3:uid="{F50B75D5-2EC6-4D19-A2F5-6307B54F2029}" name="Column14088"/>
    <tableColumn id="14096" xr3:uid="{D0DF498C-C943-4A86-8F5B-5B18F1C5FCBD}" name="Column14089"/>
    <tableColumn id="14097" xr3:uid="{6BCA041C-78ED-4020-B4FB-44D8EBE31E7D}" name="Column14090"/>
    <tableColumn id="14098" xr3:uid="{EBC63A7A-15FB-49CA-97FC-A172E24D7354}" name="Column14091"/>
    <tableColumn id="14099" xr3:uid="{B5D64EAC-4F2C-47D0-A94C-F1DA630DA0CA}" name="Column14092"/>
    <tableColumn id="14100" xr3:uid="{D10E7E90-900F-495D-BE41-D38E4F9C9AA4}" name="Column14093"/>
    <tableColumn id="14101" xr3:uid="{DD70A585-2D67-4275-A3F5-37C34EE64C5F}" name="Column14094"/>
    <tableColumn id="14102" xr3:uid="{A6F04FCE-97FC-468A-9F53-9EAC7D467FFB}" name="Column14095"/>
    <tableColumn id="14103" xr3:uid="{399C4AEE-2F51-4531-B1B6-FD8324FC599F}" name="Column14096"/>
    <tableColumn id="14104" xr3:uid="{18781DDD-A8AA-43D5-AC44-E8B82DFB9ED0}" name="Column14097"/>
    <tableColumn id="14105" xr3:uid="{92C70F02-313D-42C6-9091-824B3F4A5264}" name="Column14098"/>
    <tableColumn id="14106" xr3:uid="{79D64F75-F458-414C-AC8F-19FF0D54AAF7}" name="Column14099"/>
    <tableColumn id="14107" xr3:uid="{BECF70F9-4886-4D02-8DAC-08DC8581AA92}" name="Column14100"/>
    <tableColumn id="14108" xr3:uid="{42D63DBA-ACAE-4979-9F0A-3FC1994BF8E5}" name="Column14101"/>
    <tableColumn id="14109" xr3:uid="{A03C19E9-CA9B-4DE1-80D6-2C6AD8696E91}" name="Column14102"/>
    <tableColumn id="14110" xr3:uid="{B19519BD-BF36-4D30-9D6E-DF54572D378E}" name="Column14103"/>
    <tableColumn id="14111" xr3:uid="{6FB04AFF-B7CB-4E55-8E1B-5933C2429554}" name="Column14104"/>
    <tableColumn id="14112" xr3:uid="{8E3A4B41-1B9B-4851-9D0A-943CD0E294D5}" name="Column14105"/>
    <tableColumn id="14113" xr3:uid="{F752E7AA-1083-4AA3-9B6A-0742A6E0BD6F}" name="Column14106"/>
    <tableColumn id="14114" xr3:uid="{2BF499E6-1C04-4931-91E0-393EFDC4C3FC}" name="Column14107"/>
    <tableColumn id="14115" xr3:uid="{C6C5CF60-ECFE-4F47-B192-35F60F376866}" name="Column14108"/>
    <tableColumn id="14116" xr3:uid="{9FE69B12-E7EB-47C0-9893-57FBB5EE2236}" name="Column14109"/>
    <tableColumn id="14117" xr3:uid="{9A3CECE8-6C09-4EA6-8362-2F4BDEB38A14}" name="Column14110"/>
    <tableColumn id="14118" xr3:uid="{86ACB365-606E-4B85-A814-2C27B04C072A}" name="Column14111"/>
    <tableColumn id="14119" xr3:uid="{65878F9E-AFB2-4351-9C1B-A5DE9FEDF201}" name="Column14112"/>
    <tableColumn id="14120" xr3:uid="{50279FBD-9072-4E1F-BF6E-A3804217AC12}" name="Column14113"/>
    <tableColumn id="14121" xr3:uid="{43CD5E51-1456-4E66-9430-B0379D5B9FCE}" name="Column14114"/>
    <tableColumn id="14122" xr3:uid="{E97C4DD8-EF0C-4BBD-9835-A0AE3A6A0B25}" name="Column14115"/>
    <tableColumn id="14123" xr3:uid="{34A68923-C4BA-433C-A6ED-EA0E0B5CD484}" name="Column14116"/>
    <tableColumn id="14124" xr3:uid="{8F3EA935-0627-4CD3-98EB-59F41FD715CC}" name="Column14117"/>
    <tableColumn id="14125" xr3:uid="{DFFFDE04-CFD8-470D-AFC1-F27E638FE53A}" name="Column14118"/>
    <tableColumn id="14126" xr3:uid="{B5AE750A-FAC8-4F5C-A336-5AABF3C8EA2E}" name="Column14119"/>
    <tableColumn id="14127" xr3:uid="{9B1D1047-898D-4DEB-8965-A8C4BD7075C9}" name="Column14120"/>
    <tableColumn id="14128" xr3:uid="{62F9905A-B475-40E3-9325-D0854DF7D221}" name="Column14121"/>
    <tableColumn id="14129" xr3:uid="{9787C933-F8D7-4D97-8F50-A97F5865E245}" name="Column14122"/>
    <tableColumn id="14130" xr3:uid="{B2037EDC-0C4A-4DB8-BE41-E4F660C44356}" name="Column14123"/>
    <tableColumn id="14131" xr3:uid="{497F8241-907B-4127-81B6-9D793D14842A}" name="Column14124"/>
    <tableColumn id="14132" xr3:uid="{BAC90F52-7487-4A1F-8594-76392A3B05E6}" name="Column14125"/>
    <tableColumn id="14133" xr3:uid="{EB5E35A6-E61B-422A-8B9B-DF56C6C867BD}" name="Column14126"/>
    <tableColumn id="14134" xr3:uid="{956B856B-E0CA-481D-9C15-4272926D008A}" name="Column14127"/>
    <tableColumn id="14135" xr3:uid="{C0CDB165-40E7-479A-82BB-C831C5B1576C}" name="Column14128"/>
    <tableColumn id="14136" xr3:uid="{054A4A1D-3E66-404F-8E5A-5FD26F885D63}" name="Column14129"/>
    <tableColumn id="14137" xr3:uid="{4CD2471B-2E89-44B0-A7E9-E4229C439F32}" name="Column14130"/>
    <tableColumn id="14138" xr3:uid="{B8919B48-1FD3-4602-85A7-8589B1880C43}" name="Column14131"/>
    <tableColumn id="14139" xr3:uid="{77BB1EF4-0577-44CF-A34F-8511997B2496}" name="Column14132"/>
    <tableColumn id="14140" xr3:uid="{0C81046C-C3EC-4612-B0E7-193DFBF00539}" name="Column14133"/>
    <tableColumn id="14141" xr3:uid="{AAE6A110-9669-4454-93CE-85D4661865C8}" name="Column14134"/>
    <tableColumn id="14142" xr3:uid="{9AF8CF34-9B6D-4AEF-94DD-C96FBAE26D5B}" name="Column14135"/>
    <tableColumn id="14143" xr3:uid="{E0F83515-F72E-4FDA-8962-8FD4B9EAFBDD}" name="Column14136"/>
    <tableColumn id="14144" xr3:uid="{21207D65-F8F3-44D2-8E75-AB29F576F048}" name="Column14137"/>
    <tableColumn id="14145" xr3:uid="{CF15835D-9A7E-4F3A-9977-EB0FB05507C1}" name="Column14138"/>
    <tableColumn id="14146" xr3:uid="{E5A7A673-274B-4187-BBE1-7CFE91F22905}" name="Column14139"/>
    <tableColumn id="14147" xr3:uid="{0E78631D-2D0A-47EE-AF67-D5F1A2788E8E}" name="Column14140"/>
    <tableColumn id="14148" xr3:uid="{BD47A8D3-D54A-4EA7-87F7-87D6794EC8F2}" name="Column14141"/>
    <tableColumn id="14149" xr3:uid="{3E865F04-0058-46EB-B02E-3EC409C9C051}" name="Column14142"/>
    <tableColumn id="14150" xr3:uid="{987475FF-6A14-4F22-85AB-01211681B2F3}" name="Column14143"/>
    <tableColumn id="14151" xr3:uid="{85E1E7F1-CD74-4C7E-BA76-F85B3E7D4AFA}" name="Column14144"/>
    <tableColumn id="14152" xr3:uid="{A6A71598-6AE0-4F2B-9AE2-26B31F4FF315}" name="Column14145"/>
    <tableColumn id="14153" xr3:uid="{2C33D899-70CA-4DEA-B391-777F305E5D66}" name="Column14146"/>
    <tableColumn id="14154" xr3:uid="{26C2E803-636C-4826-B698-86EB8F6E3A16}" name="Column14147"/>
    <tableColumn id="14155" xr3:uid="{6909FFF2-1A11-45EC-BC37-4E42F6261E7A}" name="Column14148"/>
    <tableColumn id="14156" xr3:uid="{3CB724F7-89D9-405E-9D80-CB3D5DBA72E2}" name="Column14149"/>
    <tableColumn id="14157" xr3:uid="{A7BC7344-1BCE-46EC-B875-FC0A9359EC6C}" name="Column14150"/>
    <tableColumn id="14158" xr3:uid="{19B20B4C-78DE-44FA-ADB2-005CCFFC1441}" name="Column14151"/>
    <tableColumn id="14159" xr3:uid="{F5298FFF-BDA0-41B5-BDB8-EFF4F74A0855}" name="Column14152"/>
    <tableColumn id="14160" xr3:uid="{304D0B26-6203-4AE1-88A2-8AA21E2AE16C}" name="Column14153"/>
    <tableColumn id="14161" xr3:uid="{5F83A002-16A4-46A5-8F35-E17B0950253D}" name="Column14154"/>
    <tableColumn id="14162" xr3:uid="{C8AED694-2CE2-44F1-A57E-DE0280FAB324}" name="Column14155"/>
    <tableColumn id="14163" xr3:uid="{7B95F697-ED4C-4B55-BC17-45CC545C202F}" name="Column14156"/>
    <tableColumn id="14164" xr3:uid="{DCFE0B65-FBF2-47B2-8C41-AE434D1B7027}" name="Column14157"/>
    <tableColumn id="14165" xr3:uid="{60923A01-A3DD-4AAD-9FBF-5DAD3FC8DFDA}" name="Column14158"/>
    <tableColumn id="14166" xr3:uid="{14083CC4-D586-4EF3-AFF5-3F8B228706DB}" name="Column14159"/>
    <tableColumn id="14167" xr3:uid="{2F1FF1FE-67B9-4D70-9A71-9948246A5532}" name="Column14160"/>
    <tableColumn id="14168" xr3:uid="{7946620F-9F67-4435-8B91-A5CC3EEEA181}" name="Column14161"/>
    <tableColumn id="14169" xr3:uid="{0E583B0C-D0A0-4C70-8030-C540B88E4243}" name="Column14162"/>
    <tableColumn id="14170" xr3:uid="{4CE71285-8F4B-4734-8B13-0483A90660EF}" name="Column14163"/>
    <tableColumn id="14171" xr3:uid="{A8C5769E-F95D-4C11-A801-0D2948BBB92A}" name="Column14164"/>
    <tableColumn id="14172" xr3:uid="{FBF28FC6-19EA-4B39-8926-F880C890749B}" name="Column14165"/>
    <tableColumn id="14173" xr3:uid="{9CF8B3D4-8564-4AA7-93DE-253F8E10532C}" name="Column14166"/>
    <tableColumn id="14174" xr3:uid="{41F6B07B-5429-4542-BE5D-364138B50E04}" name="Column14167"/>
    <tableColumn id="14175" xr3:uid="{E05FFECA-01DE-4A52-A0D4-8C18AA000FD0}" name="Column14168"/>
    <tableColumn id="14176" xr3:uid="{0F061D18-C3E0-4825-A065-17F70CA52423}" name="Column14169"/>
    <tableColumn id="14177" xr3:uid="{CA12B31E-854C-4078-ACF6-D28C83C9A921}" name="Column14170"/>
    <tableColumn id="14178" xr3:uid="{533D292D-E96D-4946-874C-49D1C7B443AB}" name="Column14171"/>
    <tableColumn id="14179" xr3:uid="{3E770A1A-D36B-4148-A28B-8215FAC42A6F}" name="Column14172"/>
    <tableColumn id="14180" xr3:uid="{2B9D7BF6-FF8E-4973-AD37-B150B8288828}" name="Column14173"/>
    <tableColumn id="14181" xr3:uid="{2BABF07C-FBF0-49B5-8D45-A80D7F4CD8EC}" name="Column14174"/>
    <tableColumn id="14182" xr3:uid="{0ECF90B3-DC70-433C-BF94-971E2383C302}" name="Column14175"/>
    <tableColumn id="14183" xr3:uid="{E280617D-7DC4-44BE-8A2F-473930C9D7E9}" name="Column14176"/>
    <tableColumn id="14184" xr3:uid="{E80CCB97-3EBD-4E69-A085-9B366D4DAA9C}" name="Column14177"/>
    <tableColumn id="14185" xr3:uid="{DA39356A-0E5B-4B5E-8930-C20DF5C904FC}" name="Column14178"/>
    <tableColumn id="14186" xr3:uid="{69722181-640B-42A2-9546-4EE8BAEA2F7F}" name="Column14179"/>
    <tableColumn id="14187" xr3:uid="{E08ABFD4-66E6-4C69-9268-6EF82602352D}" name="Column14180"/>
    <tableColumn id="14188" xr3:uid="{E8A5A5DC-D836-4F5A-B1A0-1D8C791BA6DD}" name="Column14181"/>
    <tableColumn id="14189" xr3:uid="{27118FE1-6CAB-4B53-9D21-3F5C7B7FE751}" name="Column14182"/>
    <tableColumn id="14190" xr3:uid="{526BD0FB-6EAF-43AB-A6B3-7852EB1C7F61}" name="Column14183"/>
    <tableColumn id="14191" xr3:uid="{E1365060-B854-4A33-B27F-C3CF10822783}" name="Column14184"/>
    <tableColumn id="14192" xr3:uid="{FFD3C0EC-2327-4315-A2CC-4F54DBA312F6}" name="Column14185"/>
    <tableColumn id="14193" xr3:uid="{E392CA06-85DD-4804-9BC4-77DDC536B765}" name="Column14186"/>
    <tableColumn id="14194" xr3:uid="{C972451B-FD80-4833-A9F9-9A0D03638C33}" name="Column14187"/>
    <tableColumn id="14195" xr3:uid="{8ABBCBE3-E1F9-4E32-9385-59FA45B53DA2}" name="Column14188"/>
    <tableColumn id="14196" xr3:uid="{F07C7A8D-BA09-4DCC-9521-F55E1A8EE3F7}" name="Column14189"/>
    <tableColumn id="14197" xr3:uid="{9F72F9D9-CC22-4902-B2E7-C9B6D46F4967}" name="Column14190"/>
    <tableColumn id="14198" xr3:uid="{3DF04002-3A70-4208-8900-BE2E6907C508}" name="Column14191"/>
    <tableColumn id="14199" xr3:uid="{82C47A47-A421-4B62-AD85-B2EAC412B237}" name="Column14192"/>
    <tableColumn id="14200" xr3:uid="{4224DB43-9F57-4FCC-806B-7032B26B43C5}" name="Column14193"/>
    <tableColumn id="14201" xr3:uid="{0FAF9C76-483C-4EDD-B2DF-47A5B11295D6}" name="Column14194"/>
    <tableColumn id="14202" xr3:uid="{B2ADB9B9-0A49-4B1E-B783-C18BAC814918}" name="Column14195"/>
    <tableColumn id="14203" xr3:uid="{499F3467-0878-47FF-9CA0-76F18B4561C5}" name="Column14196"/>
    <tableColumn id="14204" xr3:uid="{F47EDA18-FEFF-4698-B2AB-21DEF35DCE21}" name="Column14197"/>
    <tableColumn id="14205" xr3:uid="{10F96C48-66DE-4931-A723-7493692FC084}" name="Column14198"/>
    <tableColumn id="14206" xr3:uid="{085B66C8-7940-422A-A0FB-5CF092D113CC}" name="Column14199"/>
    <tableColumn id="14207" xr3:uid="{F4C2DF8C-CA59-4A08-AE43-2BAE657949CE}" name="Column14200"/>
    <tableColumn id="14208" xr3:uid="{4A3108BD-5B21-4EE6-B3EA-E993CF6B4D70}" name="Column14201"/>
    <tableColumn id="14209" xr3:uid="{D0D8A3C7-2658-4AB3-958B-474A41F5EC31}" name="Column14202"/>
    <tableColumn id="14210" xr3:uid="{E200D933-31F1-4718-BCDF-2F551A02F970}" name="Column14203"/>
    <tableColumn id="14211" xr3:uid="{3D7D189C-F10B-447F-8DA9-1B1CC91E8D53}" name="Column14204"/>
    <tableColumn id="14212" xr3:uid="{EC3308DD-5887-43AF-80CC-426403B711CC}" name="Column14205"/>
    <tableColumn id="14213" xr3:uid="{8AD59A44-AC50-4EB9-9802-ABCBA1AFF77F}" name="Column14206"/>
    <tableColumn id="14214" xr3:uid="{8220ACAB-3CB3-4887-A2AD-85629069D7F1}" name="Column14207"/>
    <tableColumn id="14215" xr3:uid="{133E1DA2-AE26-4B70-9F2C-7A5577DBB028}" name="Column14208"/>
    <tableColumn id="14216" xr3:uid="{2CF79110-28DD-4866-85FB-89AB4FB65226}" name="Column14209"/>
    <tableColumn id="14217" xr3:uid="{B54DE715-339A-4EDF-A919-491D547BC646}" name="Column14210"/>
    <tableColumn id="14218" xr3:uid="{AEC253B2-C766-4D86-84AD-1A56C1EAE83B}" name="Column14211"/>
    <tableColumn id="14219" xr3:uid="{BF02AD0E-2F69-4FF7-935F-A0874ECF7B78}" name="Column14212"/>
    <tableColumn id="14220" xr3:uid="{3B51833E-6266-400A-834A-82466E84C273}" name="Column14213"/>
    <tableColumn id="14221" xr3:uid="{33052A97-322F-495D-84DC-A411FA76215C}" name="Column14214"/>
    <tableColumn id="14222" xr3:uid="{FBCDD02B-70AE-421B-BEC7-35948874F2E6}" name="Column14215"/>
    <tableColumn id="14223" xr3:uid="{8A630152-A90B-46C8-8D7E-D99AF886FED4}" name="Column14216"/>
    <tableColumn id="14224" xr3:uid="{D094918D-1A62-45A8-B7CF-C0AE0F804096}" name="Column14217"/>
    <tableColumn id="14225" xr3:uid="{F74A443C-DB6B-4A11-91C5-5D0CD719D21C}" name="Column14218"/>
    <tableColumn id="14226" xr3:uid="{21AE9CF6-FF3E-4105-B58F-F48B387BBECE}" name="Column14219"/>
    <tableColumn id="14227" xr3:uid="{D9523B3E-2BBB-4239-9A28-979DB768FEF6}" name="Column14220"/>
    <tableColumn id="14228" xr3:uid="{D86C592D-0E63-4AD4-A8BD-3CA15A06C18A}" name="Column14221"/>
    <tableColumn id="14229" xr3:uid="{7150E7DF-2A94-4FB8-BAAA-5E0C8CD6163E}" name="Column14222"/>
    <tableColumn id="14230" xr3:uid="{7A66E3D1-75EA-4313-B33D-EC455D314B57}" name="Column14223"/>
    <tableColumn id="14231" xr3:uid="{1A08E0BF-ED17-4C60-9DB4-8B7DBFB463ED}" name="Column14224"/>
    <tableColumn id="14232" xr3:uid="{59BD593F-A364-4921-AD41-DDE865303C37}" name="Column14225"/>
    <tableColumn id="14233" xr3:uid="{BA0C0355-EB66-4810-AFC8-61129ADFFFFB}" name="Column14226"/>
    <tableColumn id="14234" xr3:uid="{4134EEC1-73B6-4D0A-A955-077FE5F6B685}" name="Column14227"/>
    <tableColumn id="14235" xr3:uid="{595C772C-5D78-400B-8A23-12F056F79A13}" name="Column14228"/>
    <tableColumn id="14236" xr3:uid="{4AF606C3-2A54-4F0A-BC23-F76C492F7764}" name="Column14229"/>
    <tableColumn id="14237" xr3:uid="{9A1E90A5-47A4-4B25-AA74-C5225DDA793B}" name="Column14230"/>
    <tableColumn id="14238" xr3:uid="{5E5E8369-CABB-41D9-8987-3CBA6F0CDF99}" name="Column14231"/>
    <tableColumn id="14239" xr3:uid="{7F515338-36DE-4AB4-97EF-0EEB50DF464D}" name="Column14232"/>
    <tableColumn id="14240" xr3:uid="{F30960DD-D411-46E5-83B7-76E508FD9211}" name="Column14233"/>
    <tableColumn id="14241" xr3:uid="{313B8BCA-C2E4-4F41-97B1-F8382F64C25B}" name="Column14234"/>
    <tableColumn id="14242" xr3:uid="{469F1170-24B1-4BD1-AEC5-D2D481445B8B}" name="Column14235"/>
    <tableColumn id="14243" xr3:uid="{F2285DF9-7D3F-4ABA-A83F-AB9A4D1C79BF}" name="Column14236"/>
    <tableColumn id="14244" xr3:uid="{9A08C7F1-A02B-4C45-8D93-1B6C9B877244}" name="Column14237"/>
    <tableColumn id="14245" xr3:uid="{A8441C79-72E1-43C8-A831-5F65558F2262}" name="Column14238"/>
    <tableColumn id="14246" xr3:uid="{2EB537C9-4864-4F52-8B4A-9F73FBD32EA3}" name="Column14239"/>
    <tableColumn id="14247" xr3:uid="{3CE9495E-0D1C-4CA4-A398-487AA26A7BE1}" name="Column14240"/>
    <tableColumn id="14248" xr3:uid="{B76586FD-D5C4-4FF0-8537-801B5BE8E48A}" name="Column14241"/>
    <tableColumn id="14249" xr3:uid="{987D0372-BC83-4329-B1EE-912A724DAB27}" name="Column14242"/>
    <tableColumn id="14250" xr3:uid="{AD8F685F-6A13-461F-ACFA-5EA6498AD7F8}" name="Column14243"/>
    <tableColumn id="14251" xr3:uid="{22C665A2-1292-4681-884B-A7819C822B1B}" name="Column14244"/>
    <tableColumn id="14252" xr3:uid="{CCDB132D-C39C-4BF2-9799-1F06542662B3}" name="Column14245"/>
    <tableColumn id="14253" xr3:uid="{373921E1-C8A3-449D-AC72-45F22E6C8FD1}" name="Column14246"/>
    <tableColumn id="14254" xr3:uid="{B183E753-3DC4-4E24-895C-D8FACDE95558}" name="Column14247"/>
    <tableColumn id="14255" xr3:uid="{E92EE0B3-DF45-4CAF-ABF5-4DD073A29860}" name="Column14248"/>
    <tableColumn id="14256" xr3:uid="{676D1EAB-435B-4788-BB16-DC8426D92863}" name="Column14249"/>
    <tableColumn id="14257" xr3:uid="{A310F8B3-2D60-4FFC-AB26-450EF5BA7AB6}" name="Column14250"/>
    <tableColumn id="14258" xr3:uid="{9A82EDA6-31DE-41B4-A304-454BD5D278C6}" name="Column14251"/>
    <tableColumn id="14259" xr3:uid="{F8F60D87-4FD5-4609-9B44-AFC16CA5AF37}" name="Column14252"/>
    <tableColumn id="14260" xr3:uid="{8B4762EF-E193-4847-ADBD-D44E008CD551}" name="Column14253"/>
    <tableColumn id="14261" xr3:uid="{4C82C89A-E32B-4FE3-9117-94E083A798FD}" name="Column14254"/>
    <tableColumn id="14262" xr3:uid="{0BC2C37B-CEE0-46F2-8323-82DB58405EC6}" name="Column14255"/>
    <tableColumn id="14263" xr3:uid="{0CB05E27-A21E-4ADB-848F-83ACA6EA1645}" name="Column14256"/>
    <tableColumn id="14264" xr3:uid="{885EBFEB-816E-4B97-8409-0B2C44ADBE60}" name="Column14257"/>
    <tableColumn id="14265" xr3:uid="{2878B1BE-3A61-4ACE-B96A-882CEF757F8C}" name="Column14258"/>
    <tableColumn id="14266" xr3:uid="{39E939B8-2576-475F-A755-CE40D1FE1D0B}" name="Column14259"/>
    <tableColumn id="14267" xr3:uid="{B0433F36-A2D4-4346-827A-D1BE06197B74}" name="Column14260"/>
    <tableColumn id="14268" xr3:uid="{A0E189EB-7F36-4930-9D7B-81A9B8BE7944}" name="Column14261"/>
    <tableColumn id="14269" xr3:uid="{05A502B5-78F9-440B-BC15-DCA616BA086E}" name="Column14262"/>
    <tableColumn id="14270" xr3:uid="{02E03448-6395-4EE0-89CD-C33DF9F26132}" name="Column14263"/>
    <tableColumn id="14271" xr3:uid="{F7BEC63D-9138-494E-AB22-CAE75135932F}" name="Column14264"/>
    <tableColumn id="14272" xr3:uid="{D5A57F27-6DFE-4BE7-BEED-FA4253A826E8}" name="Column14265"/>
    <tableColumn id="14273" xr3:uid="{C07AAE40-5119-4CAD-BE4D-4D053CF9D3E0}" name="Column14266"/>
    <tableColumn id="14274" xr3:uid="{B10D78B0-F632-476F-836A-664E2E74F907}" name="Column14267"/>
    <tableColumn id="14275" xr3:uid="{96FD6F2A-C8A5-4F1E-8F9A-752600D23443}" name="Column14268"/>
    <tableColumn id="14276" xr3:uid="{B1B56F4F-F82F-40E9-98DD-4C66678B96A8}" name="Column14269"/>
    <tableColumn id="14277" xr3:uid="{0A9951E2-0608-4095-ABE6-AB17BE2CFE0C}" name="Column14270"/>
    <tableColumn id="14278" xr3:uid="{8D3FBDAE-B81C-413C-A6C6-534F586597C1}" name="Column14271"/>
    <tableColumn id="14279" xr3:uid="{64A9A38F-E02A-41E2-9A35-248C4F2B5D78}" name="Column14272"/>
    <tableColumn id="14280" xr3:uid="{7F8E3333-8431-47B0-92DB-2ED5D62F8441}" name="Column14273"/>
    <tableColumn id="14281" xr3:uid="{8D19E731-2250-4AEC-BD1A-F4B1C7E92AB1}" name="Column14274"/>
    <tableColumn id="14282" xr3:uid="{1143BBC5-B2E0-4796-8BC8-6F1468F0D636}" name="Column14275"/>
    <tableColumn id="14283" xr3:uid="{1FBB5BA2-92AA-4261-9C23-D8FE17A9CB1D}" name="Column14276"/>
    <tableColumn id="14284" xr3:uid="{A05F2B8A-C927-4502-9248-F77AF23F4048}" name="Column14277"/>
    <tableColumn id="14285" xr3:uid="{18099D2C-F32C-4FAA-86ED-2ADDF74DCD4C}" name="Column14278"/>
    <tableColumn id="14286" xr3:uid="{FF547ABB-6D9C-4338-A452-4103D948937C}" name="Column14279"/>
    <tableColumn id="14287" xr3:uid="{EC1D41E1-F767-42FF-B210-FD165996318D}" name="Column14280"/>
    <tableColumn id="14288" xr3:uid="{7830100A-21FD-442A-A6EE-B4A007A37A72}" name="Column14281"/>
    <tableColumn id="14289" xr3:uid="{07B3D3CD-9478-47B2-9DF1-DF7A49252CF6}" name="Column14282"/>
    <tableColumn id="14290" xr3:uid="{CDBDAEA1-6236-4E4C-BAFF-FAEB197A188F}" name="Column14283"/>
    <tableColumn id="14291" xr3:uid="{1952AD49-C85D-422F-8206-3D0C0C28D394}" name="Column14284"/>
    <tableColumn id="14292" xr3:uid="{4E82A8D1-A978-40EB-8F6E-FF3041E7A755}" name="Column14285"/>
    <tableColumn id="14293" xr3:uid="{27E1C453-9215-4548-9917-F6C6BE1078B0}" name="Column14286"/>
    <tableColumn id="14294" xr3:uid="{06A78DC9-6946-43E5-A548-740F86781D1C}" name="Column14287"/>
    <tableColumn id="14295" xr3:uid="{53221B08-BD31-4AB7-AFAE-619916AD3039}" name="Column14288"/>
    <tableColumn id="14296" xr3:uid="{79469170-38D3-4A44-81CB-FB8D1346E86E}" name="Column14289"/>
    <tableColumn id="14297" xr3:uid="{578FEF63-3126-4A77-AE19-8B7476726F5D}" name="Column14290"/>
    <tableColumn id="14298" xr3:uid="{B481D2D4-E650-480C-BA0F-53E7C9AB31C6}" name="Column14291"/>
    <tableColumn id="14299" xr3:uid="{5C80BD51-4C6E-480A-AABA-A36F77F541FD}" name="Column14292"/>
    <tableColumn id="14300" xr3:uid="{FA57CBE5-F725-463F-94D7-D3F4368C5FC5}" name="Column14293"/>
    <tableColumn id="14301" xr3:uid="{1CAA4FB2-1C71-4516-BE92-F97EECB1AB39}" name="Column14294"/>
    <tableColumn id="14302" xr3:uid="{411D7B12-B122-47BA-82A0-D0EB05CC48A8}" name="Column14295"/>
    <tableColumn id="14303" xr3:uid="{E257A41C-4867-406D-9001-B4F52869CE4E}" name="Column14296"/>
    <tableColumn id="14304" xr3:uid="{09E7E034-5B0D-4AD5-8331-207FAB72E394}" name="Column14297"/>
    <tableColumn id="14305" xr3:uid="{927A0C14-57E4-451F-B3EC-CE66A1E0D25B}" name="Column14298"/>
    <tableColumn id="14306" xr3:uid="{562C83A2-F5BA-4F0E-A9A8-D9F9B0CC7597}" name="Column14299"/>
    <tableColumn id="14307" xr3:uid="{0581FE41-C5E8-43B3-8334-3E9246D38310}" name="Column14300"/>
    <tableColumn id="14308" xr3:uid="{BEB2080A-547A-468A-9386-F22F7B2A5471}" name="Column14301"/>
    <tableColumn id="14309" xr3:uid="{0A617194-848A-40F8-B9B9-95638806822B}" name="Column14302"/>
    <tableColumn id="14310" xr3:uid="{32EF1016-1409-4A9C-ADF5-15FFBA9CACEC}" name="Column14303"/>
    <tableColumn id="14311" xr3:uid="{B79023E8-C3E9-4F9F-9FE5-0227D9D34FF1}" name="Column14304"/>
    <tableColumn id="14312" xr3:uid="{EDE693AB-F4BC-4043-A8A3-6AFED34D3626}" name="Column14305"/>
    <tableColumn id="14313" xr3:uid="{6B528150-ECB5-4F33-88EB-3DC8C968EE63}" name="Column14306"/>
    <tableColumn id="14314" xr3:uid="{729D7653-DADB-4F5D-BA23-919EA4D4C1DB}" name="Column14307"/>
    <tableColumn id="14315" xr3:uid="{DDB23633-F841-499B-BC7D-BF8926FB6C69}" name="Column14308"/>
    <tableColumn id="14316" xr3:uid="{8105B0DE-4000-48E9-B056-225642E39C70}" name="Column14309"/>
    <tableColumn id="14317" xr3:uid="{DD43141D-9805-4A3E-8966-811C01D3C930}" name="Column14310"/>
    <tableColumn id="14318" xr3:uid="{526AF502-F91B-4FA8-A1E6-9B19A71E4084}" name="Column14311"/>
    <tableColumn id="14319" xr3:uid="{492ED51A-2F6E-4EF0-9653-8FBF3B576495}" name="Column14312"/>
    <tableColumn id="14320" xr3:uid="{D380701D-33DC-45AA-9798-B6ED80CFF6E2}" name="Column14313"/>
    <tableColumn id="14321" xr3:uid="{CE41F0E8-7752-4CA0-997C-19343097C723}" name="Column14314"/>
    <tableColumn id="14322" xr3:uid="{A06B8658-9275-4F31-9A4D-844138E38295}" name="Column14315"/>
    <tableColumn id="14323" xr3:uid="{1035CB01-4FBE-465D-B2A1-69251C6177F9}" name="Column14316"/>
    <tableColumn id="14324" xr3:uid="{B3272B08-CE55-4150-9617-854C0FA2645E}" name="Column14317"/>
    <tableColumn id="14325" xr3:uid="{1D5B3C90-94A3-42E4-A6D4-3645B02960A7}" name="Column14318"/>
    <tableColumn id="14326" xr3:uid="{C50CE46B-F497-488A-985B-95631872BE94}" name="Column14319"/>
    <tableColumn id="14327" xr3:uid="{A22542B1-F76C-464D-8884-3FA12E6F3B64}" name="Column14320"/>
    <tableColumn id="14328" xr3:uid="{AEAB5BF0-C4CE-457E-801C-CF8E861C2058}" name="Column14321"/>
    <tableColumn id="14329" xr3:uid="{4F6D168C-F49F-4F59-9B2B-5F9650BEC29D}" name="Column14322"/>
    <tableColumn id="14330" xr3:uid="{3602E23C-D346-4BC6-87BD-41C9AF6042A5}" name="Column14323"/>
    <tableColumn id="14331" xr3:uid="{F964BCA5-9C28-47B8-929C-77492B719281}" name="Column14324"/>
    <tableColumn id="14332" xr3:uid="{F51EE8BE-B30B-4E62-8111-B238AC21A83A}" name="Column14325"/>
    <tableColumn id="14333" xr3:uid="{F5E6F90A-5F81-4AD5-9726-8CBB50433030}" name="Column14326"/>
    <tableColumn id="14334" xr3:uid="{DEC8A6C9-0369-4121-A781-D56F3800E6B7}" name="Column14327"/>
    <tableColumn id="14335" xr3:uid="{580A2A1E-C308-40C1-B999-A6CC3333AEBD}" name="Column14328"/>
    <tableColumn id="14336" xr3:uid="{AC63B0EE-DEB4-4F6C-A033-DB69D8123BA0}" name="Column14329"/>
    <tableColumn id="14337" xr3:uid="{E7091AE0-DCB7-46E3-800C-4E11BB132FE8}" name="Column14330"/>
    <tableColumn id="14338" xr3:uid="{AECEBF19-7793-472A-8EF9-5B1A57B03B53}" name="Column14331"/>
    <tableColumn id="14339" xr3:uid="{2D6C4EA5-F40B-4421-A08A-F6555FB860EA}" name="Column14332"/>
    <tableColumn id="14340" xr3:uid="{7542149D-641D-44EF-ACB0-42297C1522F1}" name="Column14333"/>
    <tableColumn id="14341" xr3:uid="{A6530FC1-E26D-4C83-86EB-B7DA874EBDFC}" name="Column14334"/>
    <tableColumn id="14342" xr3:uid="{42B68638-33FA-450A-8DF7-E3054CDF4EC5}" name="Column14335"/>
    <tableColumn id="14343" xr3:uid="{3D322B1E-CDBA-4EAF-BB62-D179FC7DFA28}" name="Column14336"/>
    <tableColumn id="14344" xr3:uid="{CB879C55-2DDF-450C-AEC6-515714D1C79B}" name="Column14337"/>
    <tableColumn id="14345" xr3:uid="{9EE527D6-C4BC-4676-8D36-9468BC049BC6}" name="Column14338"/>
    <tableColumn id="14346" xr3:uid="{CC10592E-49C1-45D3-804C-E1B37988A1DE}" name="Column14339"/>
    <tableColumn id="14347" xr3:uid="{1407A162-2800-4D24-9D2F-F07D82571E13}" name="Column14340"/>
    <tableColumn id="14348" xr3:uid="{26D392B6-D3F3-4BEB-9384-EA70B11A2CE0}" name="Column14341"/>
    <tableColumn id="14349" xr3:uid="{08BB30BF-2CBE-4670-9348-3DF3A577F190}" name="Column14342"/>
    <tableColumn id="14350" xr3:uid="{824F637F-5E90-47B7-AF14-AB1E1C9334C3}" name="Column14343"/>
    <tableColumn id="14351" xr3:uid="{67A11464-84B7-4826-9D82-F2E66FA92A54}" name="Column14344"/>
    <tableColumn id="14352" xr3:uid="{DF845A23-C599-469D-B653-B465C9D54163}" name="Column14345"/>
    <tableColumn id="14353" xr3:uid="{D07A7B49-48ED-4DB9-9FAE-DF3B6BB2048E}" name="Column14346"/>
    <tableColumn id="14354" xr3:uid="{9BF2911F-BE45-4E68-8985-7CD9A2BC6B5B}" name="Column14347"/>
    <tableColumn id="14355" xr3:uid="{EC4FE7CA-3B12-4187-9637-D0984AC0B7B2}" name="Column14348"/>
    <tableColumn id="14356" xr3:uid="{3E00006E-CCCA-4206-89B2-67A3A01B3572}" name="Column14349"/>
    <tableColumn id="14357" xr3:uid="{2C851163-C770-4BE4-B981-DBBD2EAA658B}" name="Column14350"/>
    <tableColumn id="14358" xr3:uid="{858EC8C2-E0B2-4E13-97C0-C54C5C2AA970}" name="Column14351"/>
    <tableColumn id="14359" xr3:uid="{5AAD9474-EA45-4292-A943-E9E6118C1FB4}" name="Column14352"/>
    <tableColumn id="14360" xr3:uid="{03A5367D-984C-4B96-BF1A-DBB766364AFB}" name="Column14353"/>
    <tableColumn id="14361" xr3:uid="{A889E92E-9C08-479D-8CE7-1C6F4F23DB9B}" name="Column14354"/>
    <tableColumn id="14362" xr3:uid="{23B1E318-BF83-434D-BA62-B04BFA0F596C}" name="Column14355"/>
    <tableColumn id="14363" xr3:uid="{BFCED568-490D-4068-9644-5128C78DA405}" name="Column14356"/>
    <tableColumn id="14364" xr3:uid="{495A2774-D012-433C-9F8F-E9AE0E3B7CE8}" name="Column14357"/>
    <tableColumn id="14365" xr3:uid="{B0A3090E-4431-44E9-A79D-B1173E5C40AC}" name="Column14358"/>
    <tableColumn id="14366" xr3:uid="{855978C1-7951-477D-BCC7-4C0A60473B8E}" name="Column14359"/>
    <tableColumn id="14367" xr3:uid="{288EEBBF-CF4E-4E87-8D51-48676F442A43}" name="Column14360"/>
    <tableColumn id="14368" xr3:uid="{2B69F387-BB2F-4178-8DF6-58E3EC392ADF}" name="Column14361"/>
    <tableColumn id="14369" xr3:uid="{DB06A2DB-7C43-493F-AD31-CEF214B9D26B}" name="Column14362"/>
    <tableColumn id="14370" xr3:uid="{FFC541ED-C8F7-40F5-908B-1C489B87EF1E}" name="Column14363"/>
    <tableColumn id="14371" xr3:uid="{613FB14F-FA97-46D4-BAB2-E8A8D2DAA158}" name="Column14364"/>
    <tableColumn id="14372" xr3:uid="{D05456F7-6737-4CDD-8050-C88F5B66770F}" name="Column14365"/>
    <tableColumn id="14373" xr3:uid="{58740D00-B6E9-4DDA-9CDD-02CA0ACC80CF}" name="Column14366"/>
    <tableColumn id="14374" xr3:uid="{D72296DD-85BA-4578-8FB4-4C74D0D41720}" name="Column14367"/>
    <tableColumn id="14375" xr3:uid="{E9C6D7E0-9849-40D1-8D1D-81C1E1307A80}" name="Column14368"/>
    <tableColumn id="14376" xr3:uid="{CC8753F7-CB77-4096-B305-851ED493AAF5}" name="Column14369"/>
    <tableColumn id="14377" xr3:uid="{2E9333D0-B99E-4459-A76B-DA44F8703C93}" name="Column14370"/>
    <tableColumn id="14378" xr3:uid="{0D6CB217-919C-4772-B942-7B7033E22B51}" name="Column14371"/>
    <tableColumn id="14379" xr3:uid="{DE4E3E10-1BF5-4D9A-8DFB-55A22ECA4C5E}" name="Column14372"/>
    <tableColumn id="14380" xr3:uid="{B7324375-64F2-4515-AF64-58F14DE48A64}" name="Column14373"/>
    <tableColumn id="14381" xr3:uid="{225B36E9-1527-48DD-A1DC-EBB64D5E2F46}" name="Column14374"/>
    <tableColumn id="14382" xr3:uid="{05F9FD21-BACE-48E9-AF59-FDF0CE57AAFF}" name="Column14375"/>
    <tableColumn id="14383" xr3:uid="{89FC108B-3465-42C5-B7D6-22E7425A09CA}" name="Column14376"/>
    <tableColumn id="14384" xr3:uid="{E490BB2E-6EE4-472D-9E24-8B3C62690EB9}" name="Column14377"/>
    <tableColumn id="14385" xr3:uid="{A7C24480-9CEE-4579-AF8D-4F26065D6496}" name="Column14378"/>
    <tableColumn id="14386" xr3:uid="{09E52763-6189-40AF-84BA-89E575D3A6E7}" name="Column14379"/>
    <tableColumn id="14387" xr3:uid="{E9FA4B15-E267-46D3-B5C6-CC57F51AA6CD}" name="Column14380"/>
    <tableColumn id="14388" xr3:uid="{86D8C9F0-9FC5-424D-AD9B-8FCD2E7B18B9}" name="Column14381"/>
    <tableColumn id="14389" xr3:uid="{5EDA31ED-1ED8-4C47-B111-63BA7740086F}" name="Column14382"/>
    <tableColumn id="14390" xr3:uid="{665A1965-3417-4ABF-8823-5974BEDCB3B1}" name="Column14383"/>
    <tableColumn id="14391" xr3:uid="{1A257D04-4A50-4D67-93E3-3E85AE67D9B5}" name="Column14384"/>
    <tableColumn id="14392" xr3:uid="{5663D3D6-44A8-4D1D-AEAA-008793C930E1}" name="Column14385"/>
    <tableColumn id="14393" xr3:uid="{2325E953-4D86-4441-B6AC-A7C846537185}" name="Column14386"/>
    <tableColumn id="14394" xr3:uid="{EF20A73A-6567-43B1-A41E-9B8B72EFAF8D}" name="Column14387"/>
    <tableColumn id="14395" xr3:uid="{6200DD9C-1E46-4B0B-A27E-8A78B68C2FEE}" name="Column14388"/>
    <tableColumn id="14396" xr3:uid="{9FC921E3-A4E0-40CF-ABC8-67E30AC4538D}" name="Column14389"/>
    <tableColumn id="14397" xr3:uid="{4DDA7E2C-274B-47AA-89B6-4EBDB016C888}" name="Column14390"/>
    <tableColumn id="14398" xr3:uid="{E42837EF-B694-41EF-AD4B-73EAE163299A}" name="Column14391"/>
    <tableColumn id="14399" xr3:uid="{3CFB5093-D698-45DA-B34F-083EDC27718F}" name="Column14392"/>
    <tableColumn id="14400" xr3:uid="{62D293E8-14AD-4C8E-B15A-C405AD5B83B5}" name="Column14393"/>
    <tableColumn id="14401" xr3:uid="{9408A673-160D-425F-A96A-5BE80E3B8B6D}" name="Column14394"/>
    <tableColumn id="14402" xr3:uid="{6BADE3C4-81A2-448C-91D6-12662E5B296F}" name="Column14395"/>
    <tableColumn id="14403" xr3:uid="{4D8C1AC2-B3A6-41D3-A316-3642A419F203}" name="Column14396"/>
    <tableColumn id="14404" xr3:uid="{4CE27F26-6CFC-4DD2-A954-448BC25CDE90}" name="Column14397"/>
    <tableColumn id="14405" xr3:uid="{448F8342-39E9-469F-A162-CCA2ABB51EE9}" name="Column14398"/>
    <tableColumn id="14406" xr3:uid="{AF1134F3-AB1F-47F9-8736-AA537A3D4188}" name="Column14399"/>
    <tableColumn id="14407" xr3:uid="{C5C309D2-2860-4DC4-A1F2-8F9144F13058}" name="Column14400"/>
    <tableColumn id="14408" xr3:uid="{9666C9A6-61EB-4CD0-BA34-A6176E285E59}" name="Column14401"/>
    <tableColumn id="14409" xr3:uid="{0488968D-21DC-42F2-B82B-096A468E188C}" name="Column14402"/>
    <tableColumn id="14410" xr3:uid="{908205A8-8C5A-482D-A8AF-1A20475059A0}" name="Column14403"/>
    <tableColumn id="14411" xr3:uid="{C449B48C-A71A-4EB1-B3E0-EBF75AEA4753}" name="Column14404"/>
    <tableColumn id="14412" xr3:uid="{7F4B4C87-1D0A-4451-9036-798B52EBAFE1}" name="Column14405"/>
    <tableColumn id="14413" xr3:uid="{AE716ECD-0C6F-43B8-9E49-6084A66304A9}" name="Column14406"/>
    <tableColumn id="14414" xr3:uid="{75A9CFC9-893D-42AC-A4A2-A6E56AE23912}" name="Column14407"/>
    <tableColumn id="14415" xr3:uid="{FBB5007A-2DA7-4774-AFDC-147421BC915A}" name="Column14408"/>
    <tableColumn id="14416" xr3:uid="{FFB3AEF1-5C22-4DA6-8C09-1F987143AC77}" name="Column14409"/>
    <tableColumn id="14417" xr3:uid="{5DD726F6-32E6-4BA6-A5E4-1033BBE27067}" name="Column14410"/>
    <tableColumn id="14418" xr3:uid="{4FE61032-59F4-4B20-A8FA-E04AB79441F9}" name="Column14411"/>
    <tableColumn id="14419" xr3:uid="{56F7EB93-0CCB-42DA-8DDB-48EDFD257327}" name="Column14412"/>
    <tableColumn id="14420" xr3:uid="{489B250F-C6A6-4BB7-AE00-5724EA90EC32}" name="Column14413"/>
    <tableColumn id="14421" xr3:uid="{41E840A5-D0AB-40EE-A62E-C8872D1C27A3}" name="Column14414"/>
    <tableColumn id="14422" xr3:uid="{4CDB24E9-6072-4DED-B64C-1F93C858FB0D}" name="Column14415"/>
    <tableColumn id="14423" xr3:uid="{1CF5F66F-6747-4BEA-8CDF-8E21E05C9877}" name="Column14416"/>
    <tableColumn id="14424" xr3:uid="{A6261AE2-E74B-4D9A-BA38-17C6245D6ED4}" name="Column14417"/>
    <tableColumn id="14425" xr3:uid="{55D2B0F5-B36A-4D99-ADCB-A434E24840B8}" name="Column14418"/>
    <tableColumn id="14426" xr3:uid="{D52823EA-4EB6-4B99-8855-884645AFBFBF}" name="Column14419"/>
    <tableColumn id="14427" xr3:uid="{32431DFD-BCFA-40B5-BDD5-2F9D8554EFA8}" name="Column14420"/>
    <tableColumn id="14428" xr3:uid="{115BAF20-915A-47F1-9F76-73404D7C41EA}" name="Column14421"/>
    <tableColumn id="14429" xr3:uid="{49EDE55E-D49C-4569-A2CF-BBEE58477E34}" name="Column14422"/>
    <tableColumn id="14430" xr3:uid="{A4E121DF-C2AB-45F8-84C1-93A729FA6F00}" name="Column14423"/>
    <tableColumn id="14431" xr3:uid="{80FF6DC7-3251-4AF5-B11F-D328036C8813}" name="Column14424"/>
    <tableColumn id="14432" xr3:uid="{C8F06712-5EBF-4E98-B74E-1E9AA96D3E67}" name="Column14425"/>
    <tableColumn id="14433" xr3:uid="{A579AC6B-938A-4035-B6F2-1B9B4C04445F}" name="Column14426"/>
    <tableColumn id="14434" xr3:uid="{7D9A0608-C184-4E8C-BD38-5548B97EABDA}" name="Column14427"/>
    <tableColumn id="14435" xr3:uid="{604B0868-3DE4-4E66-B77B-6A999A0C8E1C}" name="Column14428"/>
    <tableColumn id="14436" xr3:uid="{536FFD97-6C71-4E33-8919-4E88822F96D7}" name="Column14429"/>
    <tableColumn id="14437" xr3:uid="{4360D6FF-9263-4F93-B56B-EE5EC268D535}" name="Column14430"/>
    <tableColumn id="14438" xr3:uid="{45D39267-E75D-408C-A530-2F2A61E1B4E5}" name="Column14431"/>
    <tableColumn id="14439" xr3:uid="{F1236EF0-9086-4EC1-8A89-AEC49DF54CEA}" name="Column14432"/>
    <tableColumn id="14440" xr3:uid="{C41D50B2-6002-4DFC-8BE8-8365C34458B4}" name="Column14433"/>
    <tableColumn id="14441" xr3:uid="{7D97C8F7-1CC4-4E57-9C13-E21D3608FC5A}" name="Column14434"/>
    <tableColumn id="14442" xr3:uid="{469C64CA-E1D9-4953-A8DF-94590790E8B5}" name="Column14435"/>
    <tableColumn id="14443" xr3:uid="{6DC02F18-2EB7-4452-B86F-97BA331CF65F}" name="Column14436"/>
    <tableColumn id="14444" xr3:uid="{319ABA01-6A39-4D84-8796-5D8E7EEF9551}" name="Column14437"/>
    <tableColumn id="14445" xr3:uid="{B59BA42B-4182-4BD3-AC28-D29E42185A96}" name="Column14438"/>
    <tableColumn id="14446" xr3:uid="{A9855256-16F4-43BB-87E0-F94AED5C3AA5}" name="Column14439"/>
    <tableColumn id="14447" xr3:uid="{FE5EFAC2-58DD-4EEC-8B99-5EF748715461}" name="Column14440"/>
    <tableColumn id="14448" xr3:uid="{4C2DD022-CCD5-41A1-9FF1-DD1174841550}" name="Column14441"/>
    <tableColumn id="14449" xr3:uid="{96442539-4910-49C5-AE89-BAEF12C96C1A}" name="Column14442"/>
    <tableColumn id="14450" xr3:uid="{37D82084-38E6-4EB7-90E7-23AE736BE60A}" name="Column14443"/>
    <tableColumn id="14451" xr3:uid="{747B7743-907C-40F0-8174-593F1915BB5F}" name="Column14444"/>
    <tableColumn id="14452" xr3:uid="{FE892B98-492D-4D69-A22B-BC5E4B5D82CC}" name="Column14445"/>
    <tableColumn id="14453" xr3:uid="{564D306A-FFDD-4A2A-8719-01BE9AA37663}" name="Column14446"/>
    <tableColumn id="14454" xr3:uid="{58BF31CE-0CA3-4C08-87D9-6296A4B932B1}" name="Column14447"/>
    <tableColumn id="14455" xr3:uid="{D19A5E1F-96DF-455B-BCB5-253A7481ED37}" name="Column14448"/>
    <tableColumn id="14456" xr3:uid="{299F3201-E192-4B86-84E0-9FD5B6939939}" name="Column14449"/>
    <tableColumn id="14457" xr3:uid="{64892C35-4250-467C-B17C-EFCB75D661AC}" name="Column14450"/>
    <tableColumn id="14458" xr3:uid="{5B467471-683F-47B9-82F4-0F03AA73647C}" name="Column14451"/>
    <tableColumn id="14459" xr3:uid="{F634CBFA-D7EE-4FF0-B37D-6A895177C1B6}" name="Column14452"/>
    <tableColumn id="14460" xr3:uid="{F8BBDA7B-D1C2-4C19-BD4A-B8BECCE67EBC}" name="Column14453"/>
    <tableColumn id="14461" xr3:uid="{C6F3D38E-E69D-4B94-BC94-F628F6C3F05E}" name="Column14454"/>
    <tableColumn id="14462" xr3:uid="{753BD855-D076-4165-AAD2-9654B7F1E6FA}" name="Column14455"/>
    <tableColumn id="14463" xr3:uid="{AA48B0CD-D2EB-4AA3-9FA6-718AD8A05682}" name="Column14456"/>
    <tableColumn id="14464" xr3:uid="{9042330B-D60C-4E1E-8F13-7297C0D0D397}" name="Column14457"/>
    <tableColumn id="14465" xr3:uid="{8B191849-EA7F-4890-A37E-5C960C0D3EB0}" name="Column14458"/>
    <tableColumn id="14466" xr3:uid="{F548A9C6-31F8-4B85-A045-51105E7E12D4}" name="Column14459"/>
    <tableColumn id="14467" xr3:uid="{8B397B35-CC4E-44FD-8A43-C64F90F3C2E5}" name="Column14460"/>
    <tableColumn id="14468" xr3:uid="{1614F573-7313-410D-8BCF-A0B56FBDDE37}" name="Column14461"/>
    <tableColumn id="14469" xr3:uid="{07E33920-007B-4AC3-9C91-F52520CCD0AC}" name="Column14462"/>
    <tableColumn id="14470" xr3:uid="{6BDAEF48-DBDE-4176-AC88-E772B25F5073}" name="Column14463"/>
    <tableColumn id="14471" xr3:uid="{D09F4403-8DDA-4A8D-B284-00A6E3EACABC}" name="Column14464"/>
    <tableColumn id="14472" xr3:uid="{411A6AAF-3113-4984-A8BF-F7ABD1253FEE}" name="Column14465"/>
    <tableColumn id="14473" xr3:uid="{8534F5CA-708A-46AC-9CEA-5AD2EA5BF85F}" name="Column14466"/>
    <tableColumn id="14474" xr3:uid="{2EEF45A8-5419-4DA6-A8A6-44D5BD7EEEB8}" name="Column14467"/>
    <tableColumn id="14475" xr3:uid="{E05AE442-DF64-4972-9186-F90AE1515C2B}" name="Column14468"/>
    <tableColumn id="14476" xr3:uid="{594574A8-40B7-498F-A658-0AF2384A2FA4}" name="Column14469"/>
    <tableColumn id="14477" xr3:uid="{D8308C23-A5FF-4B40-94ED-5BD19335B445}" name="Column14470"/>
    <tableColumn id="14478" xr3:uid="{2C15A6F1-9E16-4FA0-BFD8-B3AF5114D861}" name="Column14471"/>
    <tableColumn id="14479" xr3:uid="{7C36B782-667A-48FD-8E27-F13E8E193166}" name="Column14472"/>
    <tableColumn id="14480" xr3:uid="{A0864617-3D36-4172-A549-1469A33734AC}" name="Column14473"/>
    <tableColumn id="14481" xr3:uid="{BED3962B-4E79-476C-BEE7-FEBA1DC31118}" name="Column14474"/>
    <tableColumn id="14482" xr3:uid="{D70D9EFF-DB09-4351-A361-BF4C2B1C7D6D}" name="Column14475"/>
    <tableColumn id="14483" xr3:uid="{3FF35668-BFA5-4596-9E28-062BD306F815}" name="Column14476"/>
    <tableColumn id="14484" xr3:uid="{AA199627-D551-47D6-A687-636B7DD3415D}" name="Column14477"/>
    <tableColumn id="14485" xr3:uid="{0C996FAE-026A-494B-AC36-E32696065113}" name="Column14478"/>
    <tableColumn id="14486" xr3:uid="{C1B518B4-2C0C-42A4-A125-FC69D8F857B7}" name="Column14479"/>
    <tableColumn id="14487" xr3:uid="{4EC8A555-ED8B-4E6E-A39D-586CBF2CBEE7}" name="Column14480"/>
    <tableColumn id="14488" xr3:uid="{75D3B9FE-F734-4715-A989-0025C9FD174B}" name="Column14481"/>
    <tableColumn id="14489" xr3:uid="{47EF1E74-FD38-4504-99DC-03797E606771}" name="Column14482"/>
    <tableColumn id="14490" xr3:uid="{6366B69B-41CE-4AFA-BF2F-B6CADDC938D8}" name="Column14483"/>
    <tableColumn id="14491" xr3:uid="{ECA9FBAC-C303-45AE-B256-36EE3D2414C1}" name="Column14484"/>
    <tableColumn id="14492" xr3:uid="{D7BF4A20-3C90-4DF7-9E12-22252807AC6D}" name="Column14485"/>
    <tableColumn id="14493" xr3:uid="{DD9139F4-C6EA-423C-A2AE-4A0B384AE64F}" name="Column14486"/>
    <tableColumn id="14494" xr3:uid="{3DAC17D8-4CEF-470B-9A33-1EA7E0274E92}" name="Column14487"/>
    <tableColumn id="14495" xr3:uid="{34AFBBA4-51E8-4111-98F6-0DBD6A98C304}" name="Column14488"/>
    <tableColumn id="14496" xr3:uid="{8735D277-663C-46E2-8B04-06502C74C8B5}" name="Column14489"/>
    <tableColumn id="14497" xr3:uid="{AE846CD6-A41F-475B-A12A-887BA6BD4BC0}" name="Column14490"/>
    <tableColumn id="14498" xr3:uid="{FA16D492-D7C2-4B46-8E51-F4E8246E5AB3}" name="Column14491"/>
    <tableColumn id="14499" xr3:uid="{1BBEB88D-5E46-4582-8D2B-771CE04C882F}" name="Column14492"/>
    <tableColumn id="14500" xr3:uid="{4E7E38A5-779C-4CB2-A004-62CF1193B0BD}" name="Column14493"/>
    <tableColumn id="14501" xr3:uid="{C07A9EB8-69EA-4A98-91A2-348FCA640C94}" name="Column14494"/>
    <tableColumn id="14502" xr3:uid="{976360B5-4BE0-4B43-B111-4EE94FC9ED2E}" name="Column14495"/>
    <tableColumn id="14503" xr3:uid="{4743147D-2EFB-4940-B5A6-64C32C224CBA}" name="Column14496"/>
    <tableColumn id="14504" xr3:uid="{98867FC1-FA0E-4581-B95C-AB7B6BE60942}" name="Column14497"/>
    <tableColumn id="14505" xr3:uid="{B254BE16-ECB9-4788-A4CF-8E13087662F0}" name="Column14498"/>
    <tableColumn id="14506" xr3:uid="{15182851-E9BC-43FB-AE80-0EEF7D4FAAA2}" name="Column14499"/>
    <tableColumn id="14507" xr3:uid="{5EDA0563-5073-4765-8AD1-48C778C1F74D}" name="Column14500"/>
    <tableColumn id="14508" xr3:uid="{6CE98CF8-B0C4-4B0E-B3FB-EEC1AC8702A2}" name="Column14501"/>
    <tableColumn id="14509" xr3:uid="{C7706EE8-4372-40B1-BF1C-DA8D81C92B2F}" name="Column14502"/>
    <tableColumn id="14510" xr3:uid="{F3E5920E-F2DF-4C49-8B69-7FD45B958135}" name="Column14503"/>
    <tableColumn id="14511" xr3:uid="{3463366F-6E72-4FC9-9114-4E5CB19AC5D4}" name="Column14504"/>
    <tableColumn id="14512" xr3:uid="{BA79DD01-DD05-4194-B589-BC5281D2458D}" name="Column14505"/>
    <tableColumn id="14513" xr3:uid="{F221C36E-7E23-4F3A-BBB6-F433AC8BD0F5}" name="Column14506"/>
    <tableColumn id="14514" xr3:uid="{AE295DEF-569B-40E6-92C8-580EB5650BEB}" name="Column14507"/>
    <tableColumn id="14515" xr3:uid="{EEEF25A0-9D5A-4CD0-A68E-C07F367446AD}" name="Column14508"/>
    <tableColumn id="14516" xr3:uid="{69164842-5C03-4313-B4AA-8B7579B51FA3}" name="Column14509"/>
    <tableColumn id="14517" xr3:uid="{1CB9E94D-5E5C-4FD2-87CB-6AA1045F27CF}" name="Column14510"/>
    <tableColumn id="14518" xr3:uid="{D68E0124-D350-4CC3-B692-843D74DB27D3}" name="Column14511"/>
    <tableColumn id="14519" xr3:uid="{056E92AA-8321-4A29-8B8A-758655CA2EFB}" name="Column14512"/>
    <tableColumn id="14520" xr3:uid="{10E9F67A-D75D-4983-BC2F-019C90869BB8}" name="Column14513"/>
    <tableColumn id="14521" xr3:uid="{BD966890-138F-4BF1-B75E-A771304A478F}" name="Column14514"/>
    <tableColumn id="14522" xr3:uid="{6C7406B1-4469-4A15-B1EA-5AB9A719EB36}" name="Column14515"/>
    <tableColumn id="14523" xr3:uid="{58AE6A7B-B4BD-4A7F-827B-612F48D74373}" name="Column14516"/>
    <tableColumn id="14524" xr3:uid="{EDCC2B57-3085-4F13-B5B9-E0FF72053443}" name="Column14517"/>
    <tableColumn id="14525" xr3:uid="{FAEC8A35-F0A8-4BF4-BD31-EB648C63272F}" name="Column14518"/>
    <tableColumn id="14526" xr3:uid="{DE0209B5-85EE-4B20-AC5E-9D2D883D19D1}" name="Column14519"/>
    <tableColumn id="14527" xr3:uid="{87B655E5-1F2E-4F4A-A8EB-8983160080AF}" name="Column14520"/>
    <tableColumn id="14528" xr3:uid="{9390689A-6A34-4FA4-971F-C1D5F0A0DEFE}" name="Column14521"/>
    <tableColumn id="14529" xr3:uid="{F0A5822F-7AA2-43FE-B737-6086DEA72B9E}" name="Column14522"/>
    <tableColumn id="14530" xr3:uid="{D90959B3-B95B-46CA-B230-79AD7F2A43F3}" name="Column14523"/>
    <tableColumn id="14531" xr3:uid="{0EE500BE-D8D1-4CD1-827B-698B926B6180}" name="Column14524"/>
    <tableColumn id="14532" xr3:uid="{AC88A64F-09F3-4600-9AFE-9309A2459F99}" name="Column14525"/>
    <tableColumn id="14533" xr3:uid="{D6915BD3-8FE5-47F0-8EAC-6E19E16BBEF9}" name="Column14526"/>
    <tableColumn id="14534" xr3:uid="{AF8D59C8-A96C-4253-AAB2-D0B78B107462}" name="Column14527"/>
    <tableColumn id="14535" xr3:uid="{D39376C3-4231-436B-94C7-2EB52C1B9EC6}" name="Column14528"/>
    <tableColumn id="14536" xr3:uid="{24B06A87-B1E9-49F8-8019-DF506BFF5D2A}" name="Column14529"/>
    <tableColumn id="14537" xr3:uid="{32BBAE9A-2618-4BFA-B9C4-92D981E52D51}" name="Column14530"/>
    <tableColumn id="14538" xr3:uid="{9932349D-591A-4D73-A190-29CFD20585CD}" name="Column14531"/>
    <tableColumn id="14539" xr3:uid="{AE3B1BC8-FFD4-473C-9F5D-F343D9C88075}" name="Column14532"/>
    <tableColumn id="14540" xr3:uid="{B6C7E331-D785-4C04-8BC9-4230D31D380C}" name="Column14533"/>
    <tableColumn id="14541" xr3:uid="{FE250795-6AD6-4AF5-BD16-0342E2C920C1}" name="Column14534"/>
    <tableColumn id="14542" xr3:uid="{FCAECFC8-05B3-480D-9158-35BFEECC6729}" name="Column14535"/>
    <tableColumn id="14543" xr3:uid="{DD424234-0C84-45C2-B408-98600B649742}" name="Column14536"/>
    <tableColumn id="14544" xr3:uid="{915B0B42-B930-4E2A-9631-0CC9B2F4D80E}" name="Column14537"/>
    <tableColumn id="14545" xr3:uid="{2ED67412-4227-4832-A0F4-D61B6043D87E}" name="Column14538"/>
    <tableColumn id="14546" xr3:uid="{F735CB9A-3431-4A87-950E-529872BF55C9}" name="Column14539"/>
    <tableColumn id="14547" xr3:uid="{3CAD1A78-81DC-4612-A8EF-FAC824DAD366}" name="Column14540"/>
    <tableColumn id="14548" xr3:uid="{30D56ADF-BD16-4A0B-8494-FAA239C690B0}" name="Column14541"/>
    <tableColumn id="14549" xr3:uid="{1BF17326-F96A-480C-824F-B0359FA7A881}" name="Column14542"/>
    <tableColumn id="14550" xr3:uid="{CC253DA0-9590-42DA-ACA5-D66EAD0605AA}" name="Column14543"/>
    <tableColumn id="14551" xr3:uid="{EFC4C666-BFF9-4160-A614-1B78D84FAA36}" name="Column14544"/>
    <tableColumn id="14552" xr3:uid="{9496A9D2-1FEB-4DA9-81A9-F3C461AB615B}" name="Column14545"/>
    <tableColumn id="14553" xr3:uid="{AF2530C3-7F6E-493D-BCF3-83704C210DF8}" name="Column14546"/>
    <tableColumn id="14554" xr3:uid="{9F8072D0-1882-44CA-A010-10D9A90B280A}" name="Column14547"/>
    <tableColumn id="14555" xr3:uid="{A1192726-F2AE-4883-B70F-EC7990B97D00}" name="Column14548"/>
    <tableColumn id="14556" xr3:uid="{1D06EADE-925E-41FE-9C6D-BF6831467848}" name="Column14549"/>
    <tableColumn id="14557" xr3:uid="{C4CA42C2-D639-41A6-A26D-75CEE7A68516}" name="Column14550"/>
    <tableColumn id="14558" xr3:uid="{8B124F58-8676-4802-B446-EFC18C544DC1}" name="Column14551"/>
    <tableColumn id="14559" xr3:uid="{1FBEB925-AAFE-4B27-9AAA-B53DECE485F7}" name="Column14552"/>
    <tableColumn id="14560" xr3:uid="{BA4E0B44-499F-47EA-8BA3-621B534117DC}" name="Column14553"/>
    <tableColumn id="14561" xr3:uid="{14010DCA-A57F-43AC-A19D-2A2095AFAA78}" name="Column14554"/>
    <tableColumn id="14562" xr3:uid="{12754041-1C09-43C5-93E1-B1E43475186C}" name="Column14555"/>
    <tableColumn id="14563" xr3:uid="{A5680886-B5F6-43E1-B07A-70CD7FB8C639}" name="Column14556"/>
    <tableColumn id="14564" xr3:uid="{9A5FC343-FA45-4F0C-93B0-A6494FEE259A}" name="Column14557"/>
    <tableColumn id="14565" xr3:uid="{C3986654-6DBB-4C3A-90AF-A05A086FD173}" name="Column14558"/>
    <tableColumn id="14566" xr3:uid="{F9BB81D3-2E4C-47FA-B382-03D375F43669}" name="Column14559"/>
    <tableColumn id="14567" xr3:uid="{FF6FBF59-57A1-412E-A518-0DB2B2AC5751}" name="Column14560"/>
    <tableColumn id="14568" xr3:uid="{83929B09-519B-488E-991E-6047E806ADE1}" name="Column14561"/>
    <tableColumn id="14569" xr3:uid="{182CD3FA-D0E3-4F38-8CF3-B900A4C1E9A9}" name="Column14562"/>
    <tableColumn id="14570" xr3:uid="{33971EE5-7A44-4ECE-9D40-1BF56CF950BC}" name="Column14563"/>
    <tableColumn id="14571" xr3:uid="{14F08450-AC92-48EE-87EB-D0600718638E}" name="Column14564"/>
    <tableColumn id="14572" xr3:uid="{CCEECDB0-1204-4F11-B859-E06D7B3AFD2C}" name="Column14565"/>
    <tableColumn id="14573" xr3:uid="{E3C86244-7726-4FD6-828E-F93C92DB1756}" name="Column14566"/>
    <tableColumn id="14574" xr3:uid="{D8A5741B-5557-41E7-8B02-89028B287D79}" name="Column14567"/>
    <tableColumn id="14575" xr3:uid="{BB5A9B2B-93FE-4CB5-B23D-3726FDCB3AC3}" name="Column14568"/>
    <tableColumn id="14576" xr3:uid="{5CC6AE1B-21ED-42C6-9AB1-1D40B68AF018}" name="Column14569"/>
    <tableColumn id="14577" xr3:uid="{091DFA5A-31D6-4725-93A2-C9CFA56F9787}" name="Column14570"/>
    <tableColumn id="14578" xr3:uid="{34C8AA86-82B6-4548-82A3-7763230F96B6}" name="Column14571"/>
    <tableColumn id="14579" xr3:uid="{08268668-0781-460D-8052-3B74BFDF6E96}" name="Column14572"/>
    <tableColumn id="14580" xr3:uid="{2454ED47-8A9A-4D68-8B34-E5ADA3A39A2D}" name="Column14573"/>
    <tableColumn id="14581" xr3:uid="{0AA8AE61-0C42-4D96-8947-D6A7FB46F6C2}" name="Column14574"/>
    <tableColumn id="14582" xr3:uid="{21F4199D-AE86-495F-861E-C7E352D9961D}" name="Column14575"/>
    <tableColumn id="14583" xr3:uid="{A2AA6632-3DA8-4625-9ED1-F20541331D53}" name="Column14576"/>
    <tableColumn id="14584" xr3:uid="{62F03F93-BB22-4903-84BD-4EFCB6EDE3D1}" name="Column14577"/>
    <tableColumn id="14585" xr3:uid="{C3015F21-1B45-4A96-A885-9A5442569850}" name="Column14578"/>
    <tableColumn id="14586" xr3:uid="{F67A0E7E-5F7E-41BE-88EF-7BC5FF801B30}" name="Column14579"/>
    <tableColumn id="14587" xr3:uid="{AEC2A858-7EA9-42B1-814A-47910D8241A2}" name="Column14580"/>
    <tableColumn id="14588" xr3:uid="{E68BB5AC-607E-4AF1-B4EB-B9AF360D6CC9}" name="Column14581"/>
    <tableColumn id="14589" xr3:uid="{C4F19A2C-1E88-4AC6-BBE7-1FB7A2D0033B}" name="Column14582"/>
    <tableColumn id="14590" xr3:uid="{1ECB1706-0BA0-4B6C-9AA7-EA9D70DA4120}" name="Column14583"/>
    <tableColumn id="14591" xr3:uid="{B94178B2-93CB-498F-99DB-C0DBFD24744D}" name="Column14584"/>
    <tableColumn id="14592" xr3:uid="{2E632CB5-256D-4EE7-B96B-2A185A1D1A61}" name="Column14585"/>
    <tableColumn id="14593" xr3:uid="{3F61B6AF-D20C-417A-9EEE-05ED16908216}" name="Column14586"/>
    <tableColumn id="14594" xr3:uid="{CF1B67B8-F78E-4CB5-87E2-99096EE914FA}" name="Column14587"/>
    <tableColumn id="14595" xr3:uid="{131FC4CC-DD53-478F-96D8-23741249F2D7}" name="Column14588"/>
    <tableColumn id="14596" xr3:uid="{EE3DD1A3-5D07-459F-BDEB-F8F258C7F725}" name="Column14589"/>
    <tableColumn id="14597" xr3:uid="{59E9F187-1D6F-4647-B24F-44BD3632DC38}" name="Column14590"/>
    <tableColumn id="14598" xr3:uid="{AFA310AE-45FD-4D0F-BAD4-9E4A8ECD087A}" name="Column14591"/>
    <tableColumn id="14599" xr3:uid="{A4BE34AD-08DE-45A8-A3CB-D83EA5E21242}" name="Column14592"/>
    <tableColumn id="14600" xr3:uid="{132AB798-682D-46C8-85D4-F7E07310B1C8}" name="Column14593"/>
    <tableColumn id="14601" xr3:uid="{0D7DE90F-2A5D-4CD5-A6D8-38BC283A15C1}" name="Column14594"/>
    <tableColumn id="14602" xr3:uid="{C5944274-9D41-4C70-A034-7A6C55B0F793}" name="Column14595"/>
    <tableColumn id="14603" xr3:uid="{475170E0-5228-45E1-AF37-1D3277FED273}" name="Column14596"/>
    <tableColumn id="14604" xr3:uid="{322A4CAD-899D-4DAD-AEEF-5C7871DC02C3}" name="Column14597"/>
    <tableColumn id="14605" xr3:uid="{DCC79D2E-F15E-41E7-8FBD-9BA6A8AC38BE}" name="Column14598"/>
    <tableColumn id="14606" xr3:uid="{5A5A139E-6748-4DAA-A28E-730A48FA0461}" name="Column14599"/>
    <tableColumn id="14607" xr3:uid="{3ED38005-2BCE-4C9E-9FE4-0119AC049C23}" name="Column14600"/>
    <tableColumn id="14608" xr3:uid="{1EF51EBE-A544-4C9F-B372-40CDF67349DB}" name="Column14601"/>
    <tableColumn id="14609" xr3:uid="{2A89D192-A978-4152-842D-F71491778C73}" name="Column14602"/>
    <tableColumn id="14610" xr3:uid="{9E9CB40A-274F-4FF2-B3A1-67790407A1C6}" name="Column14603"/>
    <tableColumn id="14611" xr3:uid="{D0F1850F-E5A8-42B4-8B4C-AD72F643C583}" name="Column14604"/>
    <tableColumn id="14612" xr3:uid="{6489C8CB-FF63-4475-8FA0-283D8B30057A}" name="Column14605"/>
    <tableColumn id="14613" xr3:uid="{1B125EB8-BB60-4F6B-A91D-5C6518127D08}" name="Column14606"/>
    <tableColumn id="14614" xr3:uid="{354CF21C-F300-4625-BD24-C071A264665F}" name="Column14607"/>
    <tableColumn id="14615" xr3:uid="{95CD7C56-A422-4ADF-8E30-3A3147A3407B}" name="Column14608"/>
    <tableColumn id="14616" xr3:uid="{889C70C7-A435-472C-9995-47A41542A54C}" name="Column14609"/>
    <tableColumn id="14617" xr3:uid="{BED04520-068B-420D-B062-30A855474601}" name="Column14610"/>
    <tableColumn id="14618" xr3:uid="{050F8A24-45D1-447E-A5CE-2962298B734E}" name="Column14611"/>
    <tableColumn id="14619" xr3:uid="{EB9FE50C-69FB-4556-8206-571178F635B6}" name="Column14612"/>
    <tableColumn id="14620" xr3:uid="{B670A883-DD4F-4D92-9729-7F395765D7CD}" name="Column14613"/>
    <tableColumn id="14621" xr3:uid="{0FAE83B2-CB46-42D9-A20C-783D23BC8CA5}" name="Column14614"/>
    <tableColumn id="14622" xr3:uid="{FB9E938C-6B03-496F-A8BC-8C427A6E5ED9}" name="Column14615"/>
    <tableColumn id="14623" xr3:uid="{65BBF463-26B2-4380-A70D-C0920C84D7EA}" name="Column14616"/>
    <tableColumn id="14624" xr3:uid="{AA3A3133-28A3-4B55-94F3-6E251BED7FCB}" name="Column14617"/>
    <tableColumn id="14625" xr3:uid="{71BE649A-EF50-4CBD-8B03-16E4353A492E}" name="Column14618"/>
    <tableColumn id="14626" xr3:uid="{A9241D9A-4620-4A59-B079-1AD8B55C49C0}" name="Column14619"/>
    <tableColumn id="14627" xr3:uid="{F6472938-0886-4815-98EE-7C660A9D9BA1}" name="Column14620"/>
    <tableColumn id="14628" xr3:uid="{D9C55D53-0909-4322-9194-A9A4DBC595C8}" name="Column14621"/>
    <tableColumn id="14629" xr3:uid="{1629D56B-EB15-40A5-89CA-A2CA9A77E524}" name="Column14622"/>
    <tableColumn id="14630" xr3:uid="{86E199FE-FC97-4B65-A0C6-D82AE358ACF2}" name="Column14623"/>
    <tableColumn id="14631" xr3:uid="{F28CEA4E-41E4-4C9D-B6FC-8DFB15C0389A}" name="Column14624"/>
    <tableColumn id="14632" xr3:uid="{0735D2C1-52BE-425F-AF46-2EEB9CBA3DFD}" name="Column14625"/>
    <tableColumn id="14633" xr3:uid="{47D4ABDC-9451-4D4B-AD38-511743A38E57}" name="Column14626"/>
    <tableColumn id="14634" xr3:uid="{9C98863C-FB55-4CC1-9662-CE306A507E19}" name="Column14627"/>
    <tableColumn id="14635" xr3:uid="{CB548E72-9D05-4169-91E3-468164C93A2E}" name="Column14628"/>
    <tableColumn id="14636" xr3:uid="{29F3E9A4-CDF0-4420-971D-40E06234AF4D}" name="Column14629"/>
    <tableColumn id="14637" xr3:uid="{47906F2C-C657-45BE-BEA0-063651A0E186}" name="Column14630"/>
    <tableColumn id="14638" xr3:uid="{0590850E-6A06-424D-8B43-56D5129AD52E}" name="Column14631"/>
    <tableColumn id="14639" xr3:uid="{AEC97FBB-6473-47F6-9948-3BF7A1A2B147}" name="Column14632"/>
    <tableColumn id="14640" xr3:uid="{ECCC89D8-32AB-4F9E-8B08-1C92B968D5E1}" name="Column14633"/>
    <tableColumn id="14641" xr3:uid="{D41512A3-DC61-43AB-AB0C-4C482640145D}" name="Column14634"/>
    <tableColumn id="14642" xr3:uid="{5220208E-8488-4491-A95E-BD8356B2F7D6}" name="Column14635"/>
    <tableColumn id="14643" xr3:uid="{066E8896-43B8-4EA7-B287-6E571894F9CB}" name="Column14636"/>
    <tableColumn id="14644" xr3:uid="{A0F1E801-504E-43E4-A602-DE88212072E5}" name="Column14637"/>
    <tableColumn id="14645" xr3:uid="{8EBBF903-0601-4C57-BC00-F7EA938CFF3B}" name="Column14638"/>
    <tableColumn id="14646" xr3:uid="{C2486904-92B6-4910-AF62-0EBD70413BA0}" name="Column14639"/>
    <tableColumn id="14647" xr3:uid="{6540092B-60A0-4F62-9FAA-98DF27B1F5E4}" name="Column14640"/>
    <tableColumn id="14648" xr3:uid="{EE3E01F5-99F0-4333-BF09-2347A3F91979}" name="Column14641"/>
    <tableColumn id="14649" xr3:uid="{8EC0EAE2-557A-4778-AC1E-E432C7054FD2}" name="Column14642"/>
    <tableColumn id="14650" xr3:uid="{3FBCABBC-DB6F-4867-838A-82416819321B}" name="Column14643"/>
    <tableColumn id="14651" xr3:uid="{C43C9098-CD05-4826-9D48-F41193200FD1}" name="Column14644"/>
    <tableColumn id="14652" xr3:uid="{BA443342-38DB-4775-8A6E-64BD5E83A3AD}" name="Column14645"/>
    <tableColumn id="14653" xr3:uid="{1F76D1E3-132D-421C-A264-EA1C56DCEEBE}" name="Column14646"/>
    <tableColumn id="14654" xr3:uid="{E405659F-2A1F-4238-A7C0-6011ACD41819}" name="Column14647"/>
    <tableColumn id="14655" xr3:uid="{627FCE8A-D8D0-4438-B564-0E51FC3DAD38}" name="Column14648"/>
    <tableColumn id="14656" xr3:uid="{259CB882-D9F5-48CE-8266-379906E763C6}" name="Column14649"/>
    <tableColumn id="14657" xr3:uid="{4AE66218-98BC-4166-AEEB-1468F223779D}" name="Column14650"/>
    <tableColumn id="14658" xr3:uid="{06419001-5669-48FB-9358-AF867FEE2FB2}" name="Column14651"/>
    <tableColumn id="14659" xr3:uid="{2FF34BB1-084C-4DE8-9260-90EAD8E7CD14}" name="Column14652"/>
    <tableColumn id="14660" xr3:uid="{503D66D0-C862-40B2-A799-52EDBC3BA6C5}" name="Column14653"/>
    <tableColumn id="14661" xr3:uid="{F38F0C67-C762-403F-913D-2EDD6819E90C}" name="Column14654"/>
    <tableColumn id="14662" xr3:uid="{3726AB44-25E3-4A46-A14A-8D9D737DD564}" name="Column14655"/>
    <tableColumn id="14663" xr3:uid="{BA61948A-7DA6-4ADB-A392-582B9BDE3387}" name="Column14656"/>
    <tableColumn id="14664" xr3:uid="{137F1E4D-AF33-4B68-B35A-A3E7B2F34C3D}" name="Column14657"/>
    <tableColumn id="14665" xr3:uid="{329D156C-E948-4433-AE5F-4372619BA821}" name="Column14658"/>
    <tableColumn id="14666" xr3:uid="{1F03BE1E-986F-4C61-89D4-BE3E15D6F730}" name="Column14659"/>
    <tableColumn id="14667" xr3:uid="{A34A7311-7114-4094-8FC1-A3168A54BC46}" name="Column14660"/>
    <tableColumn id="14668" xr3:uid="{38873CA2-3F73-44E5-AEDD-03DE825C17E0}" name="Column14661"/>
    <tableColumn id="14669" xr3:uid="{A4BBEB00-25C8-4275-BE59-F12D45854173}" name="Column14662"/>
    <tableColumn id="14670" xr3:uid="{FF1A1B19-504A-40BB-8F3A-5F913B5AB79B}" name="Column14663"/>
    <tableColumn id="14671" xr3:uid="{2B9D6A9D-3AA2-4CA4-A7AC-C8B5DCE18352}" name="Column14664"/>
    <tableColumn id="14672" xr3:uid="{9DD2F749-7DCB-4ABC-B5B2-523B4E309D7E}" name="Column14665"/>
    <tableColumn id="14673" xr3:uid="{805B0239-917F-49AB-8E11-669107CFFA3D}" name="Column14666"/>
    <tableColumn id="14674" xr3:uid="{B1213625-FB34-42AB-802E-FC65CBC85DEC}" name="Column14667"/>
    <tableColumn id="14675" xr3:uid="{51D00858-6C3A-4F6E-812F-56BDD030C16A}" name="Column14668"/>
    <tableColumn id="14676" xr3:uid="{D1891C29-79EB-46D4-8BB5-670CEFC9EEB0}" name="Column14669"/>
    <tableColumn id="14677" xr3:uid="{E56A4811-0816-41D0-9696-C8D0E8CD73C1}" name="Column14670"/>
    <tableColumn id="14678" xr3:uid="{492A1E4D-D15A-4066-8F49-B9A9E9C1F512}" name="Column14671"/>
    <tableColumn id="14679" xr3:uid="{266C2914-B884-48B5-BB51-BF208D9E53AA}" name="Column14672"/>
    <tableColumn id="14680" xr3:uid="{4F32193E-6BF2-49FF-8E2C-46228F922EB1}" name="Column14673"/>
    <tableColumn id="14681" xr3:uid="{EE970DEF-3B6D-4E9E-A9D1-A276F6D50B3D}" name="Column14674"/>
    <tableColumn id="14682" xr3:uid="{569E067D-D816-4DFD-9BB8-541E3B3E8628}" name="Column14675"/>
    <tableColumn id="14683" xr3:uid="{CF0556CD-4456-418B-93ED-50CDEE30E98C}" name="Column14676"/>
    <tableColumn id="14684" xr3:uid="{A16CB4DE-586C-419B-808F-86643944EBE3}" name="Column14677"/>
    <tableColumn id="14685" xr3:uid="{2418F230-B450-4CAC-9C7B-539EE87EE1C5}" name="Column14678"/>
    <tableColumn id="14686" xr3:uid="{F7336BB1-B6C0-4C04-871D-240C6565DB55}" name="Column14679"/>
    <tableColumn id="14687" xr3:uid="{6E5AC2E9-3F32-4B80-A040-10ECE4AB0073}" name="Column14680"/>
    <tableColumn id="14688" xr3:uid="{2E12709D-33AD-46D1-B46A-2EA5AFC45F60}" name="Column14681"/>
    <tableColumn id="14689" xr3:uid="{F98B2F68-AD39-4E76-813B-144914024EF4}" name="Column14682"/>
    <tableColumn id="14690" xr3:uid="{16B491EA-0AD3-402F-A19D-0AD03C74B9AF}" name="Column14683"/>
    <tableColumn id="14691" xr3:uid="{C628A885-3DBA-4E0F-A59C-7930FED56A97}" name="Column14684"/>
    <tableColumn id="14692" xr3:uid="{8337848F-E875-4D59-9A86-DB87D0E8C706}" name="Column14685"/>
    <tableColumn id="14693" xr3:uid="{EC708452-B5FE-4A75-A9CA-C8788E091E8F}" name="Column14686"/>
    <tableColumn id="14694" xr3:uid="{AFB2F404-AA93-45DA-A774-A8B23B5FB876}" name="Column14687"/>
    <tableColumn id="14695" xr3:uid="{EC1F5169-EA65-4A5A-B595-A743EBB0D8CB}" name="Column14688"/>
    <tableColumn id="14696" xr3:uid="{B81945DD-A8CF-4F3D-B6DE-6262742D3D10}" name="Column14689"/>
    <tableColumn id="14697" xr3:uid="{238D409D-C30D-43C5-BBE9-46A7773068CE}" name="Column14690"/>
    <tableColumn id="14698" xr3:uid="{D02EC61B-CECF-48CA-9E27-4F426DEDAF82}" name="Column14691"/>
    <tableColumn id="14699" xr3:uid="{0C6977D4-5CA4-45CB-9272-DCF4DD89CF9D}" name="Column14692"/>
    <tableColumn id="14700" xr3:uid="{46268E40-FEA4-4191-9ED6-48101C4D37EF}" name="Column14693"/>
    <tableColumn id="14701" xr3:uid="{E80039CA-160D-429F-99B0-07D9D6962845}" name="Column14694"/>
    <tableColumn id="14702" xr3:uid="{F0F93666-DE2F-4D45-84D2-6932B378491A}" name="Column14695"/>
    <tableColumn id="14703" xr3:uid="{731D668F-B4A8-4913-8B6E-EE25DC1BD3E5}" name="Column14696"/>
    <tableColumn id="14704" xr3:uid="{B2E49E09-C49C-4EE9-8434-BFA2DF0C7B93}" name="Column14697"/>
    <tableColumn id="14705" xr3:uid="{8FA15CEA-7B82-4B9A-86AB-821EADED9CAC}" name="Column14698"/>
    <tableColumn id="14706" xr3:uid="{7FCBB229-2B63-465A-9B80-C93C5BDEE5C1}" name="Column14699"/>
    <tableColumn id="14707" xr3:uid="{0CB64C40-562B-484A-8174-16B7D7467F58}" name="Column14700"/>
    <tableColumn id="14708" xr3:uid="{DDC50BD8-59A7-417A-A0F5-DCCBB75304C2}" name="Column14701"/>
    <tableColumn id="14709" xr3:uid="{24FE6C02-1EAD-4430-B11F-E8924F907F73}" name="Column14702"/>
    <tableColumn id="14710" xr3:uid="{41D955E1-D3C5-4A27-80BB-DB1A13E5AD8C}" name="Column14703"/>
    <tableColumn id="14711" xr3:uid="{A8E1D60B-033E-40F3-9BF1-434CEAB85165}" name="Column14704"/>
    <tableColumn id="14712" xr3:uid="{F7815126-0D68-4A0F-B1AF-70D90A6BF9CE}" name="Column14705"/>
    <tableColumn id="14713" xr3:uid="{B7B4FFCC-5D2C-4A08-945E-98FB28240672}" name="Column14706"/>
    <tableColumn id="14714" xr3:uid="{A3976019-E2C1-46BA-93B4-CEC31B8C6AA9}" name="Column14707"/>
    <tableColumn id="14715" xr3:uid="{CE8238F3-0F7F-46B5-80FB-EA8B0E15D4B5}" name="Column14708"/>
    <tableColumn id="14716" xr3:uid="{AD2D3B15-CF99-4751-9C76-4AE858EED740}" name="Column14709"/>
    <tableColumn id="14717" xr3:uid="{AC53862E-AC0E-4287-9B44-8B85E056C70E}" name="Column14710"/>
    <tableColumn id="14718" xr3:uid="{D8B0C2B8-4EC9-4EE2-B34C-2B8AB45958F1}" name="Column14711"/>
    <tableColumn id="14719" xr3:uid="{442FCDD4-D71E-4597-AFDC-952184E4AECF}" name="Column14712"/>
    <tableColumn id="14720" xr3:uid="{3C144384-7BBC-493A-B605-361949F60F85}" name="Column14713"/>
    <tableColumn id="14721" xr3:uid="{0F4E8872-DE64-4096-A470-46112B64D112}" name="Column14714"/>
    <tableColumn id="14722" xr3:uid="{0E4BC15E-F9D0-44FD-9BE7-01942AC0B333}" name="Column14715"/>
    <tableColumn id="14723" xr3:uid="{A6A16C7F-58F4-499B-81F6-5A4D60956090}" name="Column14716"/>
    <tableColumn id="14724" xr3:uid="{FDFE87D8-3C51-4A5C-84A3-BEB31A2262BB}" name="Column14717"/>
    <tableColumn id="14725" xr3:uid="{5112948D-D762-4064-8F83-905B030CF8EC}" name="Column14718"/>
    <tableColumn id="14726" xr3:uid="{6F43A695-37CC-4155-BF3B-DFDD5AD17308}" name="Column14719"/>
    <tableColumn id="14727" xr3:uid="{90F63011-CA9A-40AE-AD3A-95EF39A54443}" name="Column14720"/>
    <tableColumn id="14728" xr3:uid="{071EBE4F-B214-486A-AF14-22A55F75D01B}" name="Column14721"/>
    <tableColumn id="14729" xr3:uid="{3BF85E9F-4807-4DE3-9AF3-08CCA4D2A242}" name="Column14722"/>
    <tableColumn id="14730" xr3:uid="{72910190-E5F4-4A87-BA01-8363351BABA7}" name="Column14723"/>
    <tableColumn id="14731" xr3:uid="{2954C944-7ED1-418E-AD1D-4E42461802CF}" name="Column14724"/>
    <tableColumn id="14732" xr3:uid="{9C15B5D2-4362-43C5-8D4B-7AA07392E1CD}" name="Column14725"/>
    <tableColumn id="14733" xr3:uid="{5C50A4D5-6202-4B0A-8041-640BCEB4EE38}" name="Column14726"/>
    <tableColumn id="14734" xr3:uid="{A861F0C4-11EB-4BE8-9914-517031892616}" name="Column14727"/>
    <tableColumn id="14735" xr3:uid="{CD3C973A-D465-4FFE-8389-CD137E1B9F3B}" name="Column14728"/>
    <tableColumn id="14736" xr3:uid="{9312B8A6-6361-488B-B763-94BEC2A2C9FA}" name="Column14729"/>
    <tableColumn id="14737" xr3:uid="{C22E91EC-E80B-4B85-99D9-B9A3319F1A4F}" name="Column14730"/>
    <tableColumn id="14738" xr3:uid="{B4B3E7AF-5073-41BF-9365-3D876D43FEA4}" name="Column14731"/>
    <tableColumn id="14739" xr3:uid="{B579453D-E3C7-4426-85BE-9DECBC69761E}" name="Column14732"/>
    <tableColumn id="14740" xr3:uid="{562C1CD6-9B69-4AE2-9956-2C2167B43163}" name="Column14733"/>
    <tableColumn id="14741" xr3:uid="{F5DB31E3-C1B8-41CB-BA1E-EDE3A3164078}" name="Column14734"/>
    <tableColumn id="14742" xr3:uid="{CF288139-C691-40E8-A477-73D89EA5560B}" name="Column14735"/>
    <tableColumn id="14743" xr3:uid="{F6097150-3B1C-40C7-B1DB-B3D1BC9019BD}" name="Column14736"/>
    <tableColumn id="14744" xr3:uid="{92035DD5-F3E7-44C7-898C-2B561070DAE3}" name="Column14737"/>
    <tableColumn id="14745" xr3:uid="{736E0E62-0714-40A2-A6A7-C7696B817F06}" name="Column14738"/>
    <tableColumn id="14746" xr3:uid="{5F87E739-C651-4CA5-9650-CFB71ADF0FD6}" name="Column14739"/>
    <tableColumn id="14747" xr3:uid="{CC4FE25E-84F5-4660-A68C-B6A86606460E}" name="Column14740"/>
    <tableColumn id="14748" xr3:uid="{97A972D6-2717-4B73-9848-5EAB2D601849}" name="Column14741"/>
    <tableColumn id="14749" xr3:uid="{D3C5AFA3-0076-4198-B338-ED4544F04791}" name="Column14742"/>
    <tableColumn id="14750" xr3:uid="{8695269A-C21C-410F-908D-32C549CE3801}" name="Column14743"/>
    <tableColumn id="14751" xr3:uid="{A902E647-7C6D-4A98-A13D-DFE3D45F7582}" name="Column14744"/>
    <tableColumn id="14752" xr3:uid="{7B2DA75F-4BA0-424F-B65F-207F83461C72}" name="Column14745"/>
    <tableColumn id="14753" xr3:uid="{E612CDCA-6AB5-4070-A735-DC1939E1FBED}" name="Column14746"/>
    <tableColumn id="14754" xr3:uid="{9B2C8C09-B90D-42DE-8F0B-10356B4B4E84}" name="Column14747"/>
    <tableColumn id="14755" xr3:uid="{E94DC5DF-74DD-4D7D-B080-B7DDB48963C9}" name="Column14748"/>
    <tableColumn id="14756" xr3:uid="{C1681286-16CF-4A91-AA7E-F81E1FB7ADE3}" name="Column14749"/>
    <tableColumn id="14757" xr3:uid="{0A4AD5A6-FA37-4AC5-A642-024B7FF97CF7}" name="Column14750"/>
    <tableColumn id="14758" xr3:uid="{D57C7043-CA45-4DC8-9B8A-19DB19A40557}" name="Column14751"/>
    <tableColumn id="14759" xr3:uid="{C04B5C35-A736-4E26-99BB-8C7F0AD10CDF}" name="Column14752"/>
    <tableColumn id="14760" xr3:uid="{EB26D708-1162-4E11-ABEE-E4B794A9226D}" name="Column14753"/>
    <tableColumn id="14761" xr3:uid="{EF2BC368-E309-430A-A1B1-9BB3448E7712}" name="Column14754"/>
    <tableColumn id="14762" xr3:uid="{751B75AE-E157-46B7-98FB-81847EB08FD4}" name="Column14755"/>
    <tableColumn id="14763" xr3:uid="{7118BB22-2777-401A-AC57-14A2F2BC7F90}" name="Column14756"/>
    <tableColumn id="14764" xr3:uid="{3DB96DE5-A623-4B86-BAC2-E73C5FFC8516}" name="Column14757"/>
    <tableColumn id="14765" xr3:uid="{C140E3E4-4FFC-482D-8572-0F0670CFFB14}" name="Column14758"/>
    <tableColumn id="14766" xr3:uid="{E678CD1B-7DD1-4D9E-B120-1433F4865404}" name="Column14759"/>
    <tableColumn id="14767" xr3:uid="{E0D256E2-7A4B-45EB-B405-234D032237D2}" name="Column14760"/>
    <tableColumn id="14768" xr3:uid="{E255D775-F91D-44E0-9F04-B9EDD0881B21}" name="Column14761"/>
    <tableColumn id="14769" xr3:uid="{0AFD81D7-7E80-4486-8BBD-AD956ECB46EC}" name="Column14762"/>
    <tableColumn id="14770" xr3:uid="{2667B5DC-0B03-4F95-B502-E13FEC6B1777}" name="Column14763"/>
    <tableColumn id="14771" xr3:uid="{0C164175-B097-4D2A-A995-3073A3E38BC3}" name="Column14764"/>
    <tableColumn id="14772" xr3:uid="{436CFDA2-56A0-4E6C-851D-9B8C358566AF}" name="Column14765"/>
    <tableColumn id="14773" xr3:uid="{BCE197BB-1703-4872-B651-0F3848FF7300}" name="Column14766"/>
    <tableColumn id="14774" xr3:uid="{FE4C6E2E-C4CA-4FF1-8597-2F4FC84CEA6E}" name="Column14767"/>
    <tableColumn id="14775" xr3:uid="{11551AA5-A986-468D-9B1A-8992F048754F}" name="Column14768"/>
    <tableColumn id="14776" xr3:uid="{A14AA1A3-6AE9-4FC4-8BA8-98D48B9DA526}" name="Column14769"/>
    <tableColumn id="14777" xr3:uid="{5C63314B-76BB-42A7-B655-560295BA9683}" name="Column14770"/>
    <tableColumn id="14778" xr3:uid="{AB79612D-4D11-4988-807D-02B8B86A9B8A}" name="Column14771"/>
    <tableColumn id="14779" xr3:uid="{D7116C2C-BA61-4719-A8CA-7F493C2B6CA5}" name="Column14772"/>
    <tableColumn id="14780" xr3:uid="{A508A55E-BAAA-410B-AFFF-90C1614A1668}" name="Column14773"/>
    <tableColumn id="14781" xr3:uid="{3685057A-F27F-43FA-BF66-2241AD2FF14D}" name="Column14774"/>
    <tableColumn id="14782" xr3:uid="{8D563826-E30F-4F3A-956E-87896B666066}" name="Column14775"/>
    <tableColumn id="14783" xr3:uid="{F4E6BFAB-3D4E-4C87-9731-CB60103E8B75}" name="Column14776"/>
    <tableColumn id="14784" xr3:uid="{411710E2-F30A-495B-8FAF-40CB3AE2DDDE}" name="Column14777"/>
    <tableColumn id="14785" xr3:uid="{45ADE1D7-48D0-43AF-852F-E5CF96562AFD}" name="Column14778"/>
    <tableColumn id="14786" xr3:uid="{A0CFC6C8-2206-4B96-A099-EA9C29092B20}" name="Column14779"/>
    <tableColumn id="14787" xr3:uid="{97606F80-E7E6-44C0-896B-CF2BAD65024E}" name="Column14780"/>
    <tableColumn id="14788" xr3:uid="{4300CAF5-B3D6-4E94-94F7-7C611898EC3B}" name="Column14781"/>
    <tableColumn id="14789" xr3:uid="{B6FC6FF7-5F01-4FB7-8A48-A5837A662918}" name="Column14782"/>
    <tableColumn id="14790" xr3:uid="{93165614-81F3-4430-9948-E62C1FD861F4}" name="Column14783"/>
    <tableColumn id="14791" xr3:uid="{35F94E0E-63BD-4BEE-B1C6-85642459C634}" name="Column14784"/>
    <tableColumn id="14792" xr3:uid="{4AFC74BF-9996-4446-BF62-AE0151EC9BFA}" name="Column14785"/>
    <tableColumn id="14793" xr3:uid="{ACED2FC4-6A67-4506-8D5D-1C00E4130BB0}" name="Column14786"/>
    <tableColumn id="14794" xr3:uid="{3B77B3BC-401F-4786-9C99-AFAFD535B5B6}" name="Column14787"/>
    <tableColumn id="14795" xr3:uid="{8F70439C-A716-49EF-9DB7-5B85C0BE0BF0}" name="Column14788"/>
    <tableColumn id="14796" xr3:uid="{C816C5E6-F289-4647-9CE5-066435CB974B}" name="Column14789"/>
    <tableColumn id="14797" xr3:uid="{885B1374-1115-443D-AF37-F5E675DF3003}" name="Column14790"/>
    <tableColumn id="14798" xr3:uid="{98F35D82-926F-46CE-866A-B252466B4FB3}" name="Column14791"/>
    <tableColumn id="14799" xr3:uid="{7D30EC75-10E1-4DFD-AECC-51342718017A}" name="Column14792"/>
    <tableColumn id="14800" xr3:uid="{26F91264-02F3-416F-A6FB-748105D8312E}" name="Column14793"/>
    <tableColumn id="14801" xr3:uid="{2CF1A676-ED39-48FB-8484-F38EF1D839FB}" name="Column14794"/>
    <tableColumn id="14802" xr3:uid="{E2722E67-086B-4F63-9426-1960925464AC}" name="Column14795"/>
    <tableColumn id="14803" xr3:uid="{BFCFF277-3227-4543-A84E-277FFB495ADC}" name="Column14796"/>
    <tableColumn id="14804" xr3:uid="{066930DD-20D2-439B-9370-1F85E639DDBC}" name="Column14797"/>
    <tableColumn id="14805" xr3:uid="{9A0AB898-65D8-4A0A-A5FE-3211821F4020}" name="Column14798"/>
    <tableColumn id="14806" xr3:uid="{90761A60-E17F-4FB7-93BE-78B072150CF2}" name="Column14799"/>
    <tableColumn id="14807" xr3:uid="{5C71D340-2032-4F47-8800-D211FC5F562C}" name="Column14800"/>
    <tableColumn id="14808" xr3:uid="{29E09E17-BC28-4295-B40F-C12C345F3246}" name="Column14801"/>
    <tableColumn id="14809" xr3:uid="{2A1649E5-5647-4BCF-B642-9382A97EDC0D}" name="Column14802"/>
    <tableColumn id="14810" xr3:uid="{F8710E77-E387-4D3F-A9FD-CE09E4672B92}" name="Column14803"/>
    <tableColumn id="14811" xr3:uid="{987713B1-5B09-4857-9226-AB3BC30D85C5}" name="Column14804"/>
    <tableColumn id="14812" xr3:uid="{5B713CA7-EE41-4B6F-BECE-8F2E60D8E088}" name="Column14805"/>
    <tableColumn id="14813" xr3:uid="{C504EFD0-0B0B-4C48-AE7D-D9EED5F9A2EA}" name="Column14806"/>
    <tableColumn id="14814" xr3:uid="{C2BD528A-58D4-4933-B28D-C6A9F3EBC717}" name="Column14807"/>
    <tableColumn id="14815" xr3:uid="{BC88AA19-EF58-41AA-BE49-1BD407282F9B}" name="Column14808"/>
    <tableColumn id="14816" xr3:uid="{023AA633-4E20-46C0-8B1C-B0884CE44F87}" name="Column14809"/>
    <tableColumn id="14817" xr3:uid="{D7A09F7D-5C7B-4E68-B2AB-6054FD48CEAB}" name="Column14810"/>
    <tableColumn id="14818" xr3:uid="{1DFE4711-E191-4F45-BAD1-46492D540501}" name="Column14811"/>
    <tableColumn id="14819" xr3:uid="{BFC3F2F6-F1FE-49B7-AB52-B882FAFAEF13}" name="Column14812"/>
    <tableColumn id="14820" xr3:uid="{8D0AE426-295A-4922-B8D3-BCA60BE06A24}" name="Column14813"/>
    <tableColumn id="14821" xr3:uid="{316621B9-AF94-4249-84E5-7939C230D179}" name="Column14814"/>
    <tableColumn id="14822" xr3:uid="{CDD44573-3A0B-476F-994B-062C6C3784EB}" name="Column14815"/>
    <tableColumn id="14823" xr3:uid="{BB50C954-7EA8-4CEF-B1A5-FAAD74ED0965}" name="Column14816"/>
    <tableColumn id="14824" xr3:uid="{46516780-7D53-46A2-8E34-6572D36AAC76}" name="Column14817"/>
    <tableColumn id="14825" xr3:uid="{374B600C-52EF-4AAE-AAC1-2897C8595FEC}" name="Column14818"/>
    <tableColumn id="14826" xr3:uid="{A9FB9E49-7F34-40DD-AD54-37CD3E34171D}" name="Column14819"/>
    <tableColumn id="14827" xr3:uid="{D3B1E16E-361B-4CAD-8089-C52C5C60CD7C}" name="Column14820"/>
    <tableColumn id="14828" xr3:uid="{9E16B2E4-AC83-42A4-AF06-F2E618488FCD}" name="Column14821"/>
    <tableColumn id="14829" xr3:uid="{E079927B-4A28-4E8C-B396-33376F4435CD}" name="Column14822"/>
    <tableColumn id="14830" xr3:uid="{4AA44F38-606E-4C61-A1B0-314453A9AF4B}" name="Column14823"/>
    <tableColumn id="14831" xr3:uid="{2FA1B8D1-79CB-4D36-BF22-87E18BCFDCAA}" name="Column14824"/>
    <tableColumn id="14832" xr3:uid="{59C965A6-E217-4900-BEFA-81F4BEF12CBC}" name="Column14825"/>
    <tableColumn id="14833" xr3:uid="{B515FCE5-E996-46BA-87BB-9C5A9574510F}" name="Column14826"/>
    <tableColumn id="14834" xr3:uid="{E5ED0ACB-96C3-4960-B519-B58C3B0D6847}" name="Column14827"/>
    <tableColumn id="14835" xr3:uid="{3116A9AE-A590-4BDA-B59E-8D3C427DE304}" name="Column14828"/>
    <tableColumn id="14836" xr3:uid="{BDFCE735-7A8D-4693-8BC0-3B48F056F0D1}" name="Column14829"/>
    <tableColumn id="14837" xr3:uid="{8C7323C9-4EDF-418F-9282-B480CE5FDB5C}" name="Column14830"/>
    <tableColumn id="14838" xr3:uid="{B30D1133-7C5B-425D-9633-312745199DB4}" name="Column14831"/>
    <tableColumn id="14839" xr3:uid="{2A342DA5-9E89-4061-AB35-927DB09F9ADE}" name="Column14832"/>
    <tableColumn id="14840" xr3:uid="{71788632-EE39-4543-BCC4-0F64BD380C8A}" name="Column14833"/>
    <tableColumn id="14841" xr3:uid="{4BD4F1E0-205E-44D2-9B9F-DF59D709F3E3}" name="Column14834"/>
    <tableColumn id="14842" xr3:uid="{9BC0BB20-33DA-4212-9EA0-DF8F3947AEE6}" name="Column14835"/>
    <tableColumn id="14843" xr3:uid="{0F879002-2EC1-47DD-8D26-A6EF80E02865}" name="Column14836"/>
    <tableColumn id="14844" xr3:uid="{4B6DCFE5-5DDE-48AA-9A20-8B21948CE50F}" name="Column14837"/>
    <tableColumn id="14845" xr3:uid="{87B1E962-E366-446F-B881-BAA52AD5CE3F}" name="Column14838"/>
    <tableColumn id="14846" xr3:uid="{9851D245-74E3-4EF7-BA0D-CCAB5D7006CC}" name="Column14839"/>
    <tableColumn id="14847" xr3:uid="{7B4D10B8-D8E0-40BE-B685-D78DE0FE2679}" name="Column14840"/>
    <tableColumn id="14848" xr3:uid="{F596E3D2-2BF5-4C3A-BD4E-F2EC35BD1706}" name="Column14841"/>
    <tableColumn id="14849" xr3:uid="{C63B06E1-0EA3-443F-A64C-AC1E0CFBD0C8}" name="Column14842"/>
    <tableColumn id="14850" xr3:uid="{BE837272-4FF0-4A3E-8C08-BB8217DBC7AC}" name="Column14843"/>
    <tableColumn id="14851" xr3:uid="{BCE07ED5-DC5F-4D9F-B567-C46812A29F92}" name="Column14844"/>
    <tableColumn id="14852" xr3:uid="{389F6D7A-8A4C-415F-8990-5F3C57641ECA}" name="Column14845"/>
    <tableColumn id="14853" xr3:uid="{D0A9BB4F-0F48-43D7-9553-CA82E7F5B1E2}" name="Column14846"/>
    <tableColumn id="14854" xr3:uid="{C106827F-A39E-4EE6-ADF1-82A3DFE36D1C}" name="Column14847"/>
    <tableColumn id="14855" xr3:uid="{E463E089-04C5-4CE5-9C5B-7FB27474AEDE}" name="Column14848"/>
    <tableColumn id="14856" xr3:uid="{065DFBD1-9691-438B-8028-05A89E440478}" name="Column14849"/>
    <tableColumn id="14857" xr3:uid="{2B5151D8-17C2-4C9D-8D64-3BB078FBE60A}" name="Column14850"/>
    <tableColumn id="14858" xr3:uid="{5231E07C-BDAF-4DE9-9E7D-EE033A0AB76E}" name="Column14851"/>
    <tableColumn id="14859" xr3:uid="{16B76B42-93FD-4BBF-B86E-DC45EA111980}" name="Column14852"/>
    <tableColumn id="14860" xr3:uid="{7519FCC6-F610-4457-91E1-3C8A19A1F9BB}" name="Column14853"/>
    <tableColumn id="14861" xr3:uid="{01AFBA72-1FBC-4C7B-BDA0-49B634231500}" name="Column14854"/>
    <tableColumn id="14862" xr3:uid="{286E79E6-2818-490B-B7A9-D94B1BCFA17B}" name="Column14855"/>
    <tableColumn id="14863" xr3:uid="{6154A9C4-5300-458D-AFDE-5B3AE1DEBD86}" name="Column14856"/>
    <tableColumn id="14864" xr3:uid="{E3A1FE88-ADA4-43E3-8EC0-2AC45D750E00}" name="Column14857"/>
    <tableColumn id="14865" xr3:uid="{8AA606BE-17F7-4522-9C6D-1617FA9A0AED}" name="Column14858"/>
    <tableColumn id="14866" xr3:uid="{EA08095F-8FD7-4AE2-8DEE-EB8CA2B65F5E}" name="Column14859"/>
    <tableColumn id="14867" xr3:uid="{A6A404C8-71D8-4825-9739-F581D264FBE8}" name="Column14860"/>
    <tableColumn id="14868" xr3:uid="{C40D8C22-1671-4EC7-A537-E757F2A8C571}" name="Column14861"/>
    <tableColumn id="14869" xr3:uid="{2C167653-54D0-4B50-B826-F4D4486C5092}" name="Column14862"/>
    <tableColumn id="14870" xr3:uid="{7FA0A789-2877-44AD-8679-87A28BD13751}" name="Column14863"/>
    <tableColumn id="14871" xr3:uid="{8247216D-8AA2-4B0C-9394-13A2FD6AAD2E}" name="Column14864"/>
    <tableColumn id="14872" xr3:uid="{3A821679-F3AB-4E58-A561-EC46B882F19B}" name="Column14865"/>
    <tableColumn id="14873" xr3:uid="{8CB4A7BA-87AB-4C1E-B90C-86B40E036288}" name="Column14866"/>
    <tableColumn id="14874" xr3:uid="{9655865F-0BA8-4930-B917-D1A0759FC3AB}" name="Column14867"/>
    <tableColumn id="14875" xr3:uid="{9CB281E4-C476-4AA4-B10A-ACDAFFB09E46}" name="Column14868"/>
    <tableColumn id="14876" xr3:uid="{E3EDB58B-C4AC-4C39-B7BE-0AD5488ADDBE}" name="Column14869"/>
    <tableColumn id="14877" xr3:uid="{764BB484-2E98-4FC6-814D-8CD421F9C880}" name="Column14870"/>
    <tableColumn id="14878" xr3:uid="{739858D9-C72F-491D-8281-9F660BDCFB23}" name="Column14871"/>
    <tableColumn id="14879" xr3:uid="{8485EA43-F4E6-4250-83D0-8263C2284A10}" name="Column14872"/>
    <tableColumn id="14880" xr3:uid="{98B59EFE-39F3-43DA-8AAB-AEACD2C490D8}" name="Column14873"/>
    <tableColumn id="14881" xr3:uid="{94BF3FD0-3C3C-4D73-9B80-67866823C611}" name="Column14874"/>
    <tableColumn id="14882" xr3:uid="{353E4D3C-5A32-4938-B653-CC8A4918B493}" name="Column14875"/>
    <tableColumn id="14883" xr3:uid="{C0AA3987-B16A-4CA1-BA6D-0F273039250D}" name="Column14876"/>
    <tableColumn id="14884" xr3:uid="{F36549CE-3F36-46F7-84E9-B3169CC6F708}" name="Column14877"/>
    <tableColumn id="14885" xr3:uid="{2B70CFD7-9673-4734-8038-261661256621}" name="Column14878"/>
    <tableColumn id="14886" xr3:uid="{BC9AA078-F55B-455C-BF3A-6BB7AFFAB77C}" name="Column14879"/>
    <tableColumn id="14887" xr3:uid="{12A00B2F-52D2-44C9-9C4D-88D0E9D210E7}" name="Column14880"/>
    <tableColumn id="14888" xr3:uid="{7824EA77-249F-4A06-8DAA-788D3E67177A}" name="Column14881"/>
    <tableColumn id="14889" xr3:uid="{DF2BCF45-BB3A-4104-8180-1339F9753E8B}" name="Column14882"/>
    <tableColumn id="14890" xr3:uid="{629BDBCA-919D-4DBA-A3DE-5B0FE248E005}" name="Column14883"/>
    <tableColumn id="14891" xr3:uid="{6840DD75-ECE1-4E43-9300-ACC5C8FC6E6E}" name="Column14884"/>
    <tableColumn id="14892" xr3:uid="{86E8EBEB-DBF7-4C1D-8063-AFD62BCA951D}" name="Column14885"/>
    <tableColumn id="14893" xr3:uid="{4CBE5A4A-B0A9-4C38-AFE7-BA50FB586DB9}" name="Column14886"/>
    <tableColumn id="14894" xr3:uid="{7A21CBC7-CEF4-4D8B-9091-2F0A22C9525C}" name="Column14887"/>
    <tableColumn id="14895" xr3:uid="{6C649C8C-8B5C-4ABB-95A9-D790D65A9CC0}" name="Column14888"/>
    <tableColumn id="14896" xr3:uid="{77D0FB3E-FC0E-455E-94F0-2149681D11F1}" name="Column14889"/>
    <tableColumn id="14897" xr3:uid="{BB7C7674-146B-4247-80B0-3C5B85B2AB0E}" name="Column14890"/>
    <tableColumn id="14898" xr3:uid="{16B065B8-E9E9-4C93-8578-83C8FA0C7DC0}" name="Column14891"/>
    <tableColumn id="14899" xr3:uid="{53F3886C-5A00-45B8-865E-57BDE65D1B02}" name="Column14892"/>
    <tableColumn id="14900" xr3:uid="{C1E944EC-5586-401A-8413-405461B86930}" name="Column14893"/>
    <tableColumn id="14901" xr3:uid="{A0CE2389-5D67-4429-B021-5F8D9AD8F108}" name="Column14894"/>
    <tableColumn id="14902" xr3:uid="{E22E4694-5C2A-4493-86FE-A5B2045299C4}" name="Column14895"/>
    <tableColumn id="14903" xr3:uid="{02D73A83-41F4-4AC2-ABB5-DA301AD6F2F3}" name="Column14896"/>
    <tableColumn id="14904" xr3:uid="{39E97707-7AA6-4753-8B93-14BCF8A2ED87}" name="Column14897"/>
    <tableColumn id="14905" xr3:uid="{8DA02CAE-BCAD-4C7C-9B3A-475A555C4513}" name="Column14898"/>
    <tableColumn id="14906" xr3:uid="{2B37AB30-CB01-4340-93BE-E8ABDB206DF4}" name="Column14899"/>
    <tableColumn id="14907" xr3:uid="{5B2DD832-A0D2-4679-B99F-3C7B26586DC6}" name="Column14900"/>
    <tableColumn id="14908" xr3:uid="{46082DC3-0304-40CC-AE50-FA151F47FDC1}" name="Column14901"/>
    <tableColumn id="14909" xr3:uid="{8FC03FE8-F269-4461-8075-0AE33129777D}" name="Column14902"/>
    <tableColumn id="14910" xr3:uid="{B496FC84-FF2B-4B43-B4CC-0746B9361AA8}" name="Column14903"/>
    <tableColumn id="14911" xr3:uid="{E18C20A8-EA6C-4E14-8589-96D4E53A713E}" name="Column14904"/>
    <tableColumn id="14912" xr3:uid="{8DCFF510-2702-4E90-8D18-5AA873AF32C8}" name="Column14905"/>
    <tableColumn id="14913" xr3:uid="{232F355D-2E9B-4937-B4E1-5DEF27739BB5}" name="Column14906"/>
    <tableColumn id="14914" xr3:uid="{D1DF3B2A-CDF4-492A-9D95-5DB26B0C6FA3}" name="Column14907"/>
    <tableColumn id="14915" xr3:uid="{3CCB4F53-F237-432C-A6B4-11BF6CAB7DC7}" name="Column14908"/>
    <tableColumn id="14916" xr3:uid="{A2D133C0-CABF-4DFD-A4E0-0E2D31D1957B}" name="Column14909"/>
    <tableColumn id="14917" xr3:uid="{7F176950-AF53-4AEF-883C-B8266761A159}" name="Column14910"/>
    <tableColumn id="14918" xr3:uid="{285A11BC-9C87-43D8-8B5B-C9C0562E9CBB}" name="Column14911"/>
    <tableColumn id="14919" xr3:uid="{C49743C1-E24E-4C4C-A924-FDB80F0FA6B4}" name="Column14912"/>
    <tableColumn id="14920" xr3:uid="{3A8BFB61-6F03-457F-9B6F-B76619D73E08}" name="Column14913"/>
    <tableColumn id="14921" xr3:uid="{6C4AC070-2D6F-4D03-9B54-5AAB2C4796FD}" name="Column14914"/>
    <tableColumn id="14922" xr3:uid="{0F983351-4E57-4C90-B92B-FA982DD6EA8D}" name="Column14915"/>
    <tableColumn id="14923" xr3:uid="{E0913649-7E7C-4EAD-92AE-6D015027584A}" name="Column14916"/>
    <tableColumn id="14924" xr3:uid="{DA7097D2-CED9-4623-A52E-414ADD5746F8}" name="Column14917"/>
    <tableColumn id="14925" xr3:uid="{3B16E3DA-1000-4483-A0DC-27C78C7BBDCD}" name="Column14918"/>
    <tableColumn id="14926" xr3:uid="{C1FF3F7F-A864-48E0-8EA2-1C98C478A6E9}" name="Column14919"/>
    <tableColumn id="14927" xr3:uid="{B55B307D-4A9C-44F1-BE38-6E9E2C7BF584}" name="Column14920"/>
    <tableColumn id="14928" xr3:uid="{22A65AFB-8F12-41EA-A411-E28DD9FD27CA}" name="Column14921"/>
    <tableColumn id="14929" xr3:uid="{8475CBEF-F814-4D8C-8F57-1231BD22B692}" name="Column14922"/>
    <tableColumn id="14930" xr3:uid="{56D05FCA-D7E7-4DC6-BC3E-33D476AEDC4F}" name="Column14923"/>
    <tableColumn id="14931" xr3:uid="{D5F5E436-A0C8-41F1-8060-7F45FC1E0E7C}" name="Column14924"/>
    <tableColumn id="14932" xr3:uid="{FE7D0446-7F3D-4DBD-84D3-2E057C3C2388}" name="Column14925"/>
    <tableColumn id="14933" xr3:uid="{9E1644A9-5E98-4035-8118-FFDEA5F22C28}" name="Column14926"/>
    <tableColumn id="14934" xr3:uid="{DE216B6B-F7C4-48C5-8066-38B5CE8BD30B}" name="Column14927"/>
    <tableColumn id="14935" xr3:uid="{6469EEB3-018C-4334-94DC-2F9EF4742427}" name="Column14928"/>
    <tableColumn id="14936" xr3:uid="{734D9D8F-3E51-4254-9AF3-808A39093906}" name="Column14929"/>
    <tableColumn id="14937" xr3:uid="{D782FD43-2ED7-4BA1-9DE4-D67615EDF16D}" name="Column14930"/>
    <tableColumn id="14938" xr3:uid="{863C3003-86CD-43B9-B06D-E98EF0CDFF37}" name="Column14931"/>
    <tableColumn id="14939" xr3:uid="{CC0DB349-1340-49BA-AF6B-85063A3F49E3}" name="Column14932"/>
    <tableColumn id="14940" xr3:uid="{77ACB2DE-F8C3-4B0F-9136-A1A2DDB2C891}" name="Column14933"/>
    <tableColumn id="14941" xr3:uid="{B94411E0-9BF5-490A-BA3D-E5B5C7FB9259}" name="Column14934"/>
    <tableColumn id="14942" xr3:uid="{E3B7F12D-10F1-4CAB-8BAC-CA7D5B1285EB}" name="Column14935"/>
    <tableColumn id="14943" xr3:uid="{4CCE49A9-2E10-4AEF-A03C-E7D640B97DE6}" name="Column14936"/>
    <tableColumn id="14944" xr3:uid="{EB165C3C-4EF4-4349-948F-F0010FAAA459}" name="Column14937"/>
    <tableColumn id="14945" xr3:uid="{1BFB8054-6483-4E6C-A349-F6787CAAE6C8}" name="Column14938"/>
    <tableColumn id="14946" xr3:uid="{77B411E8-D494-405F-B242-65D659702850}" name="Column14939"/>
    <tableColumn id="14947" xr3:uid="{095509A2-4BE0-4315-B064-9592F753ED40}" name="Column14940"/>
    <tableColumn id="14948" xr3:uid="{56AE04E9-E19F-419A-BBCE-43EBF4063C85}" name="Column14941"/>
    <tableColumn id="14949" xr3:uid="{E159446C-191D-4BD9-8C95-BE2232190523}" name="Column14942"/>
    <tableColumn id="14950" xr3:uid="{6816B4CA-61CD-4269-8D2D-03AFE2B311D3}" name="Column14943"/>
    <tableColumn id="14951" xr3:uid="{EBC16642-CCEF-494C-B776-310BB1CA7916}" name="Column14944"/>
    <tableColumn id="14952" xr3:uid="{7E8FAFBC-013E-48FB-9403-3CFFEDD38DFF}" name="Column14945"/>
    <tableColumn id="14953" xr3:uid="{D2E8B3A4-8B59-4746-B3CB-DAD8A3C8718E}" name="Column14946"/>
    <tableColumn id="14954" xr3:uid="{2335A347-DF52-4E94-A07B-1A66F9B8ED2E}" name="Column14947"/>
    <tableColumn id="14955" xr3:uid="{336BDA0E-AAC8-4B92-BF9F-2905BE9D02D8}" name="Column14948"/>
    <tableColumn id="14956" xr3:uid="{59ADCD9F-49B1-4544-BCEC-779AFEA8B8EE}" name="Column14949"/>
    <tableColumn id="14957" xr3:uid="{A3D09B0A-719B-4C10-B905-5D1883915102}" name="Column14950"/>
    <tableColumn id="14958" xr3:uid="{654B3913-A1C3-46D7-8F31-CE0D90929F10}" name="Column14951"/>
    <tableColumn id="14959" xr3:uid="{46954EFC-2237-46EE-A042-E720B28B1DB2}" name="Column14952"/>
    <tableColumn id="14960" xr3:uid="{EB9D1728-DC2E-4E84-BEAD-D138A93E60EE}" name="Column14953"/>
    <tableColumn id="14961" xr3:uid="{86F55B0C-15AE-4D3D-8302-8121B633F09C}" name="Column14954"/>
    <tableColumn id="14962" xr3:uid="{1296D105-23F1-4322-90B2-AED3CDFD7D8D}" name="Column14955"/>
    <tableColumn id="14963" xr3:uid="{4F22A23C-03C7-4112-A076-03359E5126AC}" name="Column14956"/>
    <tableColumn id="14964" xr3:uid="{6C4506AD-BC77-498F-B2F1-7499EF551EA3}" name="Column14957"/>
    <tableColumn id="14965" xr3:uid="{E286A074-A107-4D38-BE24-0610DD48177C}" name="Column14958"/>
    <tableColumn id="14966" xr3:uid="{0382CAD4-A8AD-4F76-BDA8-2CCB5D9EE551}" name="Column14959"/>
    <tableColumn id="14967" xr3:uid="{EC5077A3-392D-4356-BEB2-0407E3244AF1}" name="Column14960"/>
    <tableColumn id="14968" xr3:uid="{62F1DC6A-0657-41EA-872E-2F7653D88C78}" name="Column14961"/>
    <tableColumn id="14969" xr3:uid="{94C03635-1A28-4B93-8620-0C51F8B95CE4}" name="Column14962"/>
    <tableColumn id="14970" xr3:uid="{73CD279B-E420-4A64-9C80-6E7EBF7A203E}" name="Column14963"/>
    <tableColumn id="14971" xr3:uid="{B91AEBCB-DD13-40B8-B07E-579D0C6F351E}" name="Column14964"/>
    <tableColumn id="14972" xr3:uid="{19E28A9E-3DA0-42E3-8567-1ACC46FC2E10}" name="Column14965"/>
    <tableColumn id="14973" xr3:uid="{E11ED62B-EF99-4A62-ACAF-B9940F2AC7D0}" name="Column14966"/>
    <tableColumn id="14974" xr3:uid="{6FD59C5A-602D-4AE3-9810-DB2895ACC7F2}" name="Column14967"/>
    <tableColumn id="14975" xr3:uid="{A943D89B-F300-4208-8307-FBA5BF0D3470}" name="Column14968"/>
    <tableColumn id="14976" xr3:uid="{FA910523-76D4-46B4-893C-10CD5B8B87B6}" name="Column14969"/>
    <tableColumn id="14977" xr3:uid="{CCBC1C27-9923-473F-82B9-69CA1E2E31A5}" name="Column14970"/>
    <tableColumn id="14978" xr3:uid="{F2BC646E-F8AC-4E90-AFC6-7D860177AC5E}" name="Column14971"/>
    <tableColumn id="14979" xr3:uid="{812C8864-CAC6-420F-9481-6CDF6F900853}" name="Column14972"/>
    <tableColumn id="14980" xr3:uid="{98CCF4E0-8881-4797-9A39-89082F1746CD}" name="Column14973"/>
    <tableColumn id="14981" xr3:uid="{C92310BA-CF09-4CFA-816C-D0C7A79097BC}" name="Column14974"/>
    <tableColumn id="14982" xr3:uid="{DDD1F557-1461-4FC6-B1FD-C131EC27B84D}" name="Column14975"/>
    <tableColumn id="14983" xr3:uid="{C4832C36-2D19-4589-AC3D-9190A398743A}" name="Column14976"/>
    <tableColumn id="14984" xr3:uid="{E3A654AB-869F-4FA9-B0D4-13EB84B81534}" name="Column14977"/>
    <tableColumn id="14985" xr3:uid="{D16131F7-CF81-4C79-8AC3-01DADFA6F211}" name="Column14978"/>
    <tableColumn id="14986" xr3:uid="{9FB04360-87BB-4247-8CE8-1068903F59F3}" name="Column14979"/>
    <tableColumn id="14987" xr3:uid="{006508B8-A00A-4BCB-AA08-CD74173F4D84}" name="Column14980"/>
    <tableColumn id="14988" xr3:uid="{8E8C99BE-2BBA-4318-B0C7-9A6155B6B143}" name="Column14981"/>
    <tableColumn id="14989" xr3:uid="{853DEFD3-AA3D-4228-BA33-C46159D4A233}" name="Column14982"/>
    <tableColumn id="14990" xr3:uid="{8B279362-AD37-495B-9DD5-F2CE80599B1F}" name="Column14983"/>
    <tableColumn id="14991" xr3:uid="{CD5FF34F-D33A-44AF-9CE9-3C8EB6A4598F}" name="Column14984"/>
    <tableColumn id="14992" xr3:uid="{CFD85121-95D0-45A8-8F25-2F4F071E60EE}" name="Column14985"/>
    <tableColumn id="14993" xr3:uid="{A4340787-FC40-4DB7-B9A1-0242D3742BD4}" name="Column14986"/>
    <tableColumn id="14994" xr3:uid="{974F17F6-78ED-4AFF-BA31-71F92F96F6CE}" name="Column14987"/>
    <tableColumn id="14995" xr3:uid="{26A99F5B-50A8-4927-8AD0-6C80BDB44394}" name="Column14988"/>
    <tableColumn id="14996" xr3:uid="{579F06EA-5032-463B-A336-E76BBB919D36}" name="Column14989"/>
    <tableColumn id="14997" xr3:uid="{7545F31B-7A8F-4564-8A92-7BEBA3C6AB60}" name="Column14990"/>
    <tableColumn id="14998" xr3:uid="{1BDABDF6-D412-4C00-A161-1D32A2403BE7}" name="Column14991"/>
    <tableColumn id="14999" xr3:uid="{1CDC0912-5354-44C4-B599-6ADF23459351}" name="Column14992"/>
    <tableColumn id="15000" xr3:uid="{B79788FB-790D-483B-8DC9-6A11D0BE04F7}" name="Column14993"/>
    <tableColumn id="15001" xr3:uid="{67FABFCE-B1C4-44B8-9196-A42B72A62BA4}" name="Column14994"/>
    <tableColumn id="15002" xr3:uid="{89D4579A-9816-4F13-9352-0AF360121FA1}" name="Column14995"/>
    <tableColumn id="15003" xr3:uid="{C3473061-15D6-4B80-98EA-67F5AD03530E}" name="Column14996"/>
    <tableColumn id="15004" xr3:uid="{2D43C5CC-6778-44D4-BC9D-92F58CC5A197}" name="Column14997"/>
    <tableColumn id="15005" xr3:uid="{319134BF-92DB-4E89-822E-7FC37CBB9CDA}" name="Column14998"/>
    <tableColumn id="15006" xr3:uid="{FE1C303C-3034-4958-99AD-808513B1F316}" name="Column14999"/>
    <tableColumn id="15007" xr3:uid="{4E99310E-11CB-446A-8BD1-49F3C31BA4F9}" name="Column15000"/>
    <tableColumn id="15008" xr3:uid="{7ECAABB4-1F3D-45EC-BB07-988387E5FD3F}" name="Column15001"/>
    <tableColumn id="15009" xr3:uid="{D1DA6332-E8F3-454C-B13E-F9E2B463F71B}" name="Column15002"/>
    <tableColumn id="15010" xr3:uid="{0C3C1103-1D5E-45CD-8881-5E35AA5807AA}" name="Column15003"/>
    <tableColumn id="15011" xr3:uid="{98BC4D0F-8726-4A3A-B86D-D51081C6FC4D}" name="Column15004"/>
    <tableColumn id="15012" xr3:uid="{CC434469-D19B-441D-AE4F-4A6EE876F6AA}" name="Column15005"/>
    <tableColumn id="15013" xr3:uid="{2DDB6050-6763-486C-857C-CEABBCC20AA6}" name="Column15006"/>
    <tableColumn id="15014" xr3:uid="{DD60738E-AC6D-4CEB-8675-1620FDF7C841}" name="Column15007"/>
    <tableColumn id="15015" xr3:uid="{97620760-FA87-4217-8DAA-419FF5EEDBB6}" name="Column15008"/>
    <tableColumn id="15016" xr3:uid="{ED651FC3-D483-4592-99A6-89126AB24BF1}" name="Column15009"/>
    <tableColumn id="15017" xr3:uid="{C2F6E3FF-E3DB-4B6D-83FC-857CCCA153BD}" name="Column15010"/>
    <tableColumn id="15018" xr3:uid="{EE03ECFA-49DB-4F4E-B092-6BE053C22FEA}" name="Column15011"/>
    <tableColumn id="15019" xr3:uid="{818171BF-8376-45BD-A193-0733F6C662B7}" name="Column15012"/>
    <tableColumn id="15020" xr3:uid="{66568144-9B2A-41AC-AE36-D8A879C80DF9}" name="Column15013"/>
    <tableColumn id="15021" xr3:uid="{D5F3C950-22CF-42C1-86FF-08613D00C91F}" name="Column15014"/>
    <tableColumn id="15022" xr3:uid="{F39E24AE-38BF-4F7C-8C5F-BF4B51D96049}" name="Column15015"/>
    <tableColumn id="15023" xr3:uid="{E831A895-D787-453B-9AEC-735C33A57A12}" name="Column15016"/>
    <tableColumn id="15024" xr3:uid="{95910CD6-0F86-49BA-8669-A59AAEBEC2C8}" name="Column15017"/>
    <tableColumn id="15025" xr3:uid="{94B4167B-EC9E-42A4-A1DA-4DCA55C2E827}" name="Column15018"/>
    <tableColumn id="15026" xr3:uid="{EF500DAC-B9E1-4567-84BA-7A94A6C22761}" name="Column15019"/>
    <tableColumn id="15027" xr3:uid="{2856F68B-7133-459E-999E-62072FFACFE9}" name="Column15020"/>
    <tableColumn id="15028" xr3:uid="{67412DD5-E70D-43A0-945A-17968DC69C55}" name="Column15021"/>
    <tableColumn id="15029" xr3:uid="{DE0DFC8D-5A0A-46D1-8A7B-460DF2C25D44}" name="Column15022"/>
    <tableColumn id="15030" xr3:uid="{88252111-5745-430B-B6AC-FA9E32C1D7C7}" name="Column15023"/>
    <tableColumn id="15031" xr3:uid="{557AB14E-CAED-43B9-B434-CBFCD8182D5A}" name="Column15024"/>
    <tableColumn id="15032" xr3:uid="{F8BD2F93-B5EE-47D2-977E-ED192FAFA643}" name="Column15025"/>
    <tableColumn id="15033" xr3:uid="{B5B4134B-CAA6-4860-BD83-85951663DB05}" name="Column15026"/>
    <tableColumn id="15034" xr3:uid="{D3CFDEF3-F7D8-4C66-84FC-5B2E240E00F7}" name="Column15027"/>
    <tableColumn id="15035" xr3:uid="{703BDAAB-8E79-4EAC-8700-D50402DAAAD3}" name="Column15028"/>
    <tableColumn id="15036" xr3:uid="{9B90B2AE-4E69-40EF-8F36-E6D0AEFBEE14}" name="Column15029"/>
    <tableColumn id="15037" xr3:uid="{FCBF4717-AAE9-43DD-A144-EDCD32626400}" name="Column15030"/>
    <tableColumn id="15038" xr3:uid="{2046CF07-89FD-4FF9-9A16-0D5BD6D2ADEC}" name="Column15031"/>
    <tableColumn id="15039" xr3:uid="{BC8EF257-F2AE-4BFB-B5D4-69214B4A31AF}" name="Column15032"/>
    <tableColumn id="15040" xr3:uid="{82DD41FB-5385-4F6D-8B8A-BF88C6394B4C}" name="Column15033"/>
    <tableColumn id="15041" xr3:uid="{5E1999A9-02B1-40D2-B320-71B76D444416}" name="Column15034"/>
    <tableColumn id="15042" xr3:uid="{E4E1EE67-20B5-49FA-BBD2-5178C83FAA19}" name="Column15035"/>
    <tableColumn id="15043" xr3:uid="{B5EBA268-09B2-4798-89F5-FE901EF0AA14}" name="Column15036"/>
    <tableColumn id="15044" xr3:uid="{660C6AE2-A385-4633-BC2F-7DFD5177C47B}" name="Column15037"/>
    <tableColumn id="15045" xr3:uid="{F69C6389-6D6E-470C-B605-8677ADD864B4}" name="Column15038"/>
    <tableColumn id="15046" xr3:uid="{FC8CFB65-65B5-48E2-8A79-3AAAB89956C7}" name="Column15039"/>
    <tableColumn id="15047" xr3:uid="{8C7A3419-0409-4241-9FFE-633024449D69}" name="Column15040"/>
    <tableColumn id="15048" xr3:uid="{8520951C-1871-44A5-9B36-D3C0026CB2E3}" name="Column15041"/>
    <tableColumn id="15049" xr3:uid="{FFCC1839-A619-4112-A69A-80C26999BAD0}" name="Column15042"/>
    <tableColumn id="15050" xr3:uid="{4E1EF016-CAB9-4C47-87E5-1F8F8A59A0DA}" name="Column15043"/>
    <tableColumn id="15051" xr3:uid="{7F445853-E59E-4424-A759-FA667ECC2C11}" name="Column15044"/>
    <tableColumn id="15052" xr3:uid="{7361108D-0217-486E-9F1B-2FAD1209C4F2}" name="Column15045"/>
    <tableColumn id="15053" xr3:uid="{25ED3E50-39BC-40D5-9C25-5CFD7D80B8C3}" name="Column15046"/>
    <tableColumn id="15054" xr3:uid="{86F28408-9BDD-43D1-B3AF-17781DFEF263}" name="Column15047"/>
    <tableColumn id="15055" xr3:uid="{A8AE93D1-172D-4464-978C-06E4B3D3B5AA}" name="Column15048"/>
    <tableColumn id="15056" xr3:uid="{8576F5A7-2B37-42DC-BF69-3EF6CC6D7178}" name="Column15049"/>
    <tableColumn id="15057" xr3:uid="{431DD3F0-5F67-4D4F-AC24-F87BB5FBFC49}" name="Column15050"/>
    <tableColumn id="15058" xr3:uid="{AF44826E-C788-4B81-964E-C40F4CCDD768}" name="Column15051"/>
    <tableColumn id="15059" xr3:uid="{D737909F-90C1-41EA-B271-DDEBE1ED1D3A}" name="Column15052"/>
    <tableColumn id="15060" xr3:uid="{34437F71-D6F4-48F9-8375-60E57E601D73}" name="Column15053"/>
    <tableColumn id="15061" xr3:uid="{84AAC208-CF98-419A-A772-E91FDFEBFF8D}" name="Column15054"/>
    <tableColumn id="15062" xr3:uid="{F72D7F75-870D-4EE3-812E-2A674AA71EA1}" name="Column15055"/>
    <tableColumn id="15063" xr3:uid="{D08B4A0E-5B6F-48DB-BF89-2E8A117CD85B}" name="Column15056"/>
    <tableColumn id="15064" xr3:uid="{B32B9A71-43A9-4F34-A032-A57D262DB7E6}" name="Column15057"/>
    <tableColumn id="15065" xr3:uid="{A4FFC100-DB92-4811-B00B-FC1EA48463A3}" name="Column15058"/>
    <tableColumn id="15066" xr3:uid="{FB8E015C-C2F7-4F82-B6AC-F47505103A79}" name="Column15059"/>
    <tableColumn id="15067" xr3:uid="{E09B7F16-1FB3-46B0-A299-B72FFBDD0B6C}" name="Column15060"/>
    <tableColumn id="15068" xr3:uid="{69ECF72B-FCD4-41F2-BEBE-522688F6C7AB}" name="Column15061"/>
    <tableColumn id="15069" xr3:uid="{98ECE07E-4569-447C-8AF6-14866A595A0E}" name="Column15062"/>
    <tableColumn id="15070" xr3:uid="{D09AC236-57A5-4AC8-B65D-227C39663CB8}" name="Column15063"/>
    <tableColumn id="15071" xr3:uid="{EFB785D1-2368-4E09-8E21-D3C49A5FC9C1}" name="Column15064"/>
    <tableColumn id="15072" xr3:uid="{64071242-7612-49BC-AF9C-070E832D7D65}" name="Column15065"/>
    <tableColumn id="15073" xr3:uid="{899C6EE8-3E67-4ADF-9B74-0E8FD9D7E312}" name="Column15066"/>
    <tableColumn id="15074" xr3:uid="{B012789B-6DE8-46C4-BD84-CE24E4269D2C}" name="Column15067"/>
    <tableColumn id="15075" xr3:uid="{4848D993-0AF0-4E86-A90F-554CF815597D}" name="Column15068"/>
    <tableColumn id="15076" xr3:uid="{F264837B-A5C8-4086-B8D9-5F263BBA4A5A}" name="Column15069"/>
    <tableColumn id="15077" xr3:uid="{246A7805-E1F9-46B2-91D9-46E38F78954E}" name="Column15070"/>
    <tableColumn id="15078" xr3:uid="{26D5624D-3387-42C2-A1AA-7234CF2D8FF0}" name="Column15071"/>
    <tableColumn id="15079" xr3:uid="{7340C9F2-6FC4-48DF-834E-E1A3FC9A431E}" name="Column15072"/>
    <tableColumn id="15080" xr3:uid="{48709F06-4C5E-4090-A223-DB702C34C4A7}" name="Column15073"/>
    <tableColumn id="15081" xr3:uid="{D9E55B32-DC77-4703-B79E-7ED8029A4B4F}" name="Column15074"/>
    <tableColumn id="15082" xr3:uid="{F1D5C5F3-B0FE-4D50-9CC6-B06EA4BC1FAB}" name="Column15075"/>
    <tableColumn id="15083" xr3:uid="{0EE2E101-CEF3-40CE-A3E6-CF04A02AC993}" name="Column15076"/>
    <tableColumn id="15084" xr3:uid="{A261770F-D7F1-4ADC-A219-B3788926BEB2}" name="Column15077"/>
    <tableColumn id="15085" xr3:uid="{B3EDCF72-3EE1-4B33-A5E5-FDA3158B8EFB}" name="Column15078"/>
    <tableColumn id="15086" xr3:uid="{3C2F3C7D-9601-4B44-8DCC-291431336AC0}" name="Column15079"/>
    <tableColumn id="15087" xr3:uid="{8EAFAD34-F89C-48DE-9B54-019E7C68AF6A}" name="Column15080"/>
    <tableColumn id="15088" xr3:uid="{4657B622-FD0E-46CA-BA1F-4F31C0E1597B}" name="Column15081"/>
    <tableColumn id="15089" xr3:uid="{D54D5583-AFE2-424C-A22F-028605B8EEBD}" name="Column15082"/>
    <tableColumn id="15090" xr3:uid="{ED9CA749-4A33-4633-AB34-4F0193FDD445}" name="Column15083"/>
    <tableColumn id="15091" xr3:uid="{AB44DFED-4277-4AF9-82AB-4CBE2F9B7D86}" name="Column15084"/>
    <tableColumn id="15092" xr3:uid="{C9AE20E6-6FB7-487C-AAEB-CFD9946CDAA3}" name="Column15085"/>
    <tableColumn id="15093" xr3:uid="{BDBFC604-F2EB-4F27-8EF6-BA909D81A93D}" name="Column15086"/>
    <tableColumn id="15094" xr3:uid="{6B1059E3-4267-408E-9252-7F919BDF7E7F}" name="Column15087"/>
    <tableColumn id="15095" xr3:uid="{B667246D-5292-4D06-802F-71898D99896D}" name="Column15088"/>
    <tableColumn id="15096" xr3:uid="{EA34091D-640E-442F-9AA4-7DA7C5FA7205}" name="Column15089"/>
    <tableColumn id="15097" xr3:uid="{180A7C2D-9CE2-488C-9C3A-B26AF809F359}" name="Column15090"/>
    <tableColumn id="15098" xr3:uid="{3D4D26DF-E31A-4813-B7FC-9962B9CE413D}" name="Column15091"/>
    <tableColumn id="15099" xr3:uid="{9118862F-DFB1-4B73-ACF6-90D0F9EE9428}" name="Column15092"/>
    <tableColumn id="15100" xr3:uid="{EA3C926B-8305-4326-8B4D-34522875591D}" name="Column15093"/>
    <tableColumn id="15101" xr3:uid="{E6DE1145-1996-4EB1-8C63-8F6CAB610BAB}" name="Column15094"/>
    <tableColumn id="15102" xr3:uid="{3180A6D2-734F-4ED7-A3D3-3AD195F9F0B8}" name="Column15095"/>
    <tableColumn id="15103" xr3:uid="{A2B5981B-AF34-4B1C-A501-D6D4B234B83C}" name="Column15096"/>
    <tableColumn id="15104" xr3:uid="{CFBE103D-6302-4634-9364-08F0A047D6F5}" name="Column15097"/>
    <tableColumn id="15105" xr3:uid="{7D26929B-257D-4AF8-B587-D4C62BAEEF38}" name="Column15098"/>
    <tableColumn id="15106" xr3:uid="{8A511475-87E8-4B18-83BA-7D7F1D96712E}" name="Column15099"/>
    <tableColumn id="15107" xr3:uid="{30E15EA2-A09B-4930-B277-439414E7812C}" name="Column15100"/>
    <tableColumn id="15108" xr3:uid="{7E61478D-BA52-4601-96AD-EE5E2645E634}" name="Column15101"/>
    <tableColumn id="15109" xr3:uid="{184FA2E4-0833-42B3-90F5-FBB0A1C6385B}" name="Column15102"/>
    <tableColumn id="15110" xr3:uid="{68ED1B08-5A20-489E-B799-5C467DF03D61}" name="Column15103"/>
    <tableColumn id="15111" xr3:uid="{4CC13E1D-3EBC-4997-B38C-F8C2A1683E8B}" name="Column15104"/>
    <tableColumn id="15112" xr3:uid="{9E05B16D-5824-4222-9FF7-3E52DBAD224E}" name="Column15105"/>
    <tableColumn id="15113" xr3:uid="{7A8323FE-CDB9-4086-A1F5-139D13670119}" name="Column15106"/>
    <tableColumn id="15114" xr3:uid="{D4CEF1B9-A90F-4CD6-AAB5-20CA7DEA07D1}" name="Column15107"/>
    <tableColumn id="15115" xr3:uid="{7C996572-AB28-46B3-B24C-7E31656C91A4}" name="Column15108"/>
    <tableColumn id="15116" xr3:uid="{289C42D3-4609-4262-BB04-7D315B67BBE1}" name="Column15109"/>
    <tableColumn id="15117" xr3:uid="{8EF2F99E-D89C-4857-B578-A85B9DB7FFB0}" name="Column15110"/>
    <tableColumn id="15118" xr3:uid="{345ECE1A-92C8-4181-A143-9D8C627DD2D2}" name="Column15111"/>
    <tableColumn id="15119" xr3:uid="{33D64EE1-143E-474C-AA6C-7F44DCF796AE}" name="Column15112"/>
    <tableColumn id="15120" xr3:uid="{48B3E19E-56A6-4609-930D-7E519580C644}" name="Column15113"/>
    <tableColumn id="15121" xr3:uid="{6CCFF447-09CC-4DBB-BA22-86A08CC41B06}" name="Column15114"/>
    <tableColumn id="15122" xr3:uid="{C32F5677-6E72-4DC5-9B62-A722058DEF85}" name="Column15115"/>
    <tableColumn id="15123" xr3:uid="{89253FCE-8AFF-4B23-B41F-1338E7B44F61}" name="Column15116"/>
    <tableColumn id="15124" xr3:uid="{B5FF2B7C-9EAE-4BF4-98FD-48BC4F178022}" name="Column15117"/>
    <tableColumn id="15125" xr3:uid="{A7DA1C7D-0F68-44C5-87DE-2C19925CB4D2}" name="Column15118"/>
    <tableColumn id="15126" xr3:uid="{D64B881B-EE97-4A10-BBD0-FA2E972D7CA2}" name="Column15119"/>
    <tableColumn id="15127" xr3:uid="{C120CF07-F537-421E-A93A-5CA579841341}" name="Column15120"/>
    <tableColumn id="15128" xr3:uid="{A4CC1163-4AC2-4CBB-8A5B-64FB6AD084F7}" name="Column15121"/>
    <tableColumn id="15129" xr3:uid="{A1247177-38C6-4BB8-9834-8CD6BC3D98AF}" name="Column15122"/>
    <tableColumn id="15130" xr3:uid="{625C0E2F-B4D3-4EF4-B0F4-4BBA7E819F52}" name="Column15123"/>
    <tableColumn id="15131" xr3:uid="{BD100581-6F9A-4CCB-B509-3292404B657A}" name="Column15124"/>
    <tableColumn id="15132" xr3:uid="{F8AE14DC-0B96-4348-B529-E4C8E1B2C240}" name="Column15125"/>
    <tableColumn id="15133" xr3:uid="{0A843CB7-2484-4292-89CA-362C1FCD6291}" name="Column15126"/>
    <tableColumn id="15134" xr3:uid="{B24A398B-7EC4-4859-91D9-9A7D1096CAFA}" name="Column15127"/>
    <tableColumn id="15135" xr3:uid="{2FE7F408-4772-4789-B709-DFED50629960}" name="Column15128"/>
    <tableColumn id="15136" xr3:uid="{110C9B99-DC31-460E-926B-98BB21620677}" name="Column15129"/>
    <tableColumn id="15137" xr3:uid="{87805962-E3E6-4C85-A6C7-EF2998F8C824}" name="Column15130"/>
    <tableColumn id="15138" xr3:uid="{F6091D04-66FF-448C-8B1F-19D31A0F3E8D}" name="Column15131"/>
    <tableColumn id="15139" xr3:uid="{E04431E3-8963-4B07-8DC4-D6B4F8BD083C}" name="Column15132"/>
    <tableColumn id="15140" xr3:uid="{F18ABFC4-93C3-4396-8DB2-CF6C3301B7E5}" name="Column15133"/>
    <tableColumn id="15141" xr3:uid="{37A738D3-C983-483A-AA88-5F8F587F02AA}" name="Column15134"/>
    <tableColumn id="15142" xr3:uid="{FCDD6CDD-FA1E-4A0F-A7F5-10A002E8556C}" name="Column15135"/>
    <tableColumn id="15143" xr3:uid="{10FE86C4-E596-4703-B48F-529E10162598}" name="Column15136"/>
    <tableColumn id="15144" xr3:uid="{38BD95D3-83BF-4A1F-85AB-AACADDE7B6F4}" name="Column15137"/>
    <tableColumn id="15145" xr3:uid="{DCBE8C7C-6141-423F-8968-83F4F483CC33}" name="Column15138"/>
    <tableColumn id="15146" xr3:uid="{4F420D56-F0CA-4E6C-8807-FED5E8D0BA57}" name="Column15139"/>
    <tableColumn id="15147" xr3:uid="{3C083052-5C68-4908-82F1-C60EB3F50B6F}" name="Column15140"/>
    <tableColumn id="15148" xr3:uid="{F1C1248E-06A2-4CF1-8484-CD2E6E95D986}" name="Column15141"/>
    <tableColumn id="15149" xr3:uid="{A19CEFF0-3D2D-4A18-AF78-1DCD09DB2EAD}" name="Column15142"/>
    <tableColumn id="15150" xr3:uid="{E10FC6FC-69C6-49FC-848A-C6971337B4FF}" name="Column15143"/>
    <tableColumn id="15151" xr3:uid="{AAA3B961-D9B8-4533-BF30-F9AB5493E7EF}" name="Column15144"/>
    <tableColumn id="15152" xr3:uid="{2F3DBEA8-6047-4710-BD95-4873F0BF02FD}" name="Column15145"/>
    <tableColumn id="15153" xr3:uid="{867DAC1D-DD5D-484F-B8B5-8C5BED6F773E}" name="Column15146"/>
    <tableColumn id="15154" xr3:uid="{80683DD9-C12B-4BEF-A932-EA507B266981}" name="Column15147"/>
    <tableColumn id="15155" xr3:uid="{75C3FCB5-7CEC-4C36-B384-F6E6CCBB8042}" name="Column15148"/>
    <tableColumn id="15156" xr3:uid="{BD3CB3B2-55D1-452C-9C56-63494F66EDE1}" name="Column15149"/>
    <tableColumn id="15157" xr3:uid="{45CC903B-91F2-42BB-BB89-5C1F4973B223}" name="Column15150"/>
    <tableColumn id="15158" xr3:uid="{84A48E14-EA69-440E-AED8-490FF4BD0076}" name="Column15151"/>
    <tableColumn id="15159" xr3:uid="{503298B3-1929-4AD8-91D5-64C04FEB3A1C}" name="Column15152"/>
    <tableColumn id="15160" xr3:uid="{A13BAC7F-918D-4DDB-A287-66E7FDC8ECDC}" name="Column15153"/>
    <tableColumn id="15161" xr3:uid="{33EFF71D-52DA-4F70-8AC7-FCE37799F5C1}" name="Column15154"/>
    <tableColumn id="15162" xr3:uid="{D7C46743-ED0B-4FFC-9CB0-18C0697D4B7D}" name="Column15155"/>
    <tableColumn id="15163" xr3:uid="{8CB56785-8325-4025-A921-86877157CB4C}" name="Column15156"/>
    <tableColumn id="15164" xr3:uid="{DC868B4A-44FF-4D78-A380-C87D43BD74E3}" name="Column15157"/>
    <tableColumn id="15165" xr3:uid="{4C3E7127-F7CE-4427-8BAA-95CF1382AA62}" name="Column15158"/>
    <tableColumn id="15166" xr3:uid="{D8E6E78C-13D5-4F8F-8511-D8C16DEE58A0}" name="Column15159"/>
    <tableColumn id="15167" xr3:uid="{3CBB5626-BC15-4785-81A7-5E5CCF734C6A}" name="Column15160"/>
    <tableColumn id="15168" xr3:uid="{2025CEC7-6863-48BF-9894-197C17F9D820}" name="Column15161"/>
    <tableColumn id="15169" xr3:uid="{B6C80409-3502-4EC7-9D34-55D11E938E18}" name="Column15162"/>
    <tableColumn id="15170" xr3:uid="{4FE5E4C0-2638-45D0-BA00-B93841A4C58D}" name="Column15163"/>
    <tableColumn id="15171" xr3:uid="{917EF6AF-9BAB-493A-977A-994A1F0EEC8D}" name="Column15164"/>
    <tableColumn id="15172" xr3:uid="{FAD8D694-DCB6-493C-B9DE-5402A7DDA247}" name="Column15165"/>
    <tableColumn id="15173" xr3:uid="{BC613E7E-8E71-45CE-8096-84637B7591FC}" name="Column15166"/>
    <tableColumn id="15174" xr3:uid="{396C95EF-AB2E-46F4-A104-CFF02C63EDCD}" name="Column15167"/>
    <tableColumn id="15175" xr3:uid="{07649621-3473-409E-B165-7FFF8613A68A}" name="Column15168"/>
    <tableColumn id="15176" xr3:uid="{37F3B968-675C-45D2-AEC4-8CAC61FE8FF0}" name="Column15169"/>
    <tableColumn id="15177" xr3:uid="{45717F8A-9A43-4D3A-968F-082B0E2AEBD5}" name="Column15170"/>
    <tableColumn id="15178" xr3:uid="{43AA2566-9117-488C-BD83-12D2BECAE55A}" name="Column15171"/>
    <tableColumn id="15179" xr3:uid="{F9DB4516-D627-41DD-8CF0-A77A12A5B603}" name="Column15172"/>
    <tableColumn id="15180" xr3:uid="{04B5597E-030D-4BC9-A4BE-62CDA3F47DF8}" name="Column15173"/>
    <tableColumn id="15181" xr3:uid="{2D160F86-05B0-45DA-972E-9F9D00071FFD}" name="Column15174"/>
    <tableColumn id="15182" xr3:uid="{70914C74-E4AA-4C5C-9185-D450C9CFE33F}" name="Column15175"/>
    <tableColumn id="15183" xr3:uid="{1A63FB68-255B-44C9-AB38-B6D5BF3430C6}" name="Column15176"/>
    <tableColumn id="15184" xr3:uid="{378230C1-9E78-4991-A7B1-36C6C97675E6}" name="Column15177"/>
    <tableColumn id="15185" xr3:uid="{0EC709F0-CE42-4CB5-86BF-B6A8D3F540FC}" name="Column15178"/>
    <tableColumn id="15186" xr3:uid="{1293E0DE-13F3-45E6-8E9A-38291BC63163}" name="Column15179"/>
    <tableColumn id="15187" xr3:uid="{F7D00BB5-4B20-465C-84FB-90EEC4D8B2DF}" name="Column15180"/>
    <tableColumn id="15188" xr3:uid="{3444BACD-9637-464A-A77A-50C465C1064C}" name="Column15181"/>
    <tableColumn id="15189" xr3:uid="{D8C921BE-B828-48B9-BC66-AA1299EF75B7}" name="Column15182"/>
    <tableColumn id="15190" xr3:uid="{5630A86E-AF0C-4048-B766-6538F7A29BBA}" name="Column15183"/>
    <tableColumn id="15191" xr3:uid="{A61CCCD4-9BD2-41E7-A110-A632BE7B6E19}" name="Column15184"/>
    <tableColumn id="15192" xr3:uid="{EA83CE26-44C7-4758-8C21-D2026E13A38D}" name="Column15185"/>
    <tableColumn id="15193" xr3:uid="{86C6AA7D-C21A-42C1-85BC-C568A46AF9EB}" name="Column15186"/>
    <tableColumn id="15194" xr3:uid="{6D878FE4-564F-4D64-9263-618740DDCD24}" name="Column15187"/>
    <tableColumn id="15195" xr3:uid="{089C3382-0682-4C80-AB1E-80FC84B6D357}" name="Column15188"/>
    <tableColumn id="15196" xr3:uid="{D5768142-C876-497F-8B7D-6D68C16C124F}" name="Column15189"/>
    <tableColumn id="15197" xr3:uid="{C1185394-1CE3-4E87-87FD-0DFB5E16E234}" name="Column15190"/>
    <tableColumn id="15198" xr3:uid="{E75764D9-81CF-42FB-804F-B2A9A8EB8274}" name="Column15191"/>
    <tableColumn id="15199" xr3:uid="{E78A04AA-B9F6-4C8F-8676-9C5ECCEB6434}" name="Column15192"/>
    <tableColumn id="15200" xr3:uid="{140F52CC-C53B-4B85-86E1-8EFCCCE1B184}" name="Column15193"/>
    <tableColumn id="15201" xr3:uid="{B69745F4-70D2-457E-8C43-E4C526EB848C}" name="Column15194"/>
    <tableColumn id="15202" xr3:uid="{749082E6-872B-4B9F-93BB-DED51B2565FC}" name="Column15195"/>
    <tableColumn id="15203" xr3:uid="{96FD86FD-B3ED-42BA-8792-BA1284FF2D03}" name="Column15196"/>
    <tableColumn id="15204" xr3:uid="{AC563170-B7B7-478C-AF68-FD575B1D9C78}" name="Column15197"/>
    <tableColumn id="15205" xr3:uid="{1F47B0AF-D587-4218-A3E5-F83B15658948}" name="Column15198"/>
    <tableColumn id="15206" xr3:uid="{537A946A-DCB2-48BA-BA9F-4E90D77D047A}" name="Column15199"/>
    <tableColumn id="15207" xr3:uid="{F92B4C82-9764-4931-BCD1-B03A223EE38F}" name="Column15200"/>
    <tableColumn id="15208" xr3:uid="{F21D1DE8-CDE3-482E-A51C-5C9198B9B8EF}" name="Column15201"/>
    <tableColumn id="15209" xr3:uid="{CB51B8E6-1D45-4E7C-B0CC-09263EEDCF85}" name="Column15202"/>
    <tableColumn id="15210" xr3:uid="{606E0183-C502-45F5-9454-3700DA3487F2}" name="Column15203"/>
    <tableColumn id="15211" xr3:uid="{83BC67B9-74A5-4935-A604-04939278FB01}" name="Column15204"/>
    <tableColumn id="15212" xr3:uid="{5BDD53F5-5B06-40BF-9FCC-9A4E74BC787A}" name="Column15205"/>
    <tableColumn id="15213" xr3:uid="{47F2796B-2DC5-42E2-B2C8-7E94CB2204E7}" name="Column15206"/>
    <tableColumn id="15214" xr3:uid="{F34429B4-794C-460F-9205-973C3EDE7AA4}" name="Column15207"/>
    <tableColumn id="15215" xr3:uid="{ED7927A9-78F9-45DE-B648-5E06E8BD6326}" name="Column15208"/>
    <tableColumn id="15216" xr3:uid="{91C93708-C128-4C0D-93E2-A29CC7313334}" name="Column15209"/>
    <tableColumn id="15217" xr3:uid="{0FCECD83-0C15-4573-AEB8-4EEB85169C04}" name="Column15210"/>
    <tableColumn id="15218" xr3:uid="{76C5A466-2C1F-42B1-ABEC-6D9F1DB99587}" name="Column15211"/>
    <tableColumn id="15219" xr3:uid="{65275B65-5BB9-406F-A87F-CA9E10EE5496}" name="Column15212"/>
    <tableColumn id="15220" xr3:uid="{6B84708A-8A33-41F5-B615-31BA7DE1735E}" name="Column15213"/>
    <tableColumn id="15221" xr3:uid="{35258C5F-F88F-45A8-BCC8-50973E00B057}" name="Column15214"/>
    <tableColumn id="15222" xr3:uid="{1BD68601-5B3F-4DC0-B594-AF502E937B6A}" name="Column15215"/>
    <tableColumn id="15223" xr3:uid="{310DCA50-60B4-4BA2-888C-CF1A56B010EB}" name="Column15216"/>
    <tableColumn id="15224" xr3:uid="{10403D19-D3BC-4DB3-96E5-69E81399D147}" name="Column15217"/>
    <tableColumn id="15225" xr3:uid="{DE2C1906-69D6-4972-9856-4C9E1DF6616A}" name="Column15218"/>
    <tableColumn id="15226" xr3:uid="{AB987510-BCC9-4957-8868-BF559E5678AA}" name="Column15219"/>
    <tableColumn id="15227" xr3:uid="{35E61876-7C6A-4FE5-A877-9325EEAB5A4C}" name="Column15220"/>
    <tableColumn id="15228" xr3:uid="{CC51257F-6BA5-423A-AA27-7C7264A9ED1E}" name="Column15221"/>
    <tableColumn id="15229" xr3:uid="{C738A47C-3B27-4EFE-9F90-77DB39C1053C}" name="Column15222"/>
    <tableColumn id="15230" xr3:uid="{06842BC2-46CB-4B1E-9F38-6DF339E8519C}" name="Column15223"/>
    <tableColumn id="15231" xr3:uid="{ADEB4DB0-A631-4BF7-AF47-51B12005B4C9}" name="Column15224"/>
    <tableColumn id="15232" xr3:uid="{5A65A982-8E11-4B49-892B-EEEF244B9B0E}" name="Column15225"/>
    <tableColumn id="15233" xr3:uid="{61ADC2C0-C65B-4A03-A8B8-8E74BBA7E4B0}" name="Column15226"/>
    <tableColumn id="15234" xr3:uid="{DC0BEDDB-B8AD-4FE5-826C-60727E30DC99}" name="Column15227"/>
    <tableColumn id="15235" xr3:uid="{402E5D8A-450D-440E-B030-2E0003D8C22E}" name="Column15228"/>
    <tableColumn id="15236" xr3:uid="{D672B33E-1AB5-4096-A7E7-2916213BAC28}" name="Column15229"/>
    <tableColumn id="15237" xr3:uid="{BEAB79F3-C6D3-4FB4-AC25-035E1A570A69}" name="Column15230"/>
    <tableColumn id="15238" xr3:uid="{E60ED679-44D1-4A65-8583-9C3663824DBB}" name="Column15231"/>
    <tableColumn id="15239" xr3:uid="{1DC8AF0E-F69E-48C3-A90F-D1576B1E940C}" name="Column15232"/>
    <tableColumn id="15240" xr3:uid="{FEF6BE9C-BC7A-46FB-ABD3-2ACA12E6D4F7}" name="Column15233"/>
    <tableColumn id="15241" xr3:uid="{397B3A9C-8A2E-431E-AD71-C4EF700536AF}" name="Column15234"/>
    <tableColumn id="15242" xr3:uid="{31EAC8E0-7234-49BE-B901-09B3ADC2552A}" name="Column15235"/>
    <tableColumn id="15243" xr3:uid="{ED5D19E9-3007-4C32-80B9-4525CA758AFC}" name="Column15236"/>
    <tableColumn id="15244" xr3:uid="{66975340-0447-43A1-B100-2F6B7B0428FE}" name="Column15237"/>
    <tableColumn id="15245" xr3:uid="{D9F6B0BD-A39E-4918-B931-0F7FF78E8411}" name="Column15238"/>
    <tableColumn id="15246" xr3:uid="{76CBD485-C885-4790-AA06-7E71BEB304A4}" name="Column15239"/>
    <tableColumn id="15247" xr3:uid="{787E0644-7CA0-4B9F-90C6-039300089E40}" name="Column15240"/>
    <tableColumn id="15248" xr3:uid="{ED462530-A8BA-4723-8393-AED246BD2BDD}" name="Column15241"/>
    <tableColumn id="15249" xr3:uid="{F41A7372-567B-4B90-A6E6-EAFFE260C4B5}" name="Column15242"/>
    <tableColumn id="15250" xr3:uid="{4E6D63B5-87CE-4BCB-950D-EA322D923C3D}" name="Column15243"/>
    <tableColumn id="15251" xr3:uid="{EAD60FED-D978-41DB-9115-D78D85A5F369}" name="Column15244"/>
    <tableColumn id="15252" xr3:uid="{A14F4276-9D58-4242-B43E-D17F2EDA2AC6}" name="Column15245"/>
    <tableColumn id="15253" xr3:uid="{36DFC80F-7B53-4C33-95FB-C015C346F435}" name="Column15246"/>
    <tableColumn id="15254" xr3:uid="{50D99A99-DD99-4FD9-98A7-D2E48CDDCA0E}" name="Column15247"/>
    <tableColumn id="15255" xr3:uid="{A34E9758-D00C-458E-80A7-6BECD8DB35DD}" name="Column15248"/>
    <tableColumn id="15256" xr3:uid="{19B77E28-D557-4A80-BA75-8850D5400259}" name="Column15249"/>
    <tableColumn id="15257" xr3:uid="{DECE5C98-6A77-48A8-B6A9-D90BA9943EBE}" name="Column15250"/>
    <tableColumn id="15258" xr3:uid="{230D9560-B4F5-4778-85CA-33872A485E8D}" name="Column15251"/>
    <tableColumn id="15259" xr3:uid="{59F03691-0105-48F8-B8C8-563A50B8D279}" name="Column15252"/>
    <tableColumn id="15260" xr3:uid="{9EA40879-62E5-4C1C-92A7-50EF9505917B}" name="Column15253"/>
    <tableColumn id="15261" xr3:uid="{469543FE-61A2-430E-A311-850D1A557E69}" name="Column15254"/>
    <tableColumn id="15262" xr3:uid="{06B308B1-9547-496F-A69B-EE59839A976C}" name="Column15255"/>
    <tableColumn id="15263" xr3:uid="{8F53DCEE-BEBE-442E-A785-B342EAC08638}" name="Column15256"/>
    <tableColumn id="15264" xr3:uid="{71617D2D-E2C0-4B38-BCDD-2B7EB3CBF6DF}" name="Column15257"/>
    <tableColumn id="15265" xr3:uid="{FA0C01AC-EE3B-434A-BE4B-37E7B4E97D69}" name="Column15258"/>
    <tableColumn id="15266" xr3:uid="{A32E77CA-40F6-4574-88E9-DC11B37DCCE9}" name="Column15259"/>
    <tableColumn id="15267" xr3:uid="{C0430B2F-3019-4BBE-8D75-F3BFD2756706}" name="Column15260"/>
    <tableColumn id="15268" xr3:uid="{65172EB4-62FD-4013-BED3-40F4269771CF}" name="Column15261"/>
    <tableColumn id="15269" xr3:uid="{BE0D221D-AAA7-423E-ACB7-1646A132523D}" name="Column15262"/>
    <tableColumn id="15270" xr3:uid="{8D3C84B8-090C-41CA-BD04-C03F9AE71312}" name="Column15263"/>
    <tableColumn id="15271" xr3:uid="{01FC0172-7B0A-4965-8516-9F72271D39E5}" name="Column15264"/>
    <tableColumn id="15272" xr3:uid="{C4893A53-B2D2-4488-8F71-646B3B43CE86}" name="Column15265"/>
    <tableColumn id="15273" xr3:uid="{42E7C452-E79D-4FB9-85DB-767158993A1C}" name="Column15266"/>
    <tableColumn id="15274" xr3:uid="{2DCC49E8-565F-4E47-9ABC-F30FC037A77E}" name="Column15267"/>
    <tableColumn id="15275" xr3:uid="{FB269F9D-04D6-437C-B030-B110219DE1C3}" name="Column15268"/>
    <tableColumn id="15276" xr3:uid="{9AC650E4-D733-4680-9AA4-07232C290E36}" name="Column15269"/>
    <tableColumn id="15277" xr3:uid="{04B3C8BB-D3A3-41F6-85E6-A7FC2E526118}" name="Column15270"/>
    <tableColumn id="15278" xr3:uid="{D933EB3D-6DCE-402A-91A5-97109422182C}" name="Column15271"/>
    <tableColumn id="15279" xr3:uid="{7F7B07C6-A0E8-473B-840B-FFD95AC43448}" name="Column15272"/>
    <tableColumn id="15280" xr3:uid="{AC4199EE-4670-45AE-A930-332DCD8FE869}" name="Column15273"/>
    <tableColumn id="15281" xr3:uid="{26B0701E-59CC-4C7B-A908-9DD0A70EF51E}" name="Column15274"/>
    <tableColumn id="15282" xr3:uid="{8713C46D-C62C-4A42-AFAF-A146C3094ABB}" name="Column15275"/>
    <tableColumn id="15283" xr3:uid="{8E971689-65C8-4301-A939-0F8B288E46F5}" name="Column15276"/>
    <tableColumn id="15284" xr3:uid="{EFD6B643-AE63-4B42-9803-05BCF5B1046E}" name="Column15277"/>
    <tableColumn id="15285" xr3:uid="{4C1A9AC7-1F1B-4A2C-9A21-E02146D45F58}" name="Column15278"/>
    <tableColumn id="15286" xr3:uid="{46DE0DD0-04EC-4AC3-AF9B-AEA299844DE1}" name="Column15279"/>
    <tableColumn id="15287" xr3:uid="{70386E48-F24E-4B88-8C07-2BBF9431DC18}" name="Column15280"/>
    <tableColumn id="15288" xr3:uid="{76A677A4-5A90-45EA-8338-8E64BBAE7A83}" name="Column15281"/>
    <tableColumn id="15289" xr3:uid="{A3D328E1-EEF1-416D-A537-775EF06AEDCD}" name="Column15282"/>
    <tableColumn id="15290" xr3:uid="{5A2F22A6-DF33-4B92-9D09-D03C90F6E57D}" name="Column15283"/>
    <tableColumn id="15291" xr3:uid="{A04F4AED-C22A-4C5F-966F-622B394D55FC}" name="Column15284"/>
    <tableColumn id="15292" xr3:uid="{45C0DB53-79AB-4058-A46F-08801BDDD5A7}" name="Column15285"/>
    <tableColumn id="15293" xr3:uid="{6C9CAECB-93ED-4554-BFDB-C447B53DB0E5}" name="Column15286"/>
    <tableColumn id="15294" xr3:uid="{741E83E1-3835-4E76-A676-8D428C49A681}" name="Column15287"/>
    <tableColumn id="15295" xr3:uid="{36635C5B-B160-47E0-94D0-A0C473E5D2A2}" name="Column15288"/>
    <tableColumn id="15296" xr3:uid="{48660382-F89C-41C5-8CC0-5F864BEE05AC}" name="Column15289"/>
    <tableColumn id="15297" xr3:uid="{105D3192-156C-4BE4-B73A-2D8C61E11EE4}" name="Column15290"/>
    <tableColumn id="15298" xr3:uid="{7D6ED039-D3CF-4427-B6A4-5092B18A3036}" name="Column15291"/>
    <tableColumn id="15299" xr3:uid="{73A736E0-555B-423D-AF91-FDF0C25128DA}" name="Column15292"/>
    <tableColumn id="15300" xr3:uid="{46FA2DC3-9660-4B85-96E3-829B81920599}" name="Column15293"/>
    <tableColumn id="15301" xr3:uid="{7DC0498D-8B03-4726-B7B6-587085082D33}" name="Column15294"/>
    <tableColumn id="15302" xr3:uid="{82ECA8EC-1129-4A13-98FD-28A15C94AD08}" name="Column15295"/>
    <tableColumn id="15303" xr3:uid="{FB9ADE0A-968B-4B4A-8A63-95A181D2B9E8}" name="Column15296"/>
    <tableColumn id="15304" xr3:uid="{957B1570-667C-4B31-83D3-A3E217D9976C}" name="Column15297"/>
    <tableColumn id="15305" xr3:uid="{1E3DC69D-E237-460D-830C-77034BE2A20C}" name="Column15298"/>
    <tableColumn id="15306" xr3:uid="{58D3C8F9-A78E-491D-9D64-99364F3E259B}" name="Column15299"/>
    <tableColumn id="15307" xr3:uid="{964D2D95-8E7C-44F1-9A9E-AF5598CBE8DF}" name="Column15300"/>
    <tableColumn id="15308" xr3:uid="{1A64CC4E-719D-4503-9DC0-DD56A1359EF2}" name="Column15301"/>
    <tableColumn id="15309" xr3:uid="{5A66ED4F-28F4-4984-84BE-E5D2902B6952}" name="Column15302"/>
    <tableColumn id="15310" xr3:uid="{6045EF21-ADF3-48C0-B80C-DFB0CF356E4F}" name="Column15303"/>
    <tableColumn id="15311" xr3:uid="{E0066391-F104-4386-9415-CB688C310EB5}" name="Column15304"/>
    <tableColumn id="15312" xr3:uid="{13D306E7-2A90-4A94-86EA-E19534DE1093}" name="Column15305"/>
    <tableColumn id="15313" xr3:uid="{FA7D9BFC-3D94-4759-A204-845CCB5441EB}" name="Column15306"/>
    <tableColumn id="15314" xr3:uid="{D92DE2E8-FAAD-4FC4-9614-31C78B944A04}" name="Column15307"/>
    <tableColumn id="15315" xr3:uid="{B5A9190D-AFD9-41AF-8453-79694E4BB50F}" name="Column15308"/>
    <tableColumn id="15316" xr3:uid="{7BCADE1F-1FA7-4B07-9615-8F297A3292AD}" name="Column15309"/>
    <tableColumn id="15317" xr3:uid="{03DA1E99-B3B9-4435-AD41-3F6BA402DA61}" name="Column15310"/>
    <tableColumn id="15318" xr3:uid="{47E8880D-4F51-4161-8C86-C46A12F5B4C1}" name="Column15311"/>
    <tableColumn id="15319" xr3:uid="{FB755C86-B07D-48BD-95D5-2B4ECEBB5683}" name="Column15312"/>
    <tableColumn id="15320" xr3:uid="{355D1562-03F4-4A61-B187-DA2B9FAA5BA5}" name="Column15313"/>
    <tableColumn id="15321" xr3:uid="{6DED86E5-87B2-426C-8153-2650F58763DC}" name="Column15314"/>
    <tableColumn id="15322" xr3:uid="{2A2FA6A5-61B6-41C1-9245-298F75359E36}" name="Column15315"/>
    <tableColumn id="15323" xr3:uid="{B3AF2FA4-7BC3-4EA0-8AFB-C5D2C469234C}" name="Column15316"/>
    <tableColumn id="15324" xr3:uid="{31FED2C1-906C-4810-9E8F-FC114113140C}" name="Column15317"/>
    <tableColumn id="15325" xr3:uid="{978028AE-7606-4FC4-B4F8-02FDEF50F827}" name="Column15318"/>
    <tableColumn id="15326" xr3:uid="{EA5F1B98-CC3E-49CB-BF30-5E372BACA45E}" name="Column15319"/>
    <tableColumn id="15327" xr3:uid="{6B83FB88-4789-497A-8103-9A62B7AB9F41}" name="Column15320"/>
    <tableColumn id="15328" xr3:uid="{A9DCA9C6-2E07-4880-BE7B-7910301A7DB9}" name="Column15321"/>
    <tableColumn id="15329" xr3:uid="{BE5F4C45-1F2C-463B-9558-CB530F9F5CCC}" name="Column15322"/>
    <tableColumn id="15330" xr3:uid="{9DC26F6F-44E0-4C00-9F1B-CC5175D6C840}" name="Column15323"/>
    <tableColumn id="15331" xr3:uid="{8B4E7F0B-732B-49D7-A910-E5B7A1C5C9BB}" name="Column15324"/>
    <tableColumn id="15332" xr3:uid="{294FCAD5-86E2-4914-9B43-52DF2DCD1D52}" name="Column15325"/>
    <tableColumn id="15333" xr3:uid="{5F7B9E90-BF1E-42F6-9022-4806A6D1A726}" name="Column15326"/>
    <tableColumn id="15334" xr3:uid="{812E405E-C47C-4225-AF6B-456FBD871AC4}" name="Column15327"/>
    <tableColumn id="15335" xr3:uid="{B23C55CF-A0D6-426B-9BF3-2FC88855F96D}" name="Column15328"/>
    <tableColumn id="15336" xr3:uid="{C1C9836E-7780-4100-8C59-DB8B85F2F8EE}" name="Column15329"/>
    <tableColumn id="15337" xr3:uid="{30D166BD-2189-46EA-9156-A8D3D0B8E02A}" name="Column15330"/>
    <tableColumn id="15338" xr3:uid="{65445EDB-18F1-4E97-87C7-D01009953EB1}" name="Column15331"/>
    <tableColumn id="15339" xr3:uid="{8C08EF57-6BD7-4202-A314-16655DC72AAF}" name="Column15332"/>
    <tableColumn id="15340" xr3:uid="{423686D4-8C9B-4CAF-9B43-C7F5E57DBFC0}" name="Column15333"/>
    <tableColumn id="15341" xr3:uid="{0D0D18E8-223D-4C2C-AC3C-F6CB250473C5}" name="Column15334"/>
    <tableColumn id="15342" xr3:uid="{D90EE9A4-0A62-4676-88AB-580FF7CDAD76}" name="Column15335"/>
    <tableColumn id="15343" xr3:uid="{7F01A50A-166C-443D-B048-D8AA411292A6}" name="Column15336"/>
    <tableColumn id="15344" xr3:uid="{0355D2C8-23C3-40D2-A3E2-444C5A3B0C79}" name="Column15337"/>
    <tableColumn id="15345" xr3:uid="{4428921B-D700-4FD9-97EC-558612CE3CD2}" name="Column15338"/>
    <tableColumn id="15346" xr3:uid="{E1E3CDCA-BDBE-4698-B528-788678BF418F}" name="Column15339"/>
    <tableColumn id="15347" xr3:uid="{67DA8690-983C-42D2-B8B8-E2EC0AAE6202}" name="Column15340"/>
    <tableColumn id="15348" xr3:uid="{37EAEA2F-7498-4426-AF4C-D1404DC7553E}" name="Column15341"/>
    <tableColumn id="15349" xr3:uid="{C96680AE-CEED-4F16-B898-962A2B0B1A42}" name="Column15342"/>
    <tableColumn id="15350" xr3:uid="{3C90B555-8BCD-4C1C-9CB7-DD13E288EA3C}" name="Column15343"/>
    <tableColumn id="15351" xr3:uid="{89F229F8-FED3-44FE-AB8B-07D6D8E2124C}" name="Column15344"/>
    <tableColumn id="15352" xr3:uid="{98DEDF66-9410-4C52-A294-1609686380EE}" name="Column15345"/>
    <tableColumn id="15353" xr3:uid="{211679D4-D9A4-4861-B08C-6892A5FA9AEC}" name="Column15346"/>
    <tableColumn id="15354" xr3:uid="{95DCA79C-994A-4F75-8ABC-D454399CAEE9}" name="Column15347"/>
    <tableColumn id="15355" xr3:uid="{163AF189-8F96-4C29-95DE-08245D02CE69}" name="Column15348"/>
    <tableColumn id="15356" xr3:uid="{DEED60BB-E1BA-4431-B168-2ADC33653B1E}" name="Column15349"/>
    <tableColumn id="15357" xr3:uid="{656E722E-8151-418E-A3C3-616BD2CEBC55}" name="Column15350"/>
    <tableColumn id="15358" xr3:uid="{B050D069-A199-4D1C-894F-393EB1922CE8}" name="Column15351"/>
    <tableColumn id="15359" xr3:uid="{5A5C6ACA-3D2C-47EF-AA6B-E572BD54634E}" name="Column15352"/>
    <tableColumn id="15360" xr3:uid="{08121AB7-8C2B-41EC-BEDB-16BE66B02E03}" name="Column15353"/>
    <tableColumn id="15361" xr3:uid="{D14A484C-AA59-45F1-BCB9-0699EAB685EE}" name="Column15354"/>
    <tableColumn id="15362" xr3:uid="{F62CBBD1-1F33-49A4-9E0C-175E5837E0D4}" name="Column15355"/>
    <tableColumn id="15363" xr3:uid="{2113BDC3-26C8-4A2E-97EB-67970ED65AF8}" name="Column15356"/>
    <tableColumn id="15364" xr3:uid="{0CABCD86-1328-4F77-8BA5-27B4F5108130}" name="Column15357"/>
    <tableColumn id="15365" xr3:uid="{41664F75-D5C3-417E-AF54-36F1AF44190B}" name="Column15358"/>
    <tableColumn id="15366" xr3:uid="{A5D921B5-2692-4466-B25F-E4AF92512F2C}" name="Column15359"/>
    <tableColumn id="15367" xr3:uid="{36486C67-2D43-487D-AD2E-9D8A2C03DF32}" name="Column15360"/>
    <tableColumn id="15368" xr3:uid="{C8AF1B3C-566D-4D5A-A7F3-C009D8561204}" name="Column15361"/>
    <tableColumn id="15369" xr3:uid="{3DF6A4F5-D0B9-456D-AD34-ADD2930832B7}" name="Column15362"/>
    <tableColumn id="15370" xr3:uid="{2978CAC7-D77C-4B75-A1D9-A07FBD9A3A1F}" name="Column15363"/>
    <tableColumn id="15371" xr3:uid="{BB643EA1-9ECD-4BD3-AE66-7EC06F596D5D}" name="Column15364"/>
    <tableColumn id="15372" xr3:uid="{E656B842-56A2-417F-BC8B-42A33B1A92B1}" name="Column15365"/>
    <tableColumn id="15373" xr3:uid="{CCE0FC28-BAA7-4D1D-9696-502E25B7EEE5}" name="Column15366"/>
    <tableColumn id="15374" xr3:uid="{B985B23D-22D7-4A3F-B301-026A74B71D11}" name="Column15367"/>
    <tableColumn id="15375" xr3:uid="{5A53CAD2-8DBA-45B7-83C5-2FDE150402E7}" name="Column15368"/>
    <tableColumn id="15376" xr3:uid="{F98191B8-15C6-415D-BE17-F61377BD76AB}" name="Column15369"/>
    <tableColumn id="15377" xr3:uid="{9877E6EC-DA74-4B4F-8D49-29EFF37FA62C}" name="Column15370"/>
    <tableColumn id="15378" xr3:uid="{AFE15C9D-EAAF-455F-9CD4-72145A597FF2}" name="Column15371"/>
    <tableColumn id="15379" xr3:uid="{EAEDFE3C-7349-4866-8ED1-C1CE7B33F4B8}" name="Column15372"/>
    <tableColumn id="15380" xr3:uid="{251DE13F-A424-4085-AF1C-9A76614E0979}" name="Column15373"/>
    <tableColumn id="15381" xr3:uid="{FE9EEC1D-465A-4D23-B89E-F33FEC5EE82C}" name="Column15374"/>
    <tableColumn id="15382" xr3:uid="{CF15C723-091D-40F2-BA7C-E5E34ED87977}" name="Column15375"/>
    <tableColumn id="15383" xr3:uid="{81A4B82A-32D3-4320-9740-2BAF61B8354C}" name="Column15376"/>
    <tableColumn id="15384" xr3:uid="{5B41927D-D580-42C3-BC44-C01758FB295D}" name="Column15377"/>
    <tableColumn id="15385" xr3:uid="{4412EC11-74C6-445A-976F-6449FBC7F5CA}" name="Column15378"/>
    <tableColumn id="15386" xr3:uid="{8AA9E9BE-85CB-48B1-BB71-CF0BC1617D20}" name="Column15379"/>
    <tableColumn id="15387" xr3:uid="{C6E89DB3-A09F-4E82-8793-E55EC528A9FA}" name="Column15380"/>
    <tableColumn id="15388" xr3:uid="{B2646210-DDD2-4886-ABAB-32576E27D648}" name="Column15381"/>
    <tableColumn id="15389" xr3:uid="{28FBAC48-99C0-48FB-B878-64FC21D1E3AC}" name="Column15382"/>
    <tableColumn id="15390" xr3:uid="{52DB8BFC-30F6-4470-A055-B278399DCD2D}" name="Column15383"/>
    <tableColumn id="15391" xr3:uid="{538DF648-032E-40B4-9379-816E60B8664C}" name="Column15384"/>
    <tableColumn id="15392" xr3:uid="{14689A6F-193B-4B59-A731-334409577521}" name="Column15385"/>
    <tableColumn id="15393" xr3:uid="{73034AD9-7393-4F6A-832A-E33B2A3F8A00}" name="Column15386"/>
    <tableColumn id="15394" xr3:uid="{EC7F2303-B640-4EF9-9268-E47317A1A9EB}" name="Column15387"/>
    <tableColumn id="15395" xr3:uid="{3A2BF8F3-A9A1-4CA0-A2C3-DEDF32E75C6C}" name="Column15388"/>
    <tableColumn id="15396" xr3:uid="{171D4990-51D9-47E7-A347-704DC750F2F3}" name="Column15389"/>
    <tableColumn id="15397" xr3:uid="{DC08A855-928A-40EC-AEC7-3B8B5E7D8343}" name="Column15390"/>
    <tableColumn id="15398" xr3:uid="{C4FACE94-B567-40D8-BBD8-F9C6F5539A64}" name="Column15391"/>
    <tableColumn id="15399" xr3:uid="{4471A2C1-D1C4-40F2-888D-0CAA855AE7A3}" name="Column15392"/>
    <tableColumn id="15400" xr3:uid="{EFF1C3E7-D22F-4228-8B83-161A2B7F3D0F}" name="Column15393"/>
    <tableColumn id="15401" xr3:uid="{9DF502B7-A8B0-4ABE-9EB9-B6C542FE4CD9}" name="Column15394"/>
    <tableColumn id="15402" xr3:uid="{C0171C4E-6F6B-43D4-8F30-E78C9B589418}" name="Column15395"/>
    <tableColumn id="15403" xr3:uid="{EF18A9A1-32C2-4B88-BEAD-33643FD40547}" name="Column15396"/>
    <tableColumn id="15404" xr3:uid="{54A34DA6-564C-4B1E-AA64-68A105A6C9A1}" name="Column15397"/>
    <tableColumn id="15405" xr3:uid="{5903B3B5-9760-40B8-88BA-E4BF45DCD052}" name="Column15398"/>
    <tableColumn id="15406" xr3:uid="{2665B2E2-CEE2-4FC2-85DF-023458C30500}" name="Column15399"/>
    <tableColumn id="15407" xr3:uid="{63CA99F8-853A-4930-9A89-3F1BF0F3F26E}" name="Column15400"/>
    <tableColumn id="15408" xr3:uid="{F65A59B5-4B65-4848-B512-2ADEA5460013}" name="Column15401"/>
    <tableColumn id="15409" xr3:uid="{2959B77F-33C0-4AE1-91AD-4A45DCD1F924}" name="Column15402"/>
    <tableColumn id="15410" xr3:uid="{66FBBCEE-A1D5-43AD-B367-99A22A5B084C}" name="Column15403"/>
    <tableColumn id="15411" xr3:uid="{F58B2766-21E7-4FF9-B98A-6444303EA593}" name="Column15404"/>
    <tableColumn id="15412" xr3:uid="{FCAEFDC2-AB6C-4068-A734-24FBE2361C5D}" name="Column15405"/>
    <tableColumn id="15413" xr3:uid="{925D952D-4DB8-4EFA-9C8D-689CF49740A0}" name="Column15406"/>
    <tableColumn id="15414" xr3:uid="{DA8E9C19-FA76-48BB-8B52-CF5D14EFC499}" name="Column15407"/>
    <tableColumn id="15415" xr3:uid="{B482CC74-2BBF-4D4C-BF88-3F0D2C7B8028}" name="Column15408"/>
    <tableColumn id="15416" xr3:uid="{7AE356F2-FD6A-4A57-AEA6-EDB23CEF74BA}" name="Column15409"/>
    <tableColumn id="15417" xr3:uid="{4F3BFC73-E9AE-4C02-98A5-F74FB52D432B}" name="Column15410"/>
    <tableColumn id="15418" xr3:uid="{B748E649-5C73-4B37-8FE0-F3A63FA928DB}" name="Column15411"/>
    <tableColumn id="15419" xr3:uid="{7D31DACC-0D82-47A2-BEC5-0B15E1DCA321}" name="Column15412"/>
    <tableColumn id="15420" xr3:uid="{84E3E37C-C02C-4664-8313-26AECE1D75E7}" name="Column15413"/>
    <tableColumn id="15421" xr3:uid="{47996468-6002-4B9C-9D80-4D5F4C38B106}" name="Column15414"/>
    <tableColumn id="15422" xr3:uid="{BCB60AC7-811E-4A98-9DE7-87A82B733E88}" name="Column15415"/>
    <tableColumn id="15423" xr3:uid="{1F065086-4618-47BE-8FA1-5C41DAC72B4D}" name="Column15416"/>
    <tableColumn id="15424" xr3:uid="{1F9E86AC-3A0E-4300-9AFB-1DF091EC55D2}" name="Column15417"/>
    <tableColumn id="15425" xr3:uid="{8077284F-6012-46B0-A48D-8B60C2E56869}" name="Column15418"/>
    <tableColumn id="15426" xr3:uid="{93B2B6E5-6715-471C-9C17-DF895E316C01}" name="Column15419"/>
    <tableColumn id="15427" xr3:uid="{38D08DD7-586A-465B-AA8E-94C626B6385E}" name="Column15420"/>
    <tableColumn id="15428" xr3:uid="{434A1787-0EFB-4ADA-A3B6-B3892B638E0A}" name="Column15421"/>
    <tableColumn id="15429" xr3:uid="{737DEC30-E9BC-4073-A891-7DEC1A4487DC}" name="Column15422"/>
    <tableColumn id="15430" xr3:uid="{31D51115-CEEE-4A36-84E0-DF195C0CD0C4}" name="Column15423"/>
    <tableColumn id="15431" xr3:uid="{48BD83F4-DB80-405D-BFB3-714A70AE6A45}" name="Column15424"/>
    <tableColumn id="15432" xr3:uid="{885C5E91-A7FD-42E4-BBE3-E934732F1D8F}" name="Column15425"/>
    <tableColumn id="15433" xr3:uid="{0A9B4A64-A05A-4FE4-89C2-D547816E0DEF}" name="Column15426"/>
    <tableColumn id="15434" xr3:uid="{5A662E09-3661-4A26-8812-1BEEB82AC283}" name="Column15427"/>
    <tableColumn id="15435" xr3:uid="{2910E646-124B-44ED-9772-33BC196F46FE}" name="Column15428"/>
    <tableColumn id="15436" xr3:uid="{8111F63F-9F19-41A5-A4A2-805730A3D309}" name="Column15429"/>
    <tableColumn id="15437" xr3:uid="{A1F25FF1-00F8-439C-A986-4E50D7F693D9}" name="Column15430"/>
    <tableColumn id="15438" xr3:uid="{69B5CB70-186C-432B-913C-D629EF6C9487}" name="Column15431"/>
    <tableColumn id="15439" xr3:uid="{909127DD-F61B-474C-A9C9-937F8FB23B73}" name="Column15432"/>
    <tableColumn id="15440" xr3:uid="{ED1BB86E-A87E-49D5-BBF3-8DD918CABE18}" name="Column15433"/>
    <tableColumn id="15441" xr3:uid="{E45E004D-0563-418A-A768-A3041441CAE0}" name="Column15434"/>
    <tableColumn id="15442" xr3:uid="{8CF280C3-988A-411F-8DDE-E5721352295C}" name="Column15435"/>
    <tableColumn id="15443" xr3:uid="{45C75A03-D5FD-4509-B5EC-53925524B96C}" name="Column15436"/>
    <tableColumn id="15444" xr3:uid="{837AF92D-2BB3-4B57-AE04-C692F93584EC}" name="Column15437"/>
    <tableColumn id="15445" xr3:uid="{E5AA0B56-8B87-40C0-A4FA-1C849C7F6371}" name="Column15438"/>
    <tableColumn id="15446" xr3:uid="{05380894-F302-4BA3-8EAD-554B549EDB90}" name="Column15439"/>
    <tableColumn id="15447" xr3:uid="{9948D537-23E1-4441-88C6-96D93E3CE550}" name="Column15440"/>
    <tableColumn id="15448" xr3:uid="{3381EBB5-58AB-4F8E-A972-772776118386}" name="Column15441"/>
    <tableColumn id="15449" xr3:uid="{BED90189-0CC6-47FC-90DB-4D0CBB563CA4}" name="Column15442"/>
    <tableColumn id="15450" xr3:uid="{FD41955E-0D8D-4DA3-90A0-7F98A2D67897}" name="Column15443"/>
    <tableColumn id="15451" xr3:uid="{352E32CD-153F-4B43-9F9B-803CF9DCC9A6}" name="Column15444"/>
    <tableColumn id="15452" xr3:uid="{C3887B98-FB5E-41C9-B951-9556783AAF87}" name="Column15445"/>
    <tableColumn id="15453" xr3:uid="{A15A12D1-DA18-4515-99E4-46DC07A20E93}" name="Column15446"/>
    <tableColumn id="15454" xr3:uid="{76B7DC09-ECC3-4496-9B2C-56006337F3A2}" name="Column15447"/>
    <tableColumn id="15455" xr3:uid="{18D3BD8E-3B9C-4D66-BF12-7CC10C8C060B}" name="Column15448"/>
    <tableColumn id="15456" xr3:uid="{81B9DC0A-5F81-4659-BAAA-F8239B72F3B9}" name="Column15449"/>
    <tableColumn id="15457" xr3:uid="{77650576-08D2-41C1-AC99-20F6B525B35F}" name="Column15450"/>
    <tableColumn id="15458" xr3:uid="{EFDF5AA9-494C-4339-BE5F-EEFC2E663E77}" name="Column15451"/>
    <tableColumn id="15459" xr3:uid="{9F16DDE8-CEFB-4783-9F01-78D8B76C039D}" name="Column15452"/>
    <tableColumn id="15460" xr3:uid="{C42BB399-DCE8-4B91-8B47-D82D5D2B652A}" name="Column15453"/>
    <tableColumn id="15461" xr3:uid="{C5E3EFA3-CF92-4C1B-BEDA-9E027C3366F5}" name="Column15454"/>
    <tableColumn id="15462" xr3:uid="{F91CD456-721A-4CF1-A5C2-604800026839}" name="Column15455"/>
    <tableColumn id="15463" xr3:uid="{16F9315B-2902-4BBE-B687-7741D12D02F9}" name="Column15456"/>
    <tableColumn id="15464" xr3:uid="{2243263A-7EDC-43F3-A24A-F8B57C1093E9}" name="Column15457"/>
    <tableColumn id="15465" xr3:uid="{9F5FBC88-4D64-496F-AFCD-0C48D4D026D6}" name="Column15458"/>
    <tableColumn id="15466" xr3:uid="{6CB593C3-F5E2-4A11-9808-16D5101237B4}" name="Column15459"/>
    <tableColumn id="15467" xr3:uid="{9092B16F-6344-40F9-B45E-5D91E78CD740}" name="Column15460"/>
    <tableColumn id="15468" xr3:uid="{BF27F9B9-D1F7-4CCF-97DB-9B5E61A6C38E}" name="Column15461"/>
    <tableColumn id="15469" xr3:uid="{89E7D04D-1CCA-4763-8C6A-651B28B48CE2}" name="Column15462"/>
    <tableColumn id="15470" xr3:uid="{3A32FF0C-0C47-456C-BD2E-28C34C7BBD1A}" name="Column15463"/>
    <tableColumn id="15471" xr3:uid="{F3181CB0-F7A4-418F-9C89-2B46ACE73D32}" name="Column15464"/>
    <tableColumn id="15472" xr3:uid="{3D3292CF-9A9B-4764-B671-3FD0804334AA}" name="Column15465"/>
    <tableColumn id="15473" xr3:uid="{88A7880E-F398-41DC-9C24-D439A1B5B278}" name="Column15466"/>
    <tableColumn id="15474" xr3:uid="{A44832B7-9B72-4DA5-B809-300FD9537C5C}" name="Column15467"/>
    <tableColumn id="15475" xr3:uid="{3806A3F8-2D75-4CED-8A86-4FA2026D795E}" name="Column15468"/>
    <tableColumn id="15476" xr3:uid="{DC6AD377-B1C0-467E-A894-B3A7758AAE2D}" name="Column15469"/>
    <tableColumn id="15477" xr3:uid="{7BBE4AA3-7203-4925-BD26-D4ADB43D16A8}" name="Column15470"/>
    <tableColumn id="15478" xr3:uid="{87642CF5-27F2-41C1-B092-4CDC671FF257}" name="Column15471"/>
    <tableColumn id="15479" xr3:uid="{6B17D097-5017-43B2-A9B7-D0547660CED6}" name="Column15472"/>
    <tableColumn id="15480" xr3:uid="{CF6FB1D1-39B6-4ECE-B2CB-A9546E36E746}" name="Column15473"/>
    <tableColumn id="15481" xr3:uid="{3050B7CA-4D4F-4CC3-B4E8-43B913C35BED}" name="Column15474"/>
    <tableColumn id="15482" xr3:uid="{B0266C96-C87E-4CF4-B2D3-A7394013F500}" name="Column15475"/>
    <tableColumn id="15483" xr3:uid="{29D3B931-C24E-4FB5-B94E-F454250CB3C7}" name="Column15476"/>
    <tableColumn id="15484" xr3:uid="{3E00F019-033D-4A5F-B1AA-DBADE5FC097B}" name="Column15477"/>
    <tableColumn id="15485" xr3:uid="{CE3CEA2A-9553-4778-A11F-E92B662C5869}" name="Column15478"/>
    <tableColumn id="15486" xr3:uid="{9DE44EE9-91B3-4095-9714-FC777FE5F7A6}" name="Column15479"/>
    <tableColumn id="15487" xr3:uid="{6E99635F-D807-49D6-9524-F73BD76B5D62}" name="Column15480"/>
    <tableColumn id="15488" xr3:uid="{3047DD48-A0BD-4730-BC46-61C9BB6E9DB7}" name="Column15481"/>
    <tableColumn id="15489" xr3:uid="{A6BA139D-26EA-4754-A6AE-FB42CE82CDA7}" name="Column15482"/>
    <tableColumn id="15490" xr3:uid="{A1EABD1C-5B76-4294-9250-983E1DA51659}" name="Column15483"/>
    <tableColumn id="15491" xr3:uid="{6BF38268-9C04-489B-BAEB-D30B16A36A98}" name="Column15484"/>
    <tableColumn id="15492" xr3:uid="{3D96B9C2-EC73-4BE0-A897-BED5B7A51701}" name="Column15485"/>
    <tableColumn id="15493" xr3:uid="{F251099D-3B3F-4058-92BF-5DACC9D3481A}" name="Column15486"/>
    <tableColumn id="15494" xr3:uid="{FF020174-1E36-4593-ACBA-262F60E88F6D}" name="Column15487"/>
    <tableColumn id="15495" xr3:uid="{5AD9DD8D-54B6-4305-AC6E-0BACDD213DB0}" name="Column15488"/>
    <tableColumn id="15496" xr3:uid="{A114A31C-A74F-4BAB-9808-DC008606C700}" name="Column15489"/>
    <tableColumn id="15497" xr3:uid="{372DC7C1-3323-40AE-8DAC-418128C2644C}" name="Column15490"/>
    <tableColumn id="15498" xr3:uid="{3CF17BA4-905B-4101-84A0-BAB47CF3734D}" name="Column15491"/>
    <tableColumn id="15499" xr3:uid="{5F45433C-9E81-435A-93F7-879085C9B7EF}" name="Column15492"/>
    <tableColumn id="15500" xr3:uid="{2DA6F8D7-C8A8-483E-808E-E9A4B8D76B37}" name="Column15493"/>
    <tableColumn id="15501" xr3:uid="{0FD9AB33-56FD-44CE-8735-4151CB2C4F05}" name="Column15494"/>
    <tableColumn id="15502" xr3:uid="{23EDBAEB-EC22-44D7-9075-AECBB3C4DCB4}" name="Column15495"/>
    <tableColumn id="15503" xr3:uid="{1280FAB1-105A-4C35-B9B0-CDF7232DD8AF}" name="Column15496"/>
    <tableColumn id="15504" xr3:uid="{050704EF-6ED3-4E70-8699-74667BE62084}" name="Column15497"/>
    <tableColumn id="15505" xr3:uid="{B4C0F5BD-C340-4206-9B85-FF3E10C2F9A7}" name="Column15498"/>
    <tableColumn id="15506" xr3:uid="{43C1520B-8E39-4B05-AB05-E89223DAD920}" name="Column15499"/>
    <tableColumn id="15507" xr3:uid="{AA6C7D38-A657-4D56-8B84-70DD959ACCAD}" name="Column15500"/>
    <tableColumn id="15508" xr3:uid="{5E3E665E-AAAD-4DC0-8D9E-8189BE30BEED}" name="Column15501"/>
    <tableColumn id="15509" xr3:uid="{645C8C53-9C1D-47C2-A9DC-C908CA7922A4}" name="Column15502"/>
    <tableColumn id="15510" xr3:uid="{C1E61CA9-2EBC-44C2-AB99-30659C94ECCD}" name="Column15503"/>
    <tableColumn id="15511" xr3:uid="{52BAEE33-32B3-4415-8AA3-8E9848CEDAD7}" name="Column15504"/>
    <tableColumn id="15512" xr3:uid="{A19D0B26-AB65-4039-A69B-E33ACFA24139}" name="Column15505"/>
    <tableColumn id="15513" xr3:uid="{4E0A8BD0-E2F8-4BC8-A686-0FB311D100F1}" name="Column15506"/>
    <tableColumn id="15514" xr3:uid="{CBDE0138-93F6-4FB1-A367-75C5A726074B}" name="Column15507"/>
    <tableColumn id="15515" xr3:uid="{E3FAF915-E10D-4946-B6C9-48673699706B}" name="Column15508"/>
    <tableColumn id="15516" xr3:uid="{F812DB08-8215-48EB-B845-FF386DCDB021}" name="Column15509"/>
    <tableColumn id="15517" xr3:uid="{8931F4C6-8BE4-4233-9FF3-322B997A4BA1}" name="Column15510"/>
    <tableColumn id="15518" xr3:uid="{9B0E9BB9-2C60-4EA5-A4F4-D1DD6FA98555}" name="Column15511"/>
    <tableColumn id="15519" xr3:uid="{30656405-2D9A-4B53-98A1-9CDEB87E6A94}" name="Column15512"/>
    <tableColumn id="15520" xr3:uid="{A7BDA518-F124-461A-82F5-149290643410}" name="Column15513"/>
    <tableColumn id="15521" xr3:uid="{2D715F03-A307-46A6-86A3-859AEBA7FA4F}" name="Column15514"/>
    <tableColumn id="15522" xr3:uid="{FE912C35-C683-4A73-9286-469B844DD5A8}" name="Column15515"/>
    <tableColumn id="15523" xr3:uid="{06C24DAA-49DC-438C-8491-AD8E1E27727F}" name="Column15516"/>
    <tableColumn id="15524" xr3:uid="{06A28C69-9FDD-49F8-AAEF-C2B825E1ADD8}" name="Column15517"/>
    <tableColumn id="15525" xr3:uid="{164171BE-A550-43C2-B205-6B1AFD25C52C}" name="Column15518"/>
    <tableColumn id="15526" xr3:uid="{16EC5714-2F04-4BF6-AA73-40C96890EFF3}" name="Column15519"/>
    <tableColumn id="15527" xr3:uid="{C8E92530-9A77-4EF2-B93F-9D6C8E768152}" name="Column15520"/>
    <tableColumn id="15528" xr3:uid="{655FC2F8-3137-444C-8592-DF7796CCE5D7}" name="Column15521"/>
    <tableColumn id="15529" xr3:uid="{72CDCAF5-82F5-498A-8890-1350D2514AA3}" name="Column15522"/>
    <tableColumn id="15530" xr3:uid="{D6FF3993-EE8D-47A5-A0C8-B9889CBCBF0B}" name="Column15523"/>
    <tableColumn id="15531" xr3:uid="{9A92ECB8-3B68-4E0C-959A-D99BC306CA79}" name="Column15524"/>
    <tableColumn id="15532" xr3:uid="{5CF9EFAC-98A3-4D07-970D-2B9AF0081862}" name="Column15525"/>
    <tableColumn id="15533" xr3:uid="{466A5B2E-40DF-485B-BDDB-2A6FF7F7CCF6}" name="Column15526"/>
    <tableColumn id="15534" xr3:uid="{5D1EA4F0-DF47-4AF9-8DD6-924162EB05C3}" name="Column15527"/>
    <tableColumn id="15535" xr3:uid="{4E60D64D-CB53-4A00-AC4B-BECA24FA8D84}" name="Column15528"/>
    <tableColumn id="15536" xr3:uid="{5825C41F-0898-476C-89CF-4EDFD82983A3}" name="Column15529"/>
    <tableColumn id="15537" xr3:uid="{2A4AADE9-19C7-4664-BA40-25F4FAE9973A}" name="Column15530"/>
    <tableColumn id="15538" xr3:uid="{FD41D668-0AC3-4C4B-B8C9-FCFCF3B1BF19}" name="Column15531"/>
    <tableColumn id="15539" xr3:uid="{E862076F-5E45-4144-80D1-44129BF6BCAB}" name="Column15532"/>
    <tableColumn id="15540" xr3:uid="{BDC990B8-9DD2-4BB1-B130-FCE4268B11B6}" name="Column15533"/>
    <tableColumn id="15541" xr3:uid="{BEB7A376-995B-4145-BD25-334513624191}" name="Column15534"/>
    <tableColumn id="15542" xr3:uid="{06F41691-8ED9-4078-ACA7-D50A5489D160}" name="Column15535"/>
    <tableColumn id="15543" xr3:uid="{5AA076AD-87C9-4C30-993F-19B458431F71}" name="Column15536"/>
    <tableColumn id="15544" xr3:uid="{6B656B27-C267-4166-99B9-BF3241A3C40D}" name="Column15537"/>
    <tableColumn id="15545" xr3:uid="{DDA57752-7E43-40EB-B4DD-94F393932C41}" name="Column15538"/>
    <tableColumn id="15546" xr3:uid="{53BE748F-FDC2-4CD4-ABBA-69416388061F}" name="Column15539"/>
    <tableColumn id="15547" xr3:uid="{5E9A2CAF-5CCF-4FA5-AB78-EBB06D11F87B}" name="Column15540"/>
    <tableColumn id="15548" xr3:uid="{812C9C85-2DB1-4CFA-A664-5DDF98E750A6}" name="Column15541"/>
    <tableColumn id="15549" xr3:uid="{63DE3385-5792-4B19-8611-590CA5D1A627}" name="Column15542"/>
    <tableColumn id="15550" xr3:uid="{012BC79A-AEB5-4004-9F74-983330B6FE13}" name="Column15543"/>
    <tableColumn id="15551" xr3:uid="{F873A56E-AE63-4222-88D4-D5C2B7DEB58A}" name="Column15544"/>
    <tableColumn id="15552" xr3:uid="{F7BDA2AF-CCFF-4020-B866-AB7F130FFAAB}" name="Column15545"/>
    <tableColumn id="15553" xr3:uid="{018A3CE6-F7DA-4F40-AAC7-CF496EE95996}" name="Column15546"/>
    <tableColumn id="15554" xr3:uid="{F388B42C-3576-426B-8374-2F284F367A12}" name="Column15547"/>
    <tableColumn id="15555" xr3:uid="{7C3C989F-2A27-4487-B4F7-9E84C6D25694}" name="Column15548"/>
    <tableColumn id="15556" xr3:uid="{C351C3A1-E138-4989-A65B-1A60BB8AF1C1}" name="Column15549"/>
    <tableColumn id="15557" xr3:uid="{2E7A4EDF-E436-4BC1-9AF5-5F9DBAC76FD9}" name="Column15550"/>
    <tableColumn id="15558" xr3:uid="{38A2DCF7-D663-4DCA-90DD-A18FCC91B4D1}" name="Column15551"/>
    <tableColumn id="15559" xr3:uid="{1E4FDD9D-BEF0-4B88-8316-4C161F4E5253}" name="Column15552"/>
    <tableColumn id="15560" xr3:uid="{8261EC51-8EEA-478E-873D-0D0AD1DD4E74}" name="Column15553"/>
    <tableColumn id="15561" xr3:uid="{DDAD4A5E-04B4-4168-BA71-B3119F43F938}" name="Column15554"/>
    <tableColumn id="15562" xr3:uid="{45E1CBD9-4647-4940-8FE7-C25C38A47F68}" name="Column15555"/>
    <tableColumn id="15563" xr3:uid="{D8C13459-D03F-4F25-945A-36CB143137E1}" name="Column15556"/>
    <tableColumn id="15564" xr3:uid="{7C6AEF1A-C284-401B-B342-EF0A91654B18}" name="Column15557"/>
    <tableColumn id="15565" xr3:uid="{1853FC98-B276-4687-A3B4-5D65509A1BA2}" name="Column15558"/>
    <tableColumn id="15566" xr3:uid="{436862A2-5629-42B0-9A0F-DC86D495367F}" name="Column15559"/>
    <tableColumn id="15567" xr3:uid="{B6A993C0-815D-4B5B-8AC1-0AF8A908F357}" name="Column15560"/>
    <tableColumn id="15568" xr3:uid="{E86E1CD9-A9AE-4C22-A86D-DB8E2CC9F666}" name="Column15561"/>
    <tableColumn id="15569" xr3:uid="{74A273EC-C827-4128-9543-78471C3F6D8A}" name="Column15562"/>
    <tableColumn id="15570" xr3:uid="{C89E2781-9316-49C7-86CD-E8DDC76E6F47}" name="Column15563"/>
    <tableColumn id="15571" xr3:uid="{7B54CE4B-B256-4DCE-B2CB-040D430ABEF8}" name="Column15564"/>
    <tableColumn id="15572" xr3:uid="{C69ACFAF-D7DC-4869-9D83-9E23046A588E}" name="Column15565"/>
    <tableColumn id="15573" xr3:uid="{6452EAFC-4A79-4319-A921-4BD7A5B3065F}" name="Column15566"/>
    <tableColumn id="15574" xr3:uid="{7496F1DA-1735-4274-A22F-A933501BE49F}" name="Column15567"/>
    <tableColumn id="15575" xr3:uid="{4D835D32-87E3-4C35-B57B-BA2D95587AC6}" name="Column15568"/>
    <tableColumn id="15576" xr3:uid="{D3C51E35-8716-4137-932C-D8B290D1213C}" name="Column15569"/>
    <tableColumn id="15577" xr3:uid="{116629F8-E3FC-45E6-9728-A1ED872440CB}" name="Column15570"/>
    <tableColumn id="15578" xr3:uid="{8DA2F76F-ABA6-4607-8EAB-7D2111269957}" name="Column15571"/>
    <tableColumn id="15579" xr3:uid="{0B35F247-E163-4D5C-9652-2B778F9FB78B}" name="Column15572"/>
    <tableColumn id="15580" xr3:uid="{17596A9F-31A3-47CD-920D-341480CFA601}" name="Column15573"/>
    <tableColumn id="15581" xr3:uid="{5FA9FBC6-AC42-4563-AB83-CFAA8B1A12D1}" name="Column15574"/>
    <tableColumn id="15582" xr3:uid="{205D64E7-8E9F-44ED-BA99-9B50F1929543}" name="Column15575"/>
    <tableColumn id="15583" xr3:uid="{0309A014-EF49-41E9-8576-71A0DE3A79A7}" name="Column15576"/>
    <tableColumn id="15584" xr3:uid="{B714DCAA-904E-4EFE-9CDC-C7854DC27AAA}" name="Column15577"/>
    <tableColumn id="15585" xr3:uid="{87EEB649-C4EB-4F43-BC7F-320C7620CFE5}" name="Column15578"/>
    <tableColumn id="15586" xr3:uid="{D6525F76-8A17-48A7-9E2E-234DD1D5700B}" name="Column15579"/>
    <tableColumn id="15587" xr3:uid="{D75FF679-73B3-4AA2-A5C2-4D85BADD43E6}" name="Column15580"/>
    <tableColumn id="15588" xr3:uid="{6AD7C455-A63C-4AB6-AFC2-EA0937F27399}" name="Column15581"/>
    <tableColumn id="15589" xr3:uid="{FE9712F4-8695-4DB0-B1C8-073480B531C5}" name="Column15582"/>
    <tableColumn id="15590" xr3:uid="{3D00C50C-60F2-425E-B3C9-33273D1F20CA}" name="Column15583"/>
    <tableColumn id="15591" xr3:uid="{834F8043-F7DB-447C-9979-6C6A02FE095B}" name="Column15584"/>
    <tableColumn id="15592" xr3:uid="{1A2B9682-CDE2-4F8F-A427-EE9942192067}" name="Column15585"/>
    <tableColumn id="15593" xr3:uid="{56E2E613-5CDD-4060-AA93-28A6C10B1AA1}" name="Column15586"/>
    <tableColumn id="15594" xr3:uid="{04409D53-38C1-45E4-AC98-A86CB59236FB}" name="Column15587"/>
    <tableColumn id="15595" xr3:uid="{B3AE1351-95A1-47A8-BF53-8883C92B2411}" name="Column15588"/>
    <tableColumn id="15596" xr3:uid="{B4904657-3EFC-4591-A764-6F391FEA35ED}" name="Column15589"/>
    <tableColumn id="15597" xr3:uid="{1250A738-1C04-4485-AEB3-6424749699A2}" name="Column15590"/>
    <tableColumn id="15598" xr3:uid="{32092318-83E4-4F33-B5AB-A7FB014CF88B}" name="Column15591"/>
    <tableColumn id="15599" xr3:uid="{C337EE39-E019-4B81-89E0-D48D54A21434}" name="Column15592"/>
    <tableColumn id="15600" xr3:uid="{2D80B0A3-3238-4240-8933-BF764C03278D}" name="Column15593"/>
    <tableColumn id="15601" xr3:uid="{88CD427E-D207-4301-A497-650BAD1BE448}" name="Column15594"/>
    <tableColumn id="15602" xr3:uid="{5134E4DC-639E-4451-9045-D713CFD5BD04}" name="Column15595"/>
    <tableColumn id="15603" xr3:uid="{C2BEF194-0401-41BE-B944-9F501DEDD8C7}" name="Column15596"/>
    <tableColumn id="15604" xr3:uid="{DB44F144-C6BC-4D15-BAD9-0CCF88A7085E}" name="Column15597"/>
    <tableColumn id="15605" xr3:uid="{718E3A7F-9F63-4581-ADD2-494C20073BBE}" name="Column15598"/>
    <tableColumn id="15606" xr3:uid="{28A2D6B6-4533-4758-B758-7C2F1CAAA14D}" name="Column15599"/>
    <tableColumn id="15607" xr3:uid="{872CA2A4-9FFC-42DC-ADEC-304AD440716D}" name="Column15600"/>
    <tableColumn id="15608" xr3:uid="{2BDD444F-569E-46DE-AE8B-91F4F60B8F57}" name="Column15601"/>
    <tableColumn id="15609" xr3:uid="{D7BDBB0F-D7F6-4F85-8BCA-3A62521A038C}" name="Column15602"/>
    <tableColumn id="15610" xr3:uid="{A684684D-4C3C-4686-A1C6-E9CDE8BE622D}" name="Column15603"/>
    <tableColumn id="15611" xr3:uid="{CEF97215-77AB-490A-983C-7162DFDB261F}" name="Column15604"/>
    <tableColumn id="15612" xr3:uid="{CE02F628-F89D-4984-AB43-1B8F5639E7CA}" name="Column15605"/>
    <tableColumn id="15613" xr3:uid="{44ACB25A-9766-4689-9BA7-DB255D572382}" name="Column15606"/>
    <tableColumn id="15614" xr3:uid="{0A96CAC7-C79B-4479-962C-DB1CFB5F084D}" name="Column15607"/>
    <tableColumn id="15615" xr3:uid="{C3BEECFF-7D44-438F-8D85-51C6EC28180C}" name="Column15608"/>
    <tableColumn id="15616" xr3:uid="{6EF8D262-5E8E-425D-89C7-D9BE5292C66F}" name="Column15609"/>
    <tableColumn id="15617" xr3:uid="{0736A7EF-113B-4075-81FB-BC504FBC40AF}" name="Column15610"/>
    <tableColumn id="15618" xr3:uid="{3310E178-681C-421E-BB83-3C5E4F5498C9}" name="Column15611"/>
    <tableColumn id="15619" xr3:uid="{CFF20650-7025-4E38-B937-10024A6F629A}" name="Column15612"/>
    <tableColumn id="15620" xr3:uid="{2AD20782-D758-460E-AC17-CA316C73EF3D}" name="Column15613"/>
    <tableColumn id="15621" xr3:uid="{5C151CBD-0A62-45D3-AA43-DDB367A16552}" name="Column15614"/>
    <tableColumn id="15622" xr3:uid="{EBC2504C-4EE0-49E3-AC4C-6F0976FEA6F1}" name="Column15615"/>
    <tableColumn id="15623" xr3:uid="{1B4D5038-63F4-470D-BDE5-7E3790C131F7}" name="Column15616"/>
    <tableColumn id="15624" xr3:uid="{16B3FB06-53B8-4D97-9CCC-84CBA7B58F67}" name="Column15617"/>
    <tableColumn id="15625" xr3:uid="{63FD2BB8-0729-40C9-AC73-37C05A6DDECA}" name="Column15618"/>
    <tableColumn id="15626" xr3:uid="{EF6AA8D1-94F1-433E-B1AD-1A24A8F5E6BB}" name="Column15619"/>
    <tableColumn id="15627" xr3:uid="{B92583B6-DA13-4ADE-8AD6-A3AF5AA64130}" name="Column15620"/>
    <tableColumn id="15628" xr3:uid="{24114B61-2629-4015-B380-069B288C2662}" name="Column15621"/>
    <tableColumn id="15629" xr3:uid="{ABC65E7E-C573-486B-8F77-5448D938A332}" name="Column15622"/>
    <tableColumn id="15630" xr3:uid="{D401103D-B637-4F1E-9DDC-3BED0D85B11B}" name="Column15623"/>
    <tableColumn id="15631" xr3:uid="{E2AAAB18-72BD-4CB6-8EAE-0DA24A718383}" name="Column15624"/>
    <tableColumn id="15632" xr3:uid="{78254F0D-B149-49B0-9AFD-9B8E99B58D15}" name="Column15625"/>
    <tableColumn id="15633" xr3:uid="{DD6FAF95-4E03-4FEE-9EAE-42B978A25DEC}" name="Column15626"/>
    <tableColumn id="15634" xr3:uid="{53857511-29EC-47DB-9BD9-52E5B9419504}" name="Column15627"/>
    <tableColumn id="15635" xr3:uid="{A7B97DEF-49CF-454E-A002-E6288C28D784}" name="Column15628"/>
    <tableColumn id="15636" xr3:uid="{E6E2FD94-9923-4CB3-B00B-92DA0CAB752C}" name="Column15629"/>
    <tableColumn id="15637" xr3:uid="{FE2BD177-9BBA-4644-AB13-EAD4B652A7B5}" name="Column15630"/>
    <tableColumn id="15638" xr3:uid="{9732559C-299D-4FB6-939D-2EEA8ACB5C9F}" name="Column15631"/>
    <tableColumn id="15639" xr3:uid="{6813CC21-94F0-4CC9-82C4-7B8E406F1C48}" name="Column15632"/>
    <tableColumn id="15640" xr3:uid="{08502191-300A-410D-B402-45415030057B}" name="Column15633"/>
    <tableColumn id="15641" xr3:uid="{1CAF35DC-ACB4-434E-AD80-CF2A218BE6D8}" name="Column15634"/>
    <tableColumn id="15642" xr3:uid="{755D97E7-EC42-4102-AF84-E3DC35ED5FB4}" name="Column15635"/>
    <tableColumn id="15643" xr3:uid="{7B0E38CE-6B1E-422B-8F31-CB92E99D0A00}" name="Column15636"/>
    <tableColumn id="15644" xr3:uid="{D3E0DB50-C45E-4F96-AF3A-1017F0F4DDB8}" name="Column15637"/>
    <tableColumn id="15645" xr3:uid="{40C0FD92-C886-495D-A8FF-0224ECD27094}" name="Column15638"/>
    <tableColumn id="15646" xr3:uid="{D4A38DC0-C855-40E4-866D-B38E916CB0EB}" name="Column15639"/>
    <tableColumn id="15647" xr3:uid="{A55EA4AC-469D-4401-9709-65A178E1BCCC}" name="Column15640"/>
    <tableColumn id="15648" xr3:uid="{32DC48E2-3020-4783-AE7E-DB2ADF3C4FDF}" name="Column15641"/>
    <tableColumn id="15649" xr3:uid="{A2AF1999-6B60-4FFC-B68D-E01010704F2E}" name="Column15642"/>
    <tableColumn id="15650" xr3:uid="{ACD8E10A-C649-4438-A391-3A7BF20B93C2}" name="Column15643"/>
    <tableColumn id="15651" xr3:uid="{046CBCD8-826C-4B0D-9BC6-22FA2E268016}" name="Column15644"/>
    <tableColumn id="15652" xr3:uid="{91DC58DF-76E8-4183-AF79-85A00A37F253}" name="Column15645"/>
    <tableColumn id="15653" xr3:uid="{A03EA3C3-156C-45A7-A34D-9C686DF8F40A}" name="Column15646"/>
    <tableColumn id="15654" xr3:uid="{DF69BEF4-CA98-4E03-9E10-9408440A41F2}" name="Column15647"/>
    <tableColumn id="15655" xr3:uid="{C9803028-81EE-4412-9B35-EB0A3916030E}" name="Column15648"/>
    <tableColumn id="15656" xr3:uid="{17CFE57C-8A3C-4638-860C-3D84FB8767E9}" name="Column15649"/>
    <tableColumn id="15657" xr3:uid="{24F69C77-6DD2-45E6-9253-1B511216631E}" name="Column15650"/>
    <tableColumn id="15658" xr3:uid="{AA6872CB-A833-49D6-8025-88496447CE72}" name="Column15651"/>
    <tableColumn id="15659" xr3:uid="{6E0B2484-0C49-479D-B667-33D08A2FA26F}" name="Column15652"/>
    <tableColumn id="15660" xr3:uid="{CED032AD-D196-4EE1-976D-95AB20DFCAD6}" name="Column15653"/>
    <tableColumn id="15661" xr3:uid="{7474FD09-EE89-4B95-B570-10F11B67BB55}" name="Column15654"/>
    <tableColumn id="15662" xr3:uid="{4A3BCA22-5D14-44DE-9CFC-1050F3D769CC}" name="Column15655"/>
    <tableColumn id="15663" xr3:uid="{3CC43696-9EB3-43FD-BA24-EB0325E5F480}" name="Column15656"/>
    <tableColumn id="15664" xr3:uid="{E1ABBBF1-8E0D-4C44-B884-4F084DB58A05}" name="Column15657"/>
    <tableColumn id="15665" xr3:uid="{0D228727-21DA-4A06-972F-8CD866C7D307}" name="Column15658"/>
    <tableColumn id="15666" xr3:uid="{87124B0C-D230-43DA-B020-7C16E812302F}" name="Column15659"/>
    <tableColumn id="15667" xr3:uid="{332CDA3A-1123-4477-9D00-7AD80CC64F91}" name="Column15660"/>
    <tableColumn id="15668" xr3:uid="{889AE948-BA79-414A-9918-B51F2F252128}" name="Column15661"/>
    <tableColumn id="15669" xr3:uid="{88E0E34F-DAE9-4B5C-B488-5CBC254B4230}" name="Column15662"/>
    <tableColumn id="15670" xr3:uid="{D227F19A-BDFC-41AF-88E1-B91859156968}" name="Column15663"/>
    <tableColumn id="15671" xr3:uid="{EF2497F7-7CD8-44E0-B594-C74AE7A6E7AA}" name="Column15664"/>
    <tableColumn id="15672" xr3:uid="{0F0A774C-D5E0-4353-B7AA-1DBA6924D222}" name="Column15665"/>
    <tableColumn id="15673" xr3:uid="{5A864D09-C369-40E0-A783-1FE6179B8D7F}" name="Column15666"/>
    <tableColumn id="15674" xr3:uid="{AC7FA2B4-4CCA-4E7D-BFC8-1F3AFB113470}" name="Column15667"/>
    <tableColumn id="15675" xr3:uid="{92C5685D-6787-417B-B654-FC8DD2FBDC0A}" name="Column15668"/>
    <tableColumn id="15676" xr3:uid="{1BA74085-50F8-402B-9440-50C40935AF7A}" name="Column15669"/>
    <tableColumn id="15677" xr3:uid="{4840A514-4849-4C61-912C-79930A78F9F4}" name="Column15670"/>
    <tableColumn id="15678" xr3:uid="{C829C781-C58C-4C32-95D1-38CC86D84CA3}" name="Column15671"/>
    <tableColumn id="15679" xr3:uid="{253C9401-2284-4163-A1BF-2E62FAD247FF}" name="Column15672"/>
    <tableColumn id="15680" xr3:uid="{B58E68E8-BD2E-4583-99F8-F85BC1A79527}" name="Column15673"/>
    <tableColumn id="15681" xr3:uid="{A22187AF-FCD2-44DD-B3C8-8E9E53243456}" name="Column15674"/>
    <tableColumn id="15682" xr3:uid="{46DDA73F-8B4C-4830-83A7-A93A035FC5C6}" name="Column15675"/>
    <tableColumn id="15683" xr3:uid="{A5E3DDE0-86DE-4A79-8127-722F0EA73190}" name="Column15676"/>
    <tableColumn id="15684" xr3:uid="{74B8084E-BFE1-4496-9ACC-FA34BC9D0558}" name="Column15677"/>
    <tableColumn id="15685" xr3:uid="{41E855FA-C9E6-46BB-88CE-CC03030A5365}" name="Column15678"/>
    <tableColumn id="15686" xr3:uid="{9399D541-7853-4503-8E10-F020E7F88E60}" name="Column15679"/>
    <tableColumn id="15687" xr3:uid="{F86CD1BB-4E5D-429D-BA47-BF2729086ED0}" name="Column15680"/>
    <tableColumn id="15688" xr3:uid="{F4117D6A-CC68-4187-B059-A1D87DF8E0B7}" name="Column15681"/>
    <tableColumn id="15689" xr3:uid="{AB364FAA-43C9-4072-A601-C996153A6483}" name="Column15682"/>
    <tableColumn id="15690" xr3:uid="{FFF62C53-56FD-427E-BBCD-8CE66D3D3D47}" name="Column15683"/>
    <tableColumn id="15691" xr3:uid="{0CC79168-BB19-4170-B989-ADF399FA0979}" name="Column15684"/>
    <tableColumn id="15692" xr3:uid="{1EA7AAC1-76D5-470A-BF4E-33BA0CE51E0A}" name="Column15685"/>
    <tableColumn id="15693" xr3:uid="{8C8AB098-D87F-48E7-A15E-5F23314D8EFC}" name="Column15686"/>
    <tableColumn id="15694" xr3:uid="{F4A053A8-FD11-42B0-A5B8-50B8FB4E7541}" name="Column15687"/>
    <tableColumn id="15695" xr3:uid="{CA577322-71C8-4E70-958D-141001C8E089}" name="Column15688"/>
    <tableColumn id="15696" xr3:uid="{35AD4959-B085-4223-8363-28871B7B83F4}" name="Column15689"/>
    <tableColumn id="15697" xr3:uid="{BCAAE2B7-6816-4A84-9A45-5F3E08F4DE7A}" name="Column15690"/>
    <tableColumn id="15698" xr3:uid="{6E3B235B-7523-4603-87DB-0BE9BC636FCD}" name="Column15691"/>
    <tableColumn id="15699" xr3:uid="{2C555A16-99CF-4BEA-8FA4-94E0310B36B4}" name="Column15692"/>
    <tableColumn id="15700" xr3:uid="{B71985D9-8086-408A-9CB6-C8BDF661B927}" name="Column15693"/>
    <tableColumn id="15701" xr3:uid="{FB869E20-AC84-4461-8FFD-9CE837EDE3BE}" name="Column15694"/>
    <tableColumn id="15702" xr3:uid="{A90706EE-7B04-4184-A1DA-C04E855CDAC1}" name="Column15695"/>
    <tableColumn id="15703" xr3:uid="{160C3AD9-B4AB-4F87-8028-0B17BB132CED}" name="Column15696"/>
    <tableColumn id="15704" xr3:uid="{D12854AE-8AEE-451C-B1B9-1AE181FB7971}" name="Column15697"/>
    <tableColumn id="15705" xr3:uid="{0037F4BF-AF14-4A9D-BE8C-93EACB7657D5}" name="Column15698"/>
    <tableColumn id="15706" xr3:uid="{AF5CECD7-0C68-47AB-A51F-3C5929C8E40D}" name="Column15699"/>
    <tableColumn id="15707" xr3:uid="{35B3B882-1A9F-438F-80FA-33A5AD771E96}" name="Column15700"/>
    <tableColumn id="15708" xr3:uid="{1A18E322-A5FE-426D-B0E0-2B743716FDDA}" name="Column15701"/>
    <tableColumn id="15709" xr3:uid="{126F0511-ACF8-45CB-9A6B-83AA0871B883}" name="Column15702"/>
    <tableColumn id="15710" xr3:uid="{119A7E14-A0E6-475B-A9C7-8CFA47A0E125}" name="Column15703"/>
    <tableColumn id="15711" xr3:uid="{8CB1462C-03A1-4DC9-92F8-52FB93DC8265}" name="Column15704"/>
    <tableColumn id="15712" xr3:uid="{D4B1A64A-59B5-4D88-A1A5-03E9D587E935}" name="Column15705"/>
    <tableColumn id="15713" xr3:uid="{D469E7E7-DBAD-45C2-AED9-3DBE9CABCDCF}" name="Column15706"/>
    <tableColumn id="15714" xr3:uid="{021B12DA-FBAE-478F-A025-7C3E50DEA1D0}" name="Column15707"/>
    <tableColumn id="15715" xr3:uid="{0E7132D8-D6A1-498C-B27C-E4D000F16D95}" name="Column15708"/>
    <tableColumn id="15716" xr3:uid="{60303C91-417B-414E-87AD-35E1382BEFCF}" name="Column15709"/>
    <tableColumn id="15717" xr3:uid="{3AC05DE4-254F-4D48-BB90-C1D1A1972E73}" name="Column15710"/>
    <tableColumn id="15718" xr3:uid="{00357D0C-3893-4981-810B-AD1086D07DD9}" name="Column15711"/>
    <tableColumn id="15719" xr3:uid="{D35FDF1B-5E14-4B49-87FE-0B7A4318AD48}" name="Column15712"/>
    <tableColumn id="15720" xr3:uid="{AAF4941C-3BEC-4229-839F-6CC3ADEFA454}" name="Column15713"/>
    <tableColumn id="15721" xr3:uid="{21732F50-BF9C-478C-A808-6DC1EFEE9477}" name="Column15714"/>
    <tableColumn id="15722" xr3:uid="{1283D87C-3A30-45CA-95AA-4C451710F15D}" name="Column15715"/>
    <tableColumn id="15723" xr3:uid="{122A60CD-6968-4683-9A03-6DD02F1A1226}" name="Column15716"/>
    <tableColumn id="15724" xr3:uid="{37F68A13-7C27-4263-95DF-70F4325CB0B2}" name="Column15717"/>
    <tableColumn id="15725" xr3:uid="{D9A40FE9-3747-46C2-A743-13747EC243E8}" name="Column15718"/>
    <tableColumn id="15726" xr3:uid="{49A088BA-2CD1-4BB5-A904-977219372939}" name="Column15719"/>
    <tableColumn id="15727" xr3:uid="{6001EBB8-4969-403F-93D9-921E4EE63F2B}" name="Column15720"/>
    <tableColumn id="15728" xr3:uid="{6224E6EC-3E1D-44B9-BF81-0E0436C07B4E}" name="Column15721"/>
    <tableColumn id="15729" xr3:uid="{497D78F6-919D-4628-9E04-6F9E1B415B64}" name="Column15722"/>
    <tableColumn id="15730" xr3:uid="{699C71AF-783F-4215-BD16-3E22274E6827}" name="Column15723"/>
    <tableColumn id="15731" xr3:uid="{02410E98-DDEE-4A2D-9AEA-C8B30F0CB33F}" name="Column15724"/>
    <tableColumn id="15732" xr3:uid="{69803AEC-4C7D-4517-A73E-44007EC48899}" name="Column15725"/>
    <tableColumn id="15733" xr3:uid="{8AF17430-C9CD-4734-A7F6-E313F81416D6}" name="Column15726"/>
    <tableColumn id="15734" xr3:uid="{10D83752-116F-4A0A-B203-71294FAB982F}" name="Column15727"/>
    <tableColumn id="15735" xr3:uid="{69014C22-00CE-44B5-A97F-F185F072B2D3}" name="Column15728"/>
    <tableColumn id="15736" xr3:uid="{B8789001-3731-47E5-9C94-2044FD7F5EC7}" name="Column15729"/>
    <tableColumn id="15737" xr3:uid="{E5485B4F-7839-4BE9-9021-EECF8ECDFCEF}" name="Column15730"/>
    <tableColumn id="15738" xr3:uid="{513CAD7E-1DFE-47C0-B8B3-34F858E5FBDC}" name="Column15731"/>
    <tableColumn id="15739" xr3:uid="{0FD3A5D6-6717-48FE-BFAA-D64179D4CAE3}" name="Column15732"/>
    <tableColumn id="15740" xr3:uid="{13E43934-083E-406F-8A92-AD21F9FB561A}" name="Column15733"/>
    <tableColumn id="15741" xr3:uid="{2B9DF739-0FCD-42D5-A8E9-D696BFED88D1}" name="Column15734"/>
    <tableColumn id="15742" xr3:uid="{21FCA730-7D5E-4228-8657-A1ABE20F559E}" name="Column15735"/>
    <tableColumn id="15743" xr3:uid="{71B419BF-AE88-4523-BAED-ADD8A8F2DAE0}" name="Column15736"/>
    <tableColumn id="15744" xr3:uid="{09125A2D-3EF6-482C-93E0-3B8A34660D87}" name="Column15737"/>
    <tableColumn id="15745" xr3:uid="{2419D94E-30DB-4B2D-AC23-5D0518A8EDA6}" name="Column15738"/>
    <tableColumn id="15746" xr3:uid="{376DC31B-C387-48E1-AF80-F91D77518E49}" name="Column15739"/>
    <tableColumn id="15747" xr3:uid="{FC7999B7-B6F5-41B2-A996-8B389B1ACF8B}" name="Column15740"/>
    <tableColumn id="15748" xr3:uid="{02A1D7E1-9632-408A-A3C3-AB6276D1F796}" name="Column15741"/>
    <tableColumn id="15749" xr3:uid="{389301CB-1A29-464F-B02D-0E91C414AA9D}" name="Column15742"/>
    <tableColumn id="15750" xr3:uid="{8B0F9B75-2925-4CAE-9AD6-4FBC03F76717}" name="Column15743"/>
    <tableColumn id="15751" xr3:uid="{6EDE05B9-66B4-4BDB-A340-0609341D2E26}" name="Column15744"/>
    <tableColumn id="15752" xr3:uid="{073C750B-086F-4C8B-BEF5-6FEE211D2B6A}" name="Column15745"/>
    <tableColumn id="15753" xr3:uid="{39DC53E6-ECA6-475F-B548-65D62FECFD81}" name="Column15746"/>
    <tableColumn id="15754" xr3:uid="{2A9D229E-CEFE-4258-A336-49CCDF05FE52}" name="Column15747"/>
    <tableColumn id="15755" xr3:uid="{DBB91D4B-00F2-4AED-934F-3876F150B676}" name="Column15748"/>
    <tableColumn id="15756" xr3:uid="{5E5AD96C-2CEF-49E8-8CCC-20F5DB9933F8}" name="Column15749"/>
    <tableColumn id="15757" xr3:uid="{C1A0CFF5-FF83-40D8-928F-AB552AFD5984}" name="Column15750"/>
    <tableColumn id="15758" xr3:uid="{0594B2E9-A592-4D15-81C4-923B90C87408}" name="Column15751"/>
    <tableColumn id="15759" xr3:uid="{04A0946D-DF4C-451B-8812-DD293AC85CC9}" name="Column15752"/>
    <tableColumn id="15760" xr3:uid="{5DEB93F2-425B-4A8B-8630-69C3ABA6A97A}" name="Column15753"/>
    <tableColumn id="15761" xr3:uid="{86B2D13D-5F30-4164-981B-CCD441BC10A9}" name="Column15754"/>
    <tableColumn id="15762" xr3:uid="{A9D1250B-6060-435C-BED2-E7F38B166AFF}" name="Column15755"/>
    <tableColumn id="15763" xr3:uid="{4428A389-AEB5-4E60-B862-CF55E2543934}" name="Column15756"/>
    <tableColumn id="15764" xr3:uid="{884B1BF7-9E76-4590-843E-A1FAFBE9BADC}" name="Column15757"/>
    <tableColumn id="15765" xr3:uid="{D2137F8E-C40B-4265-AE79-9EBA6BDB33EC}" name="Column15758"/>
    <tableColumn id="15766" xr3:uid="{6CAA302A-D445-4CE8-8979-111293DADD87}" name="Column15759"/>
    <tableColumn id="15767" xr3:uid="{D94B1AC7-B375-41D2-9003-92DF3E6B5704}" name="Column15760"/>
    <tableColumn id="15768" xr3:uid="{19B40877-36F1-4D4F-9B9E-3FBD7743B922}" name="Column15761"/>
    <tableColumn id="15769" xr3:uid="{144B800B-963A-4F44-8217-D37B16342E2C}" name="Column15762"/>
    <tableColumn id="15770" xr3:uid="{3E7D4643-C862-40F1-B0BB-FB593628EB63}" name="Column15763"/>
    <tableColumn id="15771" xr3:uid="{36036F8E-9506-413E-9CB5-B3C2B997EE19}" name="Column15764"/>
    <tableColumn id="15772" xr3:uid="{DBC0455E-BBC7-4079-8CF4-D38ED879BD86}" name="Column15765"/>
    <tableColumn id="15773" xr3:uid="{BB8FD066-8EAA-46AC-9C03-3392D9C542E0}" name="Column15766"/>
    <tableColumn id="15774" xr3:uid="{FF3C4482-BBD7-4DDF-9C6B-C518B4EF85C8}" name="Column15767"/>
    <tableColumn id="15775" xr3:uid="{6AA35C12-DAD2-4A8D-BAC4-8E741C0F4514}" name="Column15768"/>
    <tableColumn id="15776" xr3:uid="{615D8F0B-12FA-4567-9590-DA59FA0AF411}" name="Column15769"/>
    <tableColumn id="15777" xr3:uid="{7581548E-8880-43A3-B6D2-83911712E713}" name="Column15770"/>
    <tableColumn id="15778" xr3:uid="{A3537906-3495-4A06-A461-2E795ACBFC48}" name="Column15771"/>
    <tableColumn id="15779" xr3:uid="{F109ED5E-288F-494A-B168-0ABD6B5734CA}" name="Column15772"/>
    <tableColumn id="15780" xr3:uid="{775D55F3-174C-4DFE-95ED-36EAAC4B34F9}" name="Column15773"/>
    <tableColumn id="15781" xr3:uid="{274B6194-E5D9-4670-A760-78CB936F54FD}" name="Column15774"/>
    <tableColumn id="15782" xr3:uid="{77C9BEE9-970E-4E22-8815-DC17A7E3C4D2}" name="Column15775"/>
    <tableColumn id="15783" xr3:uid="{C719A266-EDB5-4F1E-ABC9-53DB198B0A8F}" name="Column15776"/>
    <tableColumn id="15784" xr3:uid="{678EC5CC-D84A-4B49-A3B2-EBFB4B872979}" name="Column15777"/>
    <tableColumn id="15785" xr3:uid="{10DF0A91-3ED2-415B-B1DC-7306BC9A95E0}" name="Column15778"/>
    <tableColumn id="15786" xr3:uid="{D7871053-8BCF-40C2-96D7-3DE3A08B8632}" name="Column15779"/>
    <tableColumn id="15787" xr3:uid="{DAA00108-FAF7-4699-AAB5-3F703E9F1884}" name="Column15780"/>
    <tableColumn id="15788" xr3:uid="{3FA45391-3880-49EE-8F0F-7EAE2A0F23C7}" name="Column15781"/>
    <tableColumn id="15789" xr3:uid="{447B7501-443A-411C-B694-041C0F76BB71}" name="Column15782"/>
    <tableColumn id="15790" xr3:uid="{1A7C10E8-B04C-4401-9DE5-C79EB24FEB19}" name="Column15783"/>
    <tableColumn id="15791" xr3:uid="{9B7729EC-37EE-4BFF-8963-3A2E803C7C33}" name="Column15784"/>
    <tableColumn id="15792" xr3:uid="{A7417959-A74A-4BE4-9E70-95BC844ABF7C}" name="Column15785"/>
    <tableColumn id="15793" xr3:uid="{210C8A30-4E52-4448-9263-E18104C5B0F6}" name="Column15786"/>
    <tableColumn id="15794" xr3:uid="{821BCD9B-F5A5-4F41-9408-E2A6E9B73047}" name="Column15787"/>
    <tableColumn id="15795" xr3:uid="{7361F66C-9688-49B9-9B6E-BCB49F4F7713}" name="Column15788"/>
    <tableColumn id="15796" xr3:uid="{1E6A0796-FA91-4A82-A3B3-011AE6F05467}" name="Column15789"/>
    <tableColumn id="15797" xr3:uid="{64A75F29-2432-4A62-9990-E985CB6C87EE}" name="Column15790"/>
    <tableColumn id="15798" xr3:uid="{CE1FE17B-CE79-40C4-A9C8-53BC14CC3A48}" name="Column15791"/>
    <tableColumn id="15799" xr3:uid="{072E6CC5-5523-424E-91A4-BCA6209225AE}" name="Column15792"/>
    <tableColumn id="15800" xr3:uid="{6D06BF9E-1B9A-49F0-A5A6-24A193EA8D10}" name="Column15793"/>
    <tableColumn id="15801" xr3:uid="{40D85A6E-9490-4B38-8BD6-66DCF73D6194}" name="Column15794"/>
    <tableColumn id="15802" xr3:uid="{4458770E-A8CD-4911-BEF3-856A697396BC}" name="Column15795"/>
    <tableColumn id="15803" xr3:uid="{E7DFF681-6FAE-4485-BDD1-51F3EF9B85EF}" name="Column15796"/>
    <tableColumn id="15804" xr3:uid="{87154507-6D18-4F07-9C21-C7A58639D0CD}" name="Column15797"/>
    <tableColumn id="15805" xr3:uid="{F1BD9280-1D20-4C91-AC0A-CA38E0C69D48}" name="Column15798"/>
    <tableColumn id="15806" xr3:uid="{423E2C7D-92F4-4F62-A3E1-030323DCAAAC}" name="Column15799"/>
    <tableColumn id="15807" xr3:uid="{AD6EF080-562D-4F86-AF2A-44B960272C55}" name="Column15800"/>
    <tableColumn id="15808" xr3:uid="{5AD90537-B4DE-426B-81E9-F2E6E78D7614}" name="Column15801"/>
    <tableColumn id="15809" xr3:uid="{E4107A64-39E5-4361-9DE9-9175EA81C89C}" name="Column15802"/>
    <tableColumn id="15810" xr3:uid="{2314E4FE-BDAA-4709-89BC-786111300628}" name="Column15803"/>
    <tableColumn id="15811" xr3:uid="{E53239A8-B47F-4157-B3A2-1DCF63423BC0}" name="Column15804"/>
    <tableColumn id="15812" xr3:uid="{0BAC4094-859B-484D-98CA-E594CAFC5DE7}" name="Column15805"/>
    <tableColumn id="15813" xr3:uid="{5271823D-89AD-454F-921F-97D72D1CA658}" name="Column15806"/>
    <tableColumn id="15814" xr3:uid="{E9BFE31B-1E83-4EA4-885B-56ED94F451B7}" name="Column15807"/>
    <tableColumn id="15815" xr3:uid="{980D4040-FE55-4E0D-B1C0-AEB98D5D18C1}" name="Column15808"/>
    <tableColumn id="15816" xr3:uid="{23DAEBB2-CA76-4481-BE13-2D869DBF7C91}" name="Column15809"/>
    <tableColumn id="15817" xr3:uid="{CF5B948A-C02F-443D-A919-60702B090791}" name="Column15810"/>
    <tableColumn id="15818" xr3:uid="{C4F97256-6AF2-4ADB-821D-E18D9C3739C0}" name="Column15811"/>
    <tableColumn id="15819" xr3:uid="{038F5010-9665-4326-A043-D2B547BC3FAF}" name="Column15812"/>
    <tableColumn id="15820" xr3:uid="{C12242B4-C046-42D2-91FA-CCFAC052D29F}" name="Column15813"/>
    <tableColumn id="15821" xr3:uid="{F3B51A42-1F30-4693-B554-859E6835653D}" name="Column15814"/>
    <tableColumn id="15822" xr3:uid="{87C1FF72-D7D1-481F-B9A9-296B2564FAAB}" name="Column15815"/>
    <tableColumn id="15823" xr3:uid="{779C7BFE-2BFC-4E84-9869-859928173DF0}" name="Column15816"/>
    <tableColumn id="15824" xr3:uid="{EA81751F-FFE9-4E20-9074-6787AAF7190C}" name="Column15817"/>
    <tableColumn id="15825" xr3:uid="{636D8CB3-A247-4696-B691-103E5C86CCD0}" name="Column15818"/>
    <tableColumn id="15826" xr3:uid="{8DEF87E3-90FB-494D-8CDE-F0FF58B15AD4}" name="Column15819"/>
    <tableColumn id="15827" xr3:uid="{1CE5F1CB-56C8-4966-9214-AB79340E9D3C}" name="Column15820"/>
    <tableColumn id="15828" xr3:uid="{C22C8250-D29C-4910-B6E6-AEEF964EA418}" name="Column15821"/>
    <tableColumn id="15829" xr3:uid="{2BCBAB19-796D-4BB4-88CC-B5F5299EC928}" name="Column15822"/>
    <tableColumn id="15830" xr3:uid="{679A1775-6E78-4A53-B1DC-65A63821639A}" name="Column15823"/>
    <tableColumn id="15831" xr3:uid="{E900E697-481F-4076-9D1E-2ABE80349462}" name="Column15824"/>
    <tableColumn id="15832" xr3:uid="{C9F14337-99B8-48E0-8204-F0A6FAB0C7A9}" name="Column15825"/>
    <tableColumn id="15833" xr3:uid="{0E210217-E249-4EC9-B92A-D9A3DC6AD096}" name="Column15826"/>
    <tableColumn id="15834" xr3:uid="{0911348C-C330-4D53-B7BC-145D9558D827}" name="Column15827"/>
    <tableColumn id="15835" xr3:uid="{8E53C824-D5B9-4553-AF8F-0413E26AE296}" name="Column15828"/>
    <tableColumn id="15836" xr3:uid="{0992D3E0-E941-4246-901B-6E5A11F5F00C}" name="Column15829"/>
    <tableColumn id="15837" xr3:uid="{B1BFB9B2-8A55-47D5-948D-79A92875F4E3}" name="Column15830"/>
    <tableColumn id="15838" xr3:uid="{7F3EF9E6-417E-4C4A-95FF-ECC8BEC9C816}" name="Column15831"/>
    <tableColumn id="15839" xr3:uid="{984BEFCF-DAA0-4B32-A670-E287C58EE699}" name="Column15832"/>
    <tableColumn id="15840" xr3:uid="{9BFB6185-877A-4E00-8239-D1C9EE1C2ECC}" name="Column15833"/>
    <tableColumn id="15841" xr3:uid="{98B07AB5-0C2F-48A9-A98C-9471806739C4}" name="Column15834"/>
    <tableColumn id="15842" xr3:uid="{3C7BE353-2C06-46B3-9420-2B1513582698}" name="Column15835"/>
    <tableColumn id="15843" xr3:uid="{8C3384A5-A8B8-4BD3-A18C-799B4925C89F}" name="Column15836"/>
    <tableColumn id="15844" xr3:uid="{4EBEA8E6-B91B-4A2D-8EEF-B722FC68BB40}" name="Column15837"/>
    <tableColumn id="15845" xr3:uid="{3EC1B4D8-E381-4736-8B58-08834210D00C}" name="Column15838"/>
    <tableColumn id="15846" xr3:uid="{DC39F40A-A3DD-4040-A1A3-EA6EE88C195A}" name="Column15839"/>
    <tableColumn id="15847" xr3:uid="{0B3AA6A9-78D1-4209-B495-DF029BE8E40D}" name="Column15840"/>
    <tableColumn id="15848" xr3:uid="{AB21FDAE-6F57-4773-85C5-2B9639DB96FF}" name="Column15841"/>
    <tableColumn id="15849" xr3:uid="{C7ABB793-2292-49B3-911E-43A4D25427B5}" name="Column15842"/>
    <tableColumn id="15850" xr3:uid="{96BF6264-E55A-4351-88F7-F7A6E1B2C0D3}" name="Column15843"/>
    <tableColumn id="15851" xr3:uid="{CA73A257-744D-4CF8-90F9-1FED80A9A7BC}" name="Column15844"/>
    <tableColumn id="15852" xr3:uid="{6B019A6C-8696-4BD5-8EA7-F77F7ECEB6E2}" name="Column15845"/>
    <tableColumn id="15853" xr3:uid="{4B51439E-641E-4404-8229-EDE999CDA321}" name="Column15846"/>
    <tableColumn id="15854" xr3:uid="{A75FF45E-E976-4405-8AE2-37ED85466A9F}" name="Column15847"/>
    <tableColumn id="15855" xr3:uid="{C2A108A8-76FA-4EBA-9F97-9B683E1BF2C3}" name="Column15848"/>
    <tableColumn id="15856" xr3:uid="{CA0A76F8-D8CA-4B45-8535-8DE48D0EA79A}" name="Column15849"/>
    <tableColumn id="15857" xr3:uid="{D05590ED-F4C8-4433-B8A7-4FDA53708CE8}" name="Column15850"/>
    <tableColumn id="15858" xr3:uid="{224C9C57-3193-45E0-BC34-780DE9BA8BAD}" name="Column15851"/>
    <tableColumn id="15859" xr3:uid="{CC5E00F4-0B1A-4CF5-8993-2E7CDE124295}" name="Column15852"/>
    <tableColumn id="15860" xr3:uid="{545AAC31-E558-4A8B-9C0C-3B25E82E0024}" name="Column15853"/>
    <tableColumn id="15861" xr3:uid="{40503E95-9535-47C8-AAD3-4201F38D4B87}" name="Column15854"/>
    <tableColumn id="15862" xr3:uid="{9955EFCA-CD2F-4CE0-8146-137F9EC56419}" name="Column15855"/>
    <tableColumn id="15863" xr3:uid="{CB1050F1-6FAD-40E8-A071-29BA9781A810}" name="Column15856"/>
    <tableColumn id="15864" xr3:uid="{CAB3A63A-A2B3-46E9-AADF-7F71CDB92F19}" name="Column15857"/>
    <tableColumn id="15865" xr3:uid="{DCD40E71-5BA1-48C1-859F-261BE3E97599}" name="Column15858"/>
    <tableColumn id="15866" xr3:uid="{B1C446A9-04EE-4ADA-ABA4-6103E74B6795}" name="Column15859"/>
    <tableColumn id="15867" xr3:uid="{7D409BBB-78CA-4E42-B7B9-4772E6E99757}" name="Column15860"/>
    <tableColumn id="15868" xr3:uid="{C6409042-02AB-4CE7-81B4-C713C26AEB92}" name="Column15861"/>
    <tableColumn id="15869" xr3:uid="{13CA18AA-C2BE-403C-8D5B-CF33BC57C3EE}" name="Column15862"/>
    <tableColumn id="15870" xr3:uid="{1BC43D44-1DB9-49A8-9667-4CE37E11DB30}" name="Column15863"/>
    <tableColumn id="15871" xr3:uid="{0DE4CF95-77EE-4429-BEE8-0A182E8BB293}" name="Column15864"/>
    <tableColumn id="15872" xr3:uid="{44D50C69-CE4F-4378-9FC8-1864A2F8911D}" name="Column15865"/>
    <tableColumn id="15873" xr3:uid="{0B76962F-9B9D-47B1-9BE4-F326F209D9E9}" name="Column15866"/>
    <tableColumn id="15874" xr3:uid="{1A24D12D-6691-48EA-9FDF-D6DE40ADDB5E}" name="Column15867"/>
    <tableColumn id="15875" xr3:uid="{31DC72B5-9EE2-4604-A6D4-099D94683186}" name="Column15868"/>
    <tableColumn id="15876" xr3:uid="{5CFE5C7D-B133-4C7F-A45E-13A84EAC0495}" name="Column15869"/>
    <tableColumn id="15877" xr3:uid="{EA75B337-0114-4D8F-A3DA-13503876E20E}" name="Column15870"/>
    <tableColumn id="15878" xr3:uid="{372879CC-929D-49D1-8C0B-E2F9F8B752B7}" name="Column15871"/>
    <tableColumn id="15879" xr3:uid="{26F77080-C12B-4D71-8795-6DDB4A069BAE}" name="Column15872"/>
    <tableColumn id="15880" xr3:uid="{EF757DAF-55F2-477E-B7AA-033C27780525}" name="Column15873"/>
    <tableColumn id="15881" xr3:uid="{17A002EF-D762-41B3-9057-5EE0F436A118}" name="Column15874"/>
    <tableColumn id="15882" xr3:uid="{3CAF80DA-B985-4EB6-8996-9C17DC0496F5}" name="Column15875"/>
    <tableColumn id="15883" xr3:uid="{3EEDF36A-5BCE-438E-8409-67F142B98AEA}" name="Column15876"/>
    <tableColumn id="15884" xr3:uid="{6748634A-52B0-429A-9382-BB808340AF26}" name="Column15877"/>
    <tableColumn id="15885" xr3:uid="{B8A47443-F1DB-4102-BC8C-3412E82B852D}" name="Column15878"/>
    <tableColumn id="15886" xr3:uid="{FECB3015-C0EF-4030-8F5C-DA183DA9E3BD}" name="Column15879"/>
    <tableColumn id="15887" xr3:uid="{57F89544-4880-4598-BAAF-B342E32E9ACD}" name="Column15880"/>
    <tableColumn id="15888" xr3:uid="{BFD3C01D-1224-4723-A455-A532A363BDD6}" name="Column15881"/>
    <tableColumn id="15889" xr3:uid="{1DBE2CC1-3F17-46E2-A0BA-C37473BC5898}" name="Column15882"/>
    <tableColumn id="15890" xr3:uid="{18F148D7-6CEA-4C1D-AC2E-33BDCB9C1982}" name="Column15883"/>
    <tableColumn id="15891" xr3:uid="{6F8F4D31-E188-4233-ADA9-4A036CFCB8B1}" name="Column15884"/>
    <tableColumn id="15892" xr3:uid="{F8C85FC3-EB3B-44F4-8361-D81427204637}" name="Column15885"/>
    <tableColumn id="15893" xr3:uid="{CC8ADF15-695F-41CD-A5C4-03C846F2C843}" name="Column15886"/>
    <tableColumn id="15894" xr3:uid="{C941AB53-79D9-4054-B733-50976E935970}" name="Column15887"/>
    <tableColumn id="15895" xr3:uid="{070A61CA-2FD9-4FC5-84C5-B342BDE78E84}" name="Column15888"/>
    <tableColumn id="15896" xr3:uid="{EC6E31F1-D682-438C-A713-3ABAA330A7C6}" name="Column15889"/>
    <tableColumn id="15897" xr3:uid="{C88EFD40-140A-463C-B90B-C2E7593111B7}" name="Column15890"/>
    <tableColumn id="15898" xr3:uid="{D573B72B-0E84-4FDF-ABCF-F8547300F7F4}" name="Column15891"/>
    <tableColumn id="15899" xr3:uid="{FAD55AD1-2A82-4773-8A07-0AD0CEB36C8B}" name="Column15892"/>
    <tableColumn id="15900" xr3:uid="{47932C5F-91E0-4757-9AC8-B7355D0E8E17}" name="Column15893"/>
    <tableColumn id="15901" xr3:uid="{4A6A6754-C33C-424C-8F81-0BDB91950794}" name="Column15894"/>
    <tableColumn id="15902" xr3:uid="{9B436E19-CDA7-4B29-81A3-AFC65550FCD5}" name="Column15895"/>
    <tableColumn id="15903" xr3:uid="{078BBB51-95B1-4058-BF92-C9462144828C}" name="Column15896"/>
    <tableColumn id="15904" xr3:uid="{FACBEB12-965B-49F7-B510-832DFA0C6D72}" name="Column15897"/>
    <tableColumn id="15905" xr3:uid="{00DA2865-B4FD-4083-8D4F-C4BA850DDC97}" name="Column15898"/>
    <tableColumn id="15906" xr3:uid="{09432A39-EC0E-49D0-8B32-9A4466E6DC58}" name="Column15899"/>
    <tableColumn id="15907" xr3:uid="{9EBD8617-5114-4017-A95F-3B7F02B9F268}" name="Column15900"/>
    <tableColumn id="15908" xr3:uid="{48B17157-A40E-43C4-977D-A3F572A25D39}" name="Column15901"/>
    <tableColumn id="15909" xr3:uid="{9006AFCE-8969-4426-AC6F-DA4FCB815CED}" name="Column15902"/>
    <tableColumn id="15910" xr3:uid="{F193CE61-6783-44F8-86F9-08AB176141EE}" name="Column15903"/>
    <tableColumn id="15911" xr3:uid="{27D6B6CD-F2C6-4E10-9650-1A6C04FEDAF7}" name="Column15904"/>
    <tableColumn id="15912" xr3:uid="{F48E3929-0471-4DD8-A755-1BFE67612BFB}" name="Column15905"/>
    <tableColumn id="15913" xr3:uid="{1F9198C8-D8C6-470F-B1DF-8276678988E5}" name="Column15906"/>
    <tableColumn id="15914" xr3:uid="{038549E0-1216-462B-851A-3938C1E59BE8}" name="Column15907"/>
    <tableColumn id="15915" xr3:uid="{C4CEEA5C-0435-424B-AACA-393F800C5349}" name="Column15908"/>
    <tableColumn id="15916" xr3:uid="{8D7A3AAA-DF1F-4F2F-B300-655B55CBF20E}" name="Column15909"/>
    <tableColumn id="15917" xr3:uid="{34441FDE-B2EC-471E-ACA8-9D358317A921}" name="Column15910"/>
    <tableColumn id="15918" xr3:uid="{4DA6C7D8-22AF-4D9E-B9FE-A3CFA3D30796}" name="Column15911"/>
    <tableColumn id="15919" xr3:uid="{10814C5E-F076-4D38-80C0-274BF55F992B}" name="Column15912"/>
    <tableColumn id="15920" xr3:uid="{116A46ED-DB04-4F2E-84F3-7E94AC79F7F1}" name="Column15913"/>
    <tableColumn id="15921" xr3:uid="{56DCBE0E-AF7A-4F70-86DB-5ED77DDE198E}" name="Column15914"/>
    <tableColumn id="15922" xr3:uid="{229A0D72-3E97-4710-8F21-E74A8F77EAB2}" name="Column15915"/>
    <tableColumn id="15923" xr3:uid="{58F4FEA8-EDF2-4E16-BD04-D4A4280EC2E0}" name="Column15916"/>
    <tableColumn id="15924" xr3:uid="{839EC5E5-2F5E-4E56-99E0-457034C7F4E1}" name="Column15917"/>
    <tableColumn id="15925" xr3:uid="{47158837-46E9-422E-A28A-E1CCB528ADE7}" name="Column15918"/>
    <tableColumn id="15926" xr3:uid="{E147B425-EBD3-4A81-9DE2-E17AF204C129}" name="Column15919"/>
    <tableColumn id="15927" xr3:uid="{85865F3B-B9D2-4C33-A004-83EC2614BBC5}" name="Column15920"/>
    <tableColumn id="15928" xr3:uid="{BF6FE523-DA57-446E-8C9D-99AC87B7E4E2}" name="Column15921"/>
    <tableColumn id="15929" xr3:uid="{4D897E77-5C8D-4F82-AA3A-F6D1715F8944}" name="Column15922"/>
    <tableColumn id="15930" xr3:uid="{062E0853-3160-40C1-B345-CF4B7E2A66FA}" name="Column15923"/>
    <tableColumn id="15931" xr3:uid="{B93A6CA3-CE5B-45C0-B23E-A3168D97737F}" name="Column15924"/>
    <tableColumn id="15932" xr3:uid="{EB7B267E-8891-4901-AF57-77ACF0D0DAB4}" name="Column15925"/>
    <tableColumn id="15933" xr3:uid="{E18EDCCF-5289-4198-8A09-34458DC5852E}" name="Column15926"/>
    <tableColumn id="15934" xr3:uid="{C62D3792-F440-4140-9B85-65872A747389}" name="Column15927"/>
    <tableColumn id="15935" xr3:uid="{B1E763E0-C5BF-4AF9-90AB-6B0EDF5C6330}" name="Column15928"/>
    <tableColumn id="15936" xr3:uid="{E276F713-A37D-445F-8D1B-3B6F7B2C0977}" name="Column15929"/>
    <tableColumn id="15937" xr3:uid="{C02DA8F2-ABDD-4090-870A-5BB13306A8A9}" name="Column15930"/>
    <tableColumn id="15938" xr3:uid="{E31AE008-756E-44B6-9EE2-854DBFA18970}" name="Column15931"/>
    <tableColumn id="15939" xr3:uid="{1C697102-4495-49E5-9DAF-968C047CF09C}" name="Column15932"/>
    <tableColumn id="15940" xr3:uid="{7B31E313-F4F6-4D11-9450-A65599D86CA1}" name="Column15933"/>
    <tableColumn id="15941" xr3:uid="{518631A8-764C-4BBE-9126-6B592EC6D2AB}" name="Column15934"/>
    <tableColumn id="15942" xr3:uid="{CDDD8BD8-F7A4-4B44-B84D-0E173D73984F}" name="Column15935"/>
    <tableColumn id="15943" xr3:uid="{E5876F9B-0D49-4BC2-AEE1-85F0E8E0AC04}" name="Column15936"/>
    <tableColumn id="15944" xr3:uid="{D04E156E-D11B-4E0B-8972-86ABBEBAD749}" name="Column15937"/>
    <tableColumn id="15945" xr3:uid="{9E8E79C1-17CD-4CEB-B923-FFFEDF92934D}" name="Column15938"/>
    <tableColumn id="15946" xr3:uid="{B9A64C0B-C507-487F-B220-6E365B6904BA}" name="Column15939"/>
    <tableColumn id="15947" xr3:uid="{541992BF-F76C-4BAC-86E6-AA4FE25B3C68}" name="Column15940"/>
    <tableColumn id="15948" xr3:uid="{DB5E9E80-1E68-4150-9BB7-CA8CF88F9B7E}" name="Column15941"/>
    <tableColumn id="15949" xr3:uid="{E862F62A-4478-4F1F-9274-27F97F216E29}" name="Column15942"/>
    <tableColumn id="15950" xr3:uid="{3BCD2A26-5E39-4534-AEB1-091731CD1EC3}" name="Column15943"/>
    <tableColumn id="15951" xr3:uid="{325D2422-C4B6-4070-932A-A338DD77E39C}" name="Column15944"/>
    <tableColumn id="15952" xr3:uid="{BCD94C4F-419B-4BAF-823D-DD0C2C37608D}" name="Column15945"/>
    <tableColumn id="15953" xr3:uid="{A3C2B780-58DD-4798-9BC1-D64A4C6D76D6}" name="Column15946"/>
    <tableColumn id="15954" xr3:uid="{9C447C3D-A89E-45D7-B0EE-A4805397E6EC}" name="Column15947"/>
    <tableColumn id="15955" xr3:uid="{AFAADCBC-3C55-47D1-AEA3-EDEFF224F6B7}" name="Column15948"/>
    <tableColumn id="15956" xr3:uid="{7403A1BD-403E-42B7-B057-FDFF6697AC13}" name="Column15949"/>
    <tableColumn id="15957" xr3:uid="{3FAE8864-5DE3-4171-A1F1-6CDCE00403CF}" name="Column15950"/>
    <tableColumn id="15958" xr3:uid="{BBE7281C-EBA3-4A2B-8BA3-81759F526E2D}" name="Column15951"/>
    <tableColumn id="15959" xr3:uid="{21DB4CF2-1480-4D0D-80D9-E2B6A0E924D5}" name="Column15952"/>
    <tableColumn id="15960" xr3:uid="{1D8536C7-08AC-4463-8E00-FEF197E3B75B}" name="Column15953"/>
    <tableColumn id="15961" xr3:uid="{57FBD293-3B5A-404B-9977-045FFD9636F2}" name="Column15954"/>
    <tableColumn id="15962" xr3:uid="{56ABC3C8-9795-49E2-BBDF-AD3D0FE676E6}" name="Column15955"/>
    <tableColumn id="15963" xr3:uid="{62999F81-8C39-41B9-950A-91D24FE5EA81}" name="Column15956"/>
    <tableColumn id="15964" xr3:uid="{A3EAA71F-3865-4AB3-914B-7B99BAFB0004}" name="Column15957"/>
    <tableColumn id="15965" xr3:uid="{2E3D248F-1555-4AE5-83A0-7B6E6CF65BC4}" name="Column15958"/>
    <tableColumn id="15966" xr3:uid="{3061AB04-C8E8-47C5-BC37-F43E1F3A0988}" name="Column15959"/>
    <tableColumn id="15967" xr3:uid="{8C57E313-31FF-4AF6-B857-3DC4F59585EC}" name="Column15960"/>
    <tableColumn id="15968" xr3:uid="{504252CA-ABDF-4CFB-8FBE-4B2EDAE582C7}" name="Column15961"/>
    <tableColumn id="15969" xr3:uid="{78CE2A2F-A1BE-4705-AF41-27A30BD282D8}" name="Column15962"/>
    <tableColumn id="15970" xr3:uid="{37172D20-E8FB-4BBD-86EC-B49A23CF8457}" name="Column15963"/>
    <tableColumn id="15971" xr3:uid="{440C462B-8D61-4256-91D8-959845C5E86F}" name="Column15964"/>
    <tableColumn id="15972" xr3:uid="{7E4A8587-431B-43FA-9801-59107EAE5D49}" name="Column15965"/>
    <tableColumn id="15973" xr3:uid="{9A77861E-A209-4785-9D0D-A23C85919D0B}" name="Column15966"/>
    <tableColumn id="15974" xr3:uid="{49A37E15-3516-4175-96FE-653EDEF37B26}" name="Column15967"/>
    <tableColumn id="15975" xr3:uid="{28981ACD-2BB1-40E3-B4DE-C1108DD64C14}" name="Column15968"/>
    <tableColumn id="15976" xr3:uid="{959CD518-0A20-47AB-8FF1-B5FCFEEA0CB0}" name="Column15969"/>
    <tableColumn id="15977" xr3:uid="{1A56B1A1-43AE-4748-8BE5-45A179DE6A39}" name="Column15970"/>
    <tableColumn id="15978" xr3:uid="{5A4D3886-5D6B-4D72-98B1-10E780F8747F}" name="Column15971"/>
    <tableColumn id="15979" xr3:uid="{BCDC9658-9848-4EFF-9CDC-FAC5E4561FC6}" name="Column15972"/>
    <tableColumn id="15980" xr3:uid="{622A5DFF-EC33-492A-AE7E-DE578BF17AF5}" name="Column15973"/>
    <tableColumn id="15981" xr3:uid="{51AA7C44-2883-45DB-B4B0-A8A315716035}" name="Column15974"/>
    <tableColumn id="15982" xr3:uid="{CB1F734A-EEF9-4398-82A7-C7FC1ED2C4FD}" name="Column15975"/>
    <tableColumn id="15983" xr3:uid="{582536E7-D8A5-4939-BC45-5521B4C8FD37}" name="Column15976"/>
    <tableColumn id="15984" xr3:uid="{2D300477-6D64-4404-9F58-7B0B1965344D}" name="Column15977"/>
    <tableColumn id="15985" xr3:uid="{8A5A3C36-52B9-4F4B-BF2A-C1C7679584AF}" name="Column15978"/>
    <tableColumn id="15986" xr3:uid="{437AA4DD-865B-49AB-9E59-EF19ED15BB6D}" name="Column15979"/>
    <tableColumn id="15987" xr3:uid="{375A2227-6A05-4677-85B4-FD2903CD63CB}" name="Column15980"/>
    <tableColumn id="15988" xr3:uid="{86A3EE5F-D7EA-4DD7-B971-EE2814A0AF3D}" name="Column15981"/>
    <tableColumn id="15989" xr3:uid="{76F6F401-0833-49D7-B51E-43B263B95481}" name="Column15982"/>
    <tableColumn id="15990" xr3:uid="{FB45F2F9-3A72-4C7E-8DCE-36B7E35CEE9D}" name="Column15983"/>
    <tableColumn id="15991" xr3:uid="{EF1CEB6B-FA14-4456-A9FA-B40B2B613BD5}" name="Column15984"/>
    <tableColumn id="15992" xr3:uid="{5A066E6E-EB46-4A71-AA24-998EFB692355}" name="Column15985"/>
    <tableColumn id="15993" xr3:uid="{081ABCBC-52EC-453B-AB97-771ABC2FD0AD}" name="Column15986"/>
    <tableColumn id="15994" xr3:uid="{738A4C73-C00C-43D8-AED0-97F2C8E040C8}" name="Column15987"/>
    <tableColumn id="15995" xr3:uid="{9B93B993-172E-4E0D-AF13-971FDF765CC5}" name="Column15988"/>
    <tableColumn id="15996" xr3:uid="{18B137BB-E8AA-476E-A72B-E185AE99B833}" name="Column15989"/>
    <tableColumn id="15997" xr3:uid="{5E87D9BB-D4E3-40F1-A53A-EECFC882919C}" name="Column15990"/>
    <tableColumn id="15998" xr3:uid="{5215C5F3-2F49-4677-BAA7-674A6D1457FD}" name="Column15991"/>
    <tableColumn id="15999" xr3:uid="{65658EA6-FD8B-4928-86D0-42B5EEDC1C71}" name="Column15992"/>
    <tableColumn id="16000" xr3:uid="{61882975-0462-4715-8425-6446746C50C9}" name="Column15993"/>
    <tableColumn id="16001" xr3:uid="{929E390F-CCA0-4718-9C9B-2C53B568BB1D}" name="Column15994"/>
    <tableColumn id="16002" xr3:uid="{D43B1446-A5BC-4896-9E1A-2D1635179B88}" name="Column15995"/>
    <tableColumn id="16003" xr3:uid="{97E63E0F-6576-499A-9D32-A6B93706CFE1}" name="Column15996"/>
    <tableColumn id="16004" xr3:uid="{099EE81D-7F3D-4960-934F-9BDA85E96114}" name="Column15997"/>
    <tableColumn id="16005" xr3:uid="{0BEB495A-6DFE-41FF-9E0F-503CC1F7310B}" name="Column15998"/>
    <tableColumn id="16006" xr3:uid="{4A6A896F-F713-46A4-8483-10553BCFA325}" name="Column15999"/>
    <tableColumn id="16007" xr3:uid="{FF8EB583-770F-46E4-B166-0E259DE9C446}" name="Column16000"/>
    <tableColumn id="16008" xr3:uid="{D1207DB4-67FF-467D-8003-495A1A6A50D1}" name="Column16001"/>
    <tableColumn id="16009" xr3:uid="{DD24C132-4852-4B8F-AF87-1DC0F6447D0B}" name="Column16002"/>
    <tableColumn id="16010" xr3:uid="{2EA67ABC-67B3-4F72-AEC9-E799F12207DB}" name="Column16003"/>
    <tableColumn id="16011" xr3:uid="{CBC3953B-0217-4258-AF5B-129AA082E0E0}" name="Column16004"/>
    <tableColumn id="16012" xr3:uid="{1CBD9F7A-2D66-431E-9109-9B25B932ABC5}" name="Column16005"/>
    <tableColumn id="16013" xr3:uid="{04868D33-CEB1-487F-A592-031CC5023814}" name="Column16006"/>
    <tableColumn id="16014" xr3:uid="{B39E2AD4-3D49-4488-8BFA-7057179A598C}" name="Column16007"/>
    <tableColumn id="16015" xr3:uid="{3FF7B23C-AA1B-42AC-B484-19F9D8C2D8E7}" name="Column16008"/>
    <tableColumn id="16016" xr3:uid="{4BD9FD24-E060-406A-BD4D-EE4C6BF376E5}" name="Column16009"/>
    <tableColumn id="16017" xr3:uid="{A193C856-3E28-4D08-A330-D897E801E9B5}" name="Column16010"/>
    <tableColumn id="16018" xr3:uid="{8FE22FBC-6312-48AB-8709-E4E30A7DEF09}" name="Column16011"/>
    <tableColumn id="16019" xr3:uid="{D9DBE57D-3701-422F-AE5C-E886BB4D4CB5}" name="Column16012"/>
    <tableColumn id="16020" xr3:uid="{392A215C-A3EE-4CD0-B9B2-A70CBC6BC730}" name="Column16013"/>
    <tableColumn id="16021" xr3:uid="{1607E567-3B49-48A9-976F-8A0F3B376485}" name="Column16014"/>
    <tableColumn id="16022" xr3:uid="{278CBA44-BBF8-4322-8D88-0A38147E0963}" name="Column16015"/>
    <tableColumn id="16023" xr3:uid="{2F90A241-CA96-46BD-B468-962CC9D3E284}" name="Column16016"/>
    <tableColumn id="16024" xr3:uid="{32A8519D-73C9-4ACF-A1A6-FCE78DE24E94}" name="Column16017"/>
    <tableColumn id="16025" xr3:uid="{D04929E7-CCA3-4089-AAF7-031915A686ED}" name="Column16018"/>
    <tableColumn id="16026" xr3:uid="{79358ACA-36DD-442B-B424-923D42E4210C}" name="Column16019"/>
    <tableColumn id="16027" xr3:uid="{95CB0D58-1B37-43A3-BC19-E4C97B0B5061}" name="Column16020"/>
    <tableColumn id="16028" xr3:uid="{158359D5-AADA-4218-9A3B-7DA244293300}" name="Column16021"/>
    <tableColumn id="16029" xr3:uid="{E837533C-597C-4BD6-A797-9700620586E1}" name="Column16022"/>
    <tableColumn id="16030" xr3:uid="{AB3DF64F-C418-4984-A775-D01545A4D8DF}" name="Column16023"/>
    <tableColumn id="16031" xr3:uid="{CB03786F-CD73-4F64-B07D-FAA270812F58}" name="Column16024"/>
    <tableColumn id="16032" xr3:uid="{A119D458-375E-482A-9849-813093A402F5}" name="Column16025"/>
    <tableColumn id="16033" xr3:uid="{E6AA91D8-7449-4635-A43C-A6909A4AF937}" name="Column16026"/>
    <tableColumn id="16034" xr3:uid="{E3770B6F-8AF1-4D47-9B77-CB9F1467D029}" name="Column16027"/>
    <tableColumn id="16035" xr3:uid="{31C8D3AD-3AA0-4A21-B4B2-9A2B01799765}" name="Column16028"/>
    <tableColumn id="16036" xr3:uid="{19EE6D0C-3E7A-40F1-A5F8-60F542847938}" name="Column16029"/>
    <tableColumn id="16037" xr3:uid="{4E0F7E00-3C1D-423B-B2D8-10A78C57D607}" name="Column16030"/>
    <tableColumn id="16038" xr3:uid="{631FFEC3-5C4C-4D20-8BFE-58204B235538}" name="Column16031"/>
    <tableColumn id="16039" xr3:uid="{3C643C90-707C-4223-A3A8-5B2FA00C9E89}" name="Column16032"/>
    <tableColumn id="16040" xr3:uid="{84FE2523-FD31-4901-BB5E-643CC6F3C65F}" name="Column16033"/>
    <tableColumn id="16041" xr3:uid="{817639A7-77AC-439A-AE7F-4F66425A3251}" name="Column16034"/>
    <tableColumn id="16042" xr3:uid="{8E856844-3CFA-4BE7-8B3D-483FA8755F81}" name="Column16035"/>
    <tableColumn id="16043" xr3:uid="{39C2AF50-C2E2-483A-9B23-77A1C50BAD06}" name="Column16036"/>
    <tableColumn id="16044" xr3:uid="{21348491-ECF4-450D-92C6-3DE55D71349F}" name="Column16037"/>
    <tableColumn id="16045" xr3:uid="{0744DA1F-290C-4611-97DC-FB21FF848620}" name="Column16038"/>
    <tableColumn id="16046" xr3:uid="{8F65E6FF-4CE3-4C86-B64D-7857C4C7586C}" name="Column16039"/>
    <tableColumn id="16047" xr3:uid="{A9E84EAE-BDF3-47EE-9E01-DF9CD04618B2}" name="Column16040"/>
    <tableColumn id="16048" xr3:uid="{13222021-767B-4C45-8716-E9ED3AA0C4A8}" name="Column16041"/>
    <tableColumn id="16049" xr3:uid="{B71BEDC4-4B31-49E3-8C86-CED772E6AEFE}" name="Column16042"/>
    <tableColumn id="16050" xr3:uid="{833D1691-0DBE-4CEF-ADC7-D713A6C5C125}" name="Column16043"/>
    <tableColumn id="16051" xr3:uid="{1454B650-62FC-45D3-AC87-02A9C4A02045}" name="Column16044"/>
    <tableColumn id="16052" xr3:uid="{9994907E-85F2-4E6C-89BD-7779551EC129}" name="Column16045"/>
    <tableColumn id="16053" xr3:uid="{5079939F-1E8B-4629-AA56-FB7AB03CEA71}" name="Column16046"/>
    <tableColumn id="16054" xr3:uid="{42E82FF6-83A4-4EA6-B754-6BEC6DA950DE}" name="Column16047"/>
    <tableColumn id="16055" xr3:uid="{FAC7746E-1165-4E51-9685-34008CF729E4}" name="Column16048"/>
    <tableColumn id="16056" xr3:uid="{D4382D1A-566C-4B70-B0F9-46A9A574395D}" name="Column16049"/>
    <tableColumn id="16057" xr3:uid="{1BED9C22-0150-4E61-A402-8FCBE5683CAF}" name="Column16050"/>
    <tableColumn id="16058" xr3:uid="{FF9E9D36-2B79-4963-AD8E-C158C521C7A9}" name="Column16051"/>
    <tableColumn id="16059" xr3:uid="{417DEDA0-8D0A-4CEF-AADF-DE1828DDD21E}" name="Column16052"/>
    <tableColumn id="16060" xr3:uid="{6C6BBF1D-CB35-4EFF-BC0F-E98209AE3A8D}" name="Column16053"/>
    <tableColumn id="16061" xr3:uid="{4B9AA38B-C572-403B-AC13-5B4C86670DAA}" name="Column16054"/>
    <tableColumn id="16062" xr3:uid="{DB1C4E78-0631-43BB-A2DC-04F9817BED02}" name="Column16055"/>
    <tableColumn id="16063" xr3:uid="{BE439EB5-50A8-4A2E-AC78-545ABB677266}" name="Column16056"/>
    <tableColumn id="16064" xr3:uid="{D75A3340-5143-43AF-ACD0-89700A1C6227}" name="Column16057"/>
    <tableColumn id="16065" xr3:uid="{BD97AFA0-F915-42D9-9D82-F73D483BEB2B}" name="Column16058"/>
    <tableColumn id="16066" xr3:uid="{0D46D893-56DA-4A24-8608-0CD67BFE3CAC}" name="Column16059"/>
    <tableColumn id="16067" xr3:uid="{E1B914FC-9D4E-49F9-8144-17E45907F2AA}" name="Column16060"/>
    <tableColumn id="16068" xr3:uid="{EBCD31CF-CCE2-484A-9A2E-266F38AE8527}" name="Column16061"/>
    <tableColumn id="16069" xr3:uid="{E622B20B-970E-4F2A-9E74-5790B9DA58B6}" name="Column16062"/>
    <tableColumn id="16070" xr3:uid="{23D78EA2-9CFD-4BEC-9C1B-3FBD7E5BBFF1}" name="Column16063"/>
    <tableColumn id="16071" xr3:uid="{A8982229-E1E3-400B-B7CC-CF1DF73C89EF}" name="Column16064"/>
    <tableColumn id="16072" xr3:uid="{646FFC8B-FA84-44A4-9F62-5B6051FB11E0}" name="Column16065"/>
    <tableColumn id="16073" xr3:uid="{99CC415D-954F-4D63-ACC6-13637132CE7F}" name="Column16066"/>
    <tableColumn id="16074" xr3:uid="{7E8EFE4F-3E65-48CA-AF1D-2B85D403A900}" name="Column16067"/>
    <tableColumn id="16075" xr3:uid="{857D8772-0514-4C63-A766-1948A0B6725B}" name="Column16068"/>
    <tableColumn id="16076" xr3:uid="{F5D7A1B7-B552-4F7A-AA77-77E00276A009}" name="Column16069"/>
    <tableColumn id="16077" xr3:uid="{D7E83F9E-F1FB-4E47-832B-DFE1F1C5FF9E}" name="Column16070"/>
    <tableColumn id="16078" xr3:uid="{2EEC4114-7C97-451F-92E2-3A848B4A269B}" name="Column16071"/>
    <tableColumn id="16079" xr3:uid="{477D33A7-88EB-4547-B862-0A21D30F9CFF}" name="Column16072"/>
    <tableColumn id="16080" xr3:uid="{5E1D3770-92DE-46CE-AF0C-EE0AC8F3BC8C}" name="Column16073"/>
    <tableColumn id="16081" xr3:uid="{6B6CC9B9-C79E-4340-B18A-55CDD0BA89E6}" name="Column16074"/>
    <tableColumn id="16082" xr3:uid="{00D783BA-2C8C-4F42-85FF-5B0FC4D727F2}" name="Column16075"/>
    <tableColumn id="16083" xr3:uid="{A29AAA3D-CFF9-4FE1-A288-B4634ACAFFE0}" name="Column16076"/>
    <tableColumn id="16084" xr3:uid="{FFF4178E-A26B-4B90-A63D-00C2C2286A0E}" name="Column16077"/>
    <tableColumn id="16085" xr3:uid="{E9034A3F-D65C-45D9-A25A-D4DC1A2695DE}" name="Column16078"/>
    <tableColumn id="16086" xr3:uid="{844B0D44-4B94-44EE-8908-C39DC89BEBD0}" name="Column16079"/>
    <tableColumn id="16087" xr3:uid="{606D7E82-D75F-42AE-8C99-1BE84850D39E}" name="Column16080"/>
    <tableColumn id="16088" xr3:uid="{C2CA60A2-B4A8-4BC8-982E-DBBD4D191D04}" name="Column16081"/>
    <tableColumn id="16089" xr3:uid="{FDCD93FA-7E28-40A7-9D45-79C3AB4D2E60}" name="Column16082"/>
    <tableColumn id="16090" xr3:uid="{7E1A0443-6657-4832-960D-0677EF726124}" name="Column16083"/>
    <tableColumn id="16091" xr3:uid="{020957BD-A526-4160-8E06-AA09C95E603E}" name="Column16084"/>
    <tableColumn id="16092" xr3:uid="{5006B0A3-08A4-491B-9D2C-CC785D376485}" name="Column16085"/>
    <tableColumn id="16093" xr3:uid="{EC8EE9F7-F181-493C-8B5A-D399571868D3}" name="Column16086"/>
    <tableColumn id="16094" xr3:uid="{E8B2DDDD-C5CF-4D52-9B3A-66509ACAC85D}" name="Column16087"/>
    <tableColumn id="16095" xr3:uid="{48B86582-8160-4D78-B950-50DAD49F48CE}" name="Column16088"/>
    <tableColumn id="16096" xr3:uid="{2D938800-6247-4E00-A554-3DBFA375E471}" name="Column16089"/>
    <tableColumn id="16097" xr3:uid="{41D4B0C7-E267-440A-92E2-449350AA7CE8}" name="Column16090"/>
    <tableColumn id="16098" xr3:uid="{9C92C897-96E1-4C2C-A894-EA17B563F9F0}" name="Column16091"/>
    <tableColumn id="16099" xr3:uid="{4433248D-30C5-4D26-A68F-3BAB1D9E93D2}" name="Column16092"/>
    <tableColumn id="16100" xr3:uid="{DD2FD1AA-3A66-489B-B709-D68EABDD0BC3}" name="Column16093"/>
    <tableColumn id="16101" xr3:uid="{CFD1CD4E-0241-4A81-8255-0E3C7CA3F601}" name="Column16094"/>
    <tableColumn id="16102" xr3:uid="{9A616F77-4559-421F-A319-CFC6214CADAE}" name="Column16095"/>
    <tableColumn id="16103" xr3:uid="{D5244F09-A551-4057-B2DB-F2A090D6E1A8}" name="Column16096"/>
    <tableColumn id="16104" xr3:uid="{857895D3-9D15-4B84-B7EC-32148DE2F11A}" name="Column16097"/>
    <tableColumn id="16105" xr3:uid="{006F8D6B-687D-456E-8B1D-0E778B371E9C}" name="Column16098"/>
    <tableColumn id="16106" xr3:uid="{B7F36AA8-B709-49E0-A1F2-C041F2479D0E}" name="Column16099"/>
    <tableColumn id="16107" xr3:uid="{EFD2F533-6269-4130-A727-86A6EBA39C0D}" name="Column16100"/>
    <tableColumn id="16108" xr3:uid="{33531A7C-0F9C-49BC-A207-FC04A5746F14}" name="Column16101"/>
    <tableColumn id="16109" xr3:uid="{BF0042F5-DD27-4C68-A648-2B710601D67D}" name="Column16102"/>
    <tableColumn id="16110" xr3:uid="{12622429-2D40-4EC9-B499-B84F4868C99B}" name="Column16103"/>
    <tableColumn id="16111" xr3:uid="{F4D44A90-3601-4C48-A56E-431AE7384801}" name="Column16104"/>
    <tableColumn id="16112" xr3:uid="{38335C99-55D1-4E3B-A141-6D1EF080CF54}" name="Column16105"/>
    <tableColumn id="16113" xr3:uid="{BEE9DD77-DBA5-449D-9D2B-E3BD6F99209E}" name="Column16106"/>
    <tableColumn id="16114" xr3:uid="{7153E547-E296-49F9-BAFD-1AD0664801CF}" name="Column16107"/>
    <tableColumn id="16115" xr3:uid="{941DCB69-4DDF-4A40-B1D7-3A9FDC068BCC}" name="Column16108"/>
    <tableColumn id="16116" xr3:uid="{14563A1F-C64E-4522-924C-BF757C46BA9B}" name="Column16109"/>
    <tableColumn id="16117" xr3:uid="{FC2C295E-75CA-4291-A736-B3B1A455B4E9}" name="Column16110"/>
    <tableColumn id="16118" xr3:uid="{4A26A958-D359-4CC1-8565-6D7E51209E1D}" name="Column16111"/>
    <tableColumn id="16119" xr3:uid="{05383C58-9C4A-4101-B950-1100A5C061DE}" name="Column16112"/>
    <tableColumn id="16120" xr3:uid="{EDBE6742-3BDD-4497-8AD9-20AE62759A5E}" name="Column16113"/>
    <tableColumn id="16121" xr3:uid="{0FC9E1D0-5315-4CF0-84C2-171FC47A7358}" name="Column16114"/>
    <tableColumn id="16122" xr3:uid="{E29C5DA8-FB6F-43DD-9A77-D6D5F9892FB2}" name="Column16115"/>
    <tableColumn id="16123" xr3:uid="{AF611D0D-CFDF-4477-B036-2FAEB3B14114}" name="Column16116"/>
    <tableColumn id="16124" xr3:uid="{D7DD0BE0-0C15-43F0-AF97-59EFE277DCF2}" name="Column16117"/>
    <tableColumn id="16125" xr3:uid="{8DFFE19D-31C2-4D09-A90E-F23447366722}" name="Column16118"/>
    <tableColumn id="16126" xr3:uid="{F22092A0-37FE-4A3F-8375-157644A6650A}" name="Column16119"/>
    <tableColumn id="16127" xr3:uid="{5EE99EBF-13D6-4371-950B-60B0A10539D4}" name="Column16120"/>
    <tableColumn id="16128" xr3:uid="{71CD9EE3-6276-4D93-AB27-5E88AFC7D4F2}" name="Column16121"/>
    <tableColumn id="16129" xr3:uid="{46B42463-B7C5-4D58-BFFE-29C236FF0720}" name="Column16122"/>
    <tableColumn id="16130" xr3:uid="{CA3246C9-0907-4887-9D30-7C715AF4606F}" name="Column16123"/>
    <tableColumn id="16131" xr3:uid="{0F9FF2D9-2189-443A-87A8-4D18CCC96BE7}" name="Column16124"/>
    <tableColumn id="16132" xr3:uid="{ECBDCB8B-7ADD-454D-BEE3-4EC1C1705A93}" name="Column16125"/>
    <tableColumn id="16133" xr3:uid="{5819CB4A-4B18-4FD0-B105-AB48DF399457}" name="Column16126"/>
    <tableColumn id="16134" xr3:uid="{84F8BFE6-5AD5-4AC4-B8CF-9FC2797A4D83}" name="Column16127"/>
    <tableColumn id="16135" xr3:uid="{70827FA3-B80B-47AD-963F-48CC810AE501}" name="Column16128"/>
    <tableColumn id="16136" xr3:uid="{049B7053-2A6E-45CB-9327-2770BF866FD5}" name="Column16129"/>
    <tableColumn id="16137" xr3:uid="{69626F02-2F87-4911-A4F3-2BCDE2D2E879}" name="Column16130"/>
    <tableColumn id="16138" xr3:uid="{E76B0C2A-6046-4420-897C-916A312E75DF}" name="Column16131"/>
    <tableColumn id="16139" xr3:uid="{5A6F9634-AFAF-4662-8012-D28EF7A07668}" name="Column16132"/>
    <tableColumn id="16140" xr3:uid="{ACFCF242-559E-43D7-85E8-133CD9E13797}" name="Column16133"/>
    <tableColumn id="16141" xr3:uid="{80DDAD4F-2737-4D41-8685-3BFA170373DB}" name="Column16134"/>
    <tableColumn id="16142" xr3:uid="{E60ED7CA-B2BE-41F9-A474-798408FE66B9}" name="Column16135"/>
    <tableColumn id="16143" xr3:uid="{E9750D61-9E2D-4576-9E43-6538DC0C1BDB}" name="Column16136"/>
    <tableColumn id="16144" xr3:uid="{EF6C05F6-B7FB-4440-BFC7-BC473C5CF4BF}" name="Column16137"/>
    <tableColumn id="16145" xr3:uid="{95831A72-36DD-4905-952A-A511DB6496DC}" name="Column16138"/>
    <tableColumn id="16146" xr3:uid="{64F496BE-4D81-47DB-A6EB-4026EFD4C634}" name="Column16139"/>
    <tableColumn id="16147" xr3:uid="{A8646F02-0FF4-4317-AF53-3CBD81ABF82E}" name="Column16140"/>
    <tableColumn id="16148" xr3:uid="{992E6448-44B2-4B19-98F7-5C2772A34A68}" name="Column16141"/>
    <tableColumn id="16149" xr3:uid="{8026A986-06E0-4303-A4AA-BC1EF749380A}" name="Column16142"/>
    <tableColumn id="16150" xr3:uid="{1AA33E70-344B-4A88-A36D-9D2EF4BC7F0A}" name="Column16143"/>
    <tableColumn id="16151" xr3:uid="{2F5C2513-210E-4813-85E0-181BCB7E8A9A}" name="Column16144"/>
    <tableColumn id="16152" xr3:uid="{C2577462-5847-4FE4-B235-6C3929054369}" name="Column16145"/>
    <tableColumn id="16153" xr3:uid="{6EA801FA-0244-402C-8E16-818C395D82AC}" name="Column16146"/>
    <tableColumn id="16154" xr3:uid="{5F8803DC-52BE-4553-B6B8-904F082D7D24}" name="Column16147"/>
    <tableColumn id="16155" xr3:uid="{E119EE76-4F95-4F14-9311-F56BB8F471F6}" name="Column16148"/>
    <tableColumn id="16156" xr3:uid="{E94A4F56-8802-4875-91AD-5B50DBB153C3}" name="Column16149"/>
    <tableColumn id="16157" xr3:uid="{7101C983-5DC9-4D53-94C0-0724F70E2A9F}" name="Column16150"/>
    <tableColumn id="16158" xr3:uid="{0CFABC22-F7E9-45CC-B53B-3A380ED5A701}" name="Column16151"/>
    <tableColumn id="16159" xr3:uid="{4DE055C5-C164-498D-9699-1D4E3E10EEC9}" name="Column16152"/>
    <tableColumn id="16160" xr3:uid="{90FBABAC-45EE-493B-A545-3D4FBC11A8AA}" name="Column16153"/>
    <tableColumn id="16161" xr3:uid="{29EA6CC1-A68D-473F-BCC1-BA19D593C20B}" name="Column16154"/>
    <tableColumn id="16162" xr3:uid="{A27CCA5D-49F2-4254-B1BA-2B18A106FD69}" name="Column16155"/>
    <tableColumn id="16163" xr3:uid="{A03EE810-63A0-4517-ABF8-6E330E278946}" name="Column16156"/>
    <tableColumn id="16164" xr3:uid="{AAFFB1C7-890F-4ABD-9F53-808816D8C453}" name="Column16157"/>
    <tableColumn id="16165" xr3:uid="{6FEC9BAF-BA7F-434B-BB4A-B3A022FE7A35}" name="Column16158"/>
    <tableColumn id="16166" xr3:uid="{478BD484-AD7D-4C60-A61B-979AD45B703F}" name="Column16159"/>
    <tableColumn id="16167" xr3:uid="{E4E3D4D9-E4F1-476F-A67E-772333AEA581}" name="Column16160"/>
    <tableColumn id="16168" xr3:uid="{E5C90227-1F15-44B4-8E6C-A4114AA13DD6}" name="Column16161"/>
    <tableColumn id="16169" xr3:uid="{7B93C7DC-BABE-4CB1-8810-9B45A3C16154}" name="Column16162"/>
    <tableColumn id="16170" xr3:uid="{37930286-FF55-411C-B3C7-CD16E1BB36EC}" name="Column16163"/>
    <tableColumn id="16171" xr3:uid="{7B090CF5-4BE8-425E-AA52-5853D2BFD85A}" name="Column16164"/>
    <tableColumn id="16172" xr3:uid="{02C484D8-F75D-48D0-AC40-4386831B463B}" name="Column16165"/>
    <tableColumn id="16173" xr3:uid="{508CB275-6B43-4C0D-B3FE-C5AE7F1FFA5B}" name="Column16166"/>
    <tableColumn id="16174" xr3:uid="{E1B69DDB-7F2B-4130-AAF4-5049AFFEEE84}" name="Column16167"/>
    <tableColumn id="16175" xr3:uid="{5634D411-B48C-4A48-B69E-DE233ACDB8D1}" name="Column16168"/>
    <tableColumn id="16176" xr3:uid="{6CE05CBF-1513-477D-9D51-0C3101819E13}" name="Column16169"/>
    <tableColumn id="16177" xr3:uid="{614DA56C-6B75-48F6-B836-584809E2DF65}" name="Column16170"/>
    <tableColumn id="16178" xr3:uid="{59B0DE16-102F-41F9-ADE5-495F4681C492}" name="Column16171"/>
    <tableColumn id="16179" xr3:uid="{2147F33F-9C95-4A6C-BCDA-AE187F11C1F0}" name="Column16172"/>
    <tableColumn id="16180" xr3:uid="{FCDDC56B-3B62-46E3-AD9A-DA26ED1E6852}" name="Column16173"/>
    <tableColumn id="16181" xr3:uid="{AAA1FC45-846A-4241-89BD-CF48E57948F6}" name="Column16174"/>
    <tableColumn id="16182" xr3:uid="{3D39DF70-5C85-4F57-AD15-8FDEC09F8880}" name="Column16175"/>
    <tableColumn id="16183" xr3:uid="{9B11C9D7-A711-4FA5-A899-C9694A0C8438}" name="Column16176"/>
    <tableColumn id="16184" xr3:uid="{582B0A8F-DE9B-468C-A98E-5321D82E12B7}" name="Column16177"/>
    <tableColumn id="16185" xr3:uid="{EF914BC8-DE7D-4367-A8AF-75A57563564F}" name="Column16178"/>
    <tableColumn id="16186" xr3:uid="{3AB0885C-11B4-476B-B07C-884894DDE6C2}" name="Column16179"/>
    <tableColumn id="16187" xr3:uid="{9028E1D0-4EB9-4099-9AD6-18DADEC1C403}" name="Column16180"/>
    <tableColumn id="16188" xr3:uid="{B6EC5C75-BFF0-459F-AE47-CCF8939FDC62}" name="Column16181"/>
    <tableColumn id="16189" xr3:uid="{A2E1FF53-EDDF-4F3C-9B84-861DD2F14C73}" name="Column16182"/>
    <tableColumn id="16190" xr3:uid="{712AF6B9-E89C-4A2A-885E-A0840C493487}" name="Column16183"/>
    <tableColumn id="16191" xr3:uid="{9AA18975-4CE5-48E1-B43C-A2D74D28A034}" name="Column16184"/>
    <tableColumn id="16192" xr3:uid="{135F3B9F-39FE-45F8-A333-A4D79A41A9B7}" name="Column16185"/>
    <tableColumn id="16193" xr3:uid="{6109DD1F-BB92-4A9D-B2AC-66ADC7BF2365}" name="Column16186"/>
    <tableColumn id="16194" xr3:uid="{791E1063-4E6A-4314-942B-D66AF22D50EC}" name="Column16187"/>
    <tableColumn id="16195" xr3:uid="{2D9B115E-F176-41F0-AD85-0DCED1BFAA67}" name="Column16188"/>
    <tableColumn id="16196" xr3:uid="{03E27788-A8DA-43D0-88E7-A415648CC2B8}" name="Column16189"/>
    <tableColumn id="16197" xr3:uid="{CD9F3797-DBCF-43DD-9A38-9D95C5C96149}" name="Column16190"/>
    <tableColumn id="16198" xr3:uid="{F5183A19-19BB-4B5F-9737-3C7313565E1E}" name="Column16191"/>
    <tableColumn id="16199" xr3:uid="{76778F7E-6644-48BA-AB62-41479C0844E6}" name="Column16192"/>
    <tableColumn id="16200" xr3:uid="{2A00A6C2-B3D2-42E5-8777-7244E71621BA}" name="Column16193"/>
    <tableColumn id="16201" xr3:uid="{9FB6B563-F05C-4AD4-BB1E-BF1C68BD089D}" name="Column16194"/>
    <tableColumn id="16202" xr3:uid="{79D8B03F-3272-47EC-8A31-C46EFB114D1C}" name="Column16195"/>
    <tableColumn id="16203" xr3:uid="{3A5578A5-A13D-4DD5-B9A1-B5D44E1FC213}" name="Column16196"/>
    <tableColumn id="16204" xr3:uid="{7C3917D5-38A8-4AC0-B5AB-071BE2E54355}" name="Column16197"/>
    <tableColumn id="16205" xr3:uid="{F25A1D60-13FB-45CB-A45C-9E9B8AC63178}" name="Column16198"/>
    <tableColumn id="16206" xr3:uid="{B5EC3400-1699-4E68-818F-C1ABFD5A0C44}" name="Column16199"/>
    <tableColumn id="16207" xr3:uid="{BFB2188D-CCF7-4B37-A6BF-FC44CE01B6CB}" name="Column16200"/>
    <tableColumn id="16208" xr3:uid="{5262120B-110E-4B0C-BF9B-55A7C189F613}" name="Column16201"/>
    <tableColumn id="16209" xr3:uid="{2EFF9BE2-7AAC-4FCF-8101-F8AE9C45BC6C}" name="Column16202"/>
    <tableColumn id="16210" xr3:uid="{A2DD469C-BD08-4022-9305-A2A70684CAED}" name="Column16203"/>
    <tableColumn id="16211" xr3:uid="{5FFEB02D-E745-4795-87CF-7CD97C161494}" name="Column16204"/>
    <tableColumn id="16212" xr3:uid="{B4531972-BB94-461A-9F49-09840C8EE39D}" name="Column16205"/>
    <tableColumn id="16213" xr3:uid="{32DFDB3F-3F21-4802-A2F3-DEB9F9650C14}" name="Column16206"/>
    <tableColumn id="16214" xr3:uid="{1ED69FAE-6EFC-47B6-8045-307DAF7C91A0}" name="Column16207"/>
    <tableColumn id="16215" xr3:uid="{BD004416-270A-4AC6-80F1-23291952C84B}" name="Column16208"/>
    <tableColumn id="16216" xr3:uid="{B6582331-AC59-438B-975E-04E6DBA04F5A}" name="Column16209"/>
    <tableColumn id="16217" xr3:uid="{E6DA0BE3-75AE-43DF-9FFE-B983C09BDDBD}" name="Column16210"/>
    <tableColumn id="16218" xr3:uid="{D98CF7B3-6A97-41F1-BD8A-35765E5F4510}" name="Column16211"/>
    <tableColumn id="16219" xr3:uid="{DB3CE3D5-2BAE-42D5-B391-C5C407391F94}" name="Column16212"/>
    <tableColumn id="16220" xr3:uid="{061689D5-BFE7-42C8-A4C1-A008DE81AC73}" name="Column16213"/>
    <tableColumn id="16221" xr3:uid="{6FFBECDE-DC3E-42D8-BB4B-CFDB6383D120}" name="Column16214"/>
    <tableColumn id="16222" xr3:uid="{CF998397-D522-47C2-9941-1370CBA19E5A}" name="Column16215"/>
    <tableColumn id="16223" xr3:uid="{F0F5F7FA-4D6F-4D5D-A362-3BBB603437D2}" name="Column16216"/>
    <tableColumn id="16224" xr3:uid="{6B1B5D31-FF54-4B85-9628-EEDD7F5CC9CA}" name="Column16217"/>
    <tableColumn id="16225" xr3:uid="{5C84C850-8086-41B8-BEBA-5390FCE930EE}" name="Column16218"/>
    <tableColumn id="16226" xr3:uid="{46DE8DB5-B4ED-4758-9422-60C88C469A73}" name="Column16219"/>
    <tableColumn id="16227" xr3:uid="{D708BED4-8004-48BC-9540-7FFD65EE7B75}" name="Column16220"/>
    <tableColumn id="16228" xr3:uid="{F009E0F0-A72F-401F-BE95-45A2B0A8BD13}" name="Column16221"/>
    <tableColumn id="16229" xr3:uid="{3541BC37-B4B6-4C11-AAC7-8504279C07D6}" name="Column16222"/>
    <tableColumn id="16230" xr3:uid="{1CF86914-36D6-4725-9684-59FE2B47DAA8}" name="Column16223"/>
    <tableColumn id="16231" xr3:uid="{33C4C406-DA82-4487-97FF-DABC1B10B9C1}" name="Column16224"/>
    <tableColumn id="16232" xr3:uid="{BEF297AB-B415-43AD-BE8C-F2F661DAB21A}" name="Column16225"/>
    <tableColumn id="16233" xr3:uid="{1D252876-3D15-498D-92B8-BC3FADDE67B2}" name="Column16226"/>
    <tableColumn id="16234" xr3:uid="{82CCEBCF-7F32-42F4-85CD-EB8CA2BDFC5C}" name="Column16227"/>
    <tableColumn id="16235" xr3:uid="{780B3EBF-D84E-458D-8FBC-9F2A25851EDF}" name="Column16228"/>
    <tableColumn id="16236" xr3:uid="{5CFD9B7D-0742-4262-AADE-04193FBBF985}" name="Column16229"/>
    <tableColumn id="16237" xr3:uid="{EB61E0CD-5E7E-4BEE-ADA3-EBEC997B340F}" name="Column16230"/>
    <tableColumn id="16238" xr3:uid="{34E39865-F925-4F5B-B989-A0586BD31CE9}" name="Column16231"/>
    <tableColumn id="16239" xr3:uid="{D3D20B8A-A3DE-4D56-A5C8-57012D3DDC1A}" name="Column16232"/>
    <tableColumn id="16240" xr3:uid="{168CDB46-CC9A-4E6F-8746-E32A272476AE}" name="Column16233"/>
    <tableColumn id="16241" xr3:uid="{79F3EF16-417D-4317-8553-A3842EA4A2E8}" name="Column16234"/>
    <tableColumn id="16242" xr3:uid="{969D6A0D-2574-4A0D-971F-B64123E91FB2}" name="Column16235"/>
    <tableColumn id="16243" xr3:uid="{5566F48D-2B5F-47BC-BB4A-2EEE82901C22}" name="Column16236"/>
    <tableColumn id="16244" xr3:uid="{AC89289B-6DB6-4B9D-9763-372E41F0BDA8}" name="Column16237"/>
    <tableColumn id="16245" xr3:uid="{B5BC596F-F53E-433F-9673-7519B4C00A79}" name="Column16238"/>
    <tableColumn id="16246" xr3:uid="{28A22CE4-2284-4642-BD36-11E0FE677084}" name="Column16239"/>
    <tableColumn id="16247" xr3:uid="{20351CB4-A8E8-4FDC-A24D-A30A8B119613}" name="Column16240"/>
    <tableColumn id="16248" xr3:uid="{6E917737-E918-4FAD-AF52-2AC43171AD98}" name="Column16241"/>
    <tableColumn id="16249" xr3:uid="{0937C87D-B9C9-4686-AE78-4779A734C849}" name="Column16242"/>
    <tableColumn id="16250" xr3:uid="{8F4E477B-94F9-45FD-9F3C-CE5ECE7BE111}" name="Column16243"/>
    <tableColumn id="16251" xr3:uid="{6FCED7EA-08BE-4EF8-B6AB-44ACB570C89C}" name="Column16244"/>
    <tableColumn id="16252" xr3:uid="{E7F7CEF2-5087-43FC-97F1-87D6A3ADAB82}" name="Column16245"/>
    <tableColumn id="16253" xr3:uid="{7B9791DB-D01F-4049-9A53-A608CA2B7C67}" name="Column16246"/>
    <tableColumn id="16254" xr3:uid="{A820797B-E774-4C34-8F20-50D9DF175023}" name="Column16247"/>
    <tableColumn id="16255" xr3:uid="{38A90145-EE8B-422E-AF1D-311C80D19B96}" name="Column16248"/>
    <tableColumn id="16256" xr3:uid="{AD8EA1FF-E6EB-487A-89F7-F178D3061154}" name="Column16249"/>
    <tableColumn id="16257" xr3:uid="{CAEF95A9-AB88-48C5-AE14-A4EA8F9B3BDA}" name="Column16250"/>
    <tableColumn id="16258" xr3:uid="{EBEDF2B8-F3D8-48CB-BB70-8363EA9541D1}" name="Column16251"/>
    <tableColumn id="16259" xr3:uid="{5B38211A-9396-4E90-A939-A9B926627819}" name="Column16252"/>
    <tableColumn id="16260" xr3:uid="{27F7CA59-348C-4C39-B032-7DE4D1AE247B}" name="Column16253"/>
    <tableColumn id="16261" xr3:uid="{C1D222E6-3EEA-45FA-A0F1-0EE150C35F79}" name="Column16254"/>
    <tableColumn id="16262" xr3:uid="{835689A2-C9F6-4222-8FBE-37DEC242D65F}" name="Column16255"/>
    <tableColumn id="16263" xr3:uid="{670CF667-E9CF-47CE-AE6C-C24DA0177751}" name="Column16256"/>
    <tableColumn id="16264" xr3:uid="{1861F23A-65B2-43CF-B737-19AD4210D4E6}" name="Column16257"/>
    <tableColumn id="16265" xr3:uid="{11825222-AE97-4E02-A719-D3164BE74189}" name="Column16258"/>
    <tableColumn id="16266" xr3:uid="{BC17DCDF-A4B1-4295-B473-6A40AD105E3C}" name="Column16259"/>
    <tableColumn id="16267" xr3:uid="{0E310497-5C3E-402C-BCA1-7377AF77424E}" name="Column16260"/>
    <tableColumn id="16268" xr3:uid="{B7991802-FD4F-4A14-848E-2B96AB4CF199}" name="Column16261"/>
    <tableColumn id="16269" xr3:uid="{3CE01579-1582-4A13-B181-87EB650C7D83}" name="Column16262"/>
    <tableColumn id="16270" xr3:uid="{B06128CB-E8F3-4F95-A24D-5799E61ABFD2}" name="Column16263"/>
    <tableColumn id="16271" xr3:uid="{3566088E-8069-4032-AFD4-713C2E4471E0}" name="Column16264"/>
    <tableColumn id="16272" xr3:uid="{AF3D7F67-25CD-4CB8-A6CF-B1EBC86AA293}" name="Column16265"/>
    <tableColumn id="16273" xr3:uid="{DD0CFD65-48C3-4A41-8279-92CDED729930}" name="Column16266"/>
    <tableColumn id="16274" xr3:uid="{91766143-AD6E-4152-9BD7-49558F1E4827}" name="Column16267"/>
    <tableColumn id="16275" xr3:uid="{13F166AA-35AB-4E21-966C-3D2BA88E5077}" name="Column16268"/>
    <tableColumn id="16276" xr3:uid="{0EE46A64-EEB6-4D50-A051-F74523A48164}" name="Column16269"/>
    <tableColumn id="16277" xr3:uid="{C2300DA8-AD5B-4D72-9494-6190CE6F34BF}" name="Column16270"/>
    <tableColumn id="16278" xr3:uid="{4EB81D18-264A-4EAF-96E0-E8BC413C5B0E}" name="Column16271"/>
    <tableColumn id="16279" xr3:uid="{64137A27-838F-4D8C-9458-7D31D1DA4F1C}" name="Column16272"/>
    <tableColumn id="16280" xr3:uid="{37C592FC-F8F4-426E-AC17-C0FA020E5B0F}" name="Column16273"/>
    <tableColumn id="16281" xr3:uid="{00E3EE42-99A7-4D49-9415-C9927932A06E}" name="Column16274"/>
    <tableColumn id="16282" xr3:uid="{C87F9C0B-A81E-46A1-BEAF-C67246A29E34}" name="Column16275"/>
    <tableColumn id="16283" xr3:uid="{6101E54C-5B14-48AE-BE64-0CC63609E7EB}" name="Column16276"/>
    <tableColumn id="16284" xr3:uid="{2B357A62-659F-4309-8692-62247E54B08C}" name="Column16277"/>
    <tableColumn id="16285" xr3:uid="{251E6A57-680F-403A-B449-40C79CDDB4DC}" name="Column16278"/>
    <tableColumn id="16286" xr3:uid="{1DAF5548-A8B4-48E4-AED5-46F3D3FB780A}" name="Column16279"/>
    <tableColumn id="16287" xr3:uid="{27AD0362-D60B-4762-A4C1-6892589DB818}" name="Column16280"/>
    <tableColumn id="16288" xr3:uid="{77125613-A6F2-42E7-A026-4E7FA6B31848}" name="Column16281"/>
    <tableColumn id="16289" xr3:uid="{3D1CACFE-7751-493F-9295-F1F0F2D81740}" name="Column16282"/>
    <tableColumn id="16290" xr3:uid="{7B442C64-742A-4944-AC18-12C52A897E09}" name="Column16283"/>
    <tableColumn id="16291" xr3:uid="{634837E8-148D-4766-AF11-7AEB8E507B92}" name="Column16284"/>
    <tableColumn id="16292" xr3:uid="{85AF7512-6581-419C-BB56-6BA687700C77}" name="Column16285"/>
    <tableColumn id="16293" xr3:uid="{A9B3464B-6420-45C0-8DE8-8514BA7A323F}" name="Column16286"/>
    <tableColumn id="16294" xr3:uid="{AEBBDAAE-F080-4167-8F58-4E5FFFA6063A}" name="Column16287"/>
    <tableColumn id="16295" xr3:uid="{24C08B76-21B1-4BF3-BD63-98FA900E9EF0}" name="Column16288"/>
    <tableColumn id="16296" xr3:uid="{CE5A6761-71D0-4DD6-B2B7-C4634A494570}" name="Column16289"/>
    <tableColumn id="16297" xr3:uid="{E26FD8AE-3ED0-421C-A887-4F4A86EC7272}" name="Column16290"/>
    <tableColumn id="16298" xr3:uid="{2BAE1CA6-C910-4B1F-8DCB-646837EDDAD0}" name="Column16291"/>
    <tableColumn id="16299" xr3:uid="{4570F28C-CD90-47AB-BDB9-014B9DAC9326}" name="Column16292"/>
    <tableColumn id="16300" xr3:uid="{29E2C600-BACD-45BD-B120-71EA45EFC074}" name="Column16293"/>
    <tableColumn id="16301" xr3:uid="{9FBC6002-8162-4F37-BFE3-831DFFA75F10}" name="Column16294"/>
    <tableColumn id="16302" xr3:uid="{8B594188-C721-4966-9F64-5069AB0B8637}" name="Column16295"/>
    <tableColumn id="16303" xr3:uid="{5EDC2CE6-A0CF-4772-B613-2E38CD6E626E}" name="Column16296"/>
    <tableColumn id="16304" xr3:uid="{6D2A5736-D0CE-41CC-9D33-26382D906D57}" name="Column16297"/>
    <tableColumn id="16305" xr3:uid="{C843B726-A277-4B3B-B0C3-6054D4CF7C49}" name="Column16298"/>
    <tableColumn id="16306" xr3:uid="{B2897B79-7363-46D0-95D0-4C60890AF611}" name="Column16299"/>
    <tableColumn id="16307" xr3:uid="{8260FCA3-B223-4AA7-BF66-58BAFE9594CE}" name="Column16300"/>
    <tableColumn id="16308" xr3:uid="{08798999-3114-4B7B-8706-446F2D243E42}" name="Column16301"/>
    <tableColumn id="16309" xr3:uid="{0F732724-5162-401A-A7CB-76A58CF32964}" name="Column16302"/>
    <tableColumn id="16310" xr3:uid="{92525217-51A4-426A-9A66-5D2D57C2541D}" name="Column16303"/>
    <tableColumn id="16311" xr3:uid="{2D460698-9DE3-42E0-A703-E834D537D21E}" name="Column16304"/>
    <tableColumn id="16312" xr3:uid="{7990C225-2A6D-4A42-A6F2-225C27380C75}" name="Column16305"/>
    <tableColumn id="16313" xr3:uid="{2B5090D6-BD24-435A-B1DC-E41F181D6DA0}" name="Column16306"/>
    <tableColumn id="16314" xr3:uid="{6A95A034-3108-4CC5-8100-BE6C4E9941AE}" name="Column16307"/>
    <tableColumn id="16315" xr3:uid="{41C694C1-6318-4CDC-8249-45706D5C2F04}" name="Column16308"/>
    <tableColumn id="16316" xr3:uid="{3E8CEB08-5AE6-4EBD-8A60-BA7A2BEAAA73}" name="Column16309"/>
    <tableColumn id="16317" xr3:uid="{C1F9B9EE-3678-465E-8929-47C96A5009F5}" name="Column16310"/>
    <tableColumn id="16318" xr3:uid="{34C24380-AA67-4850-8246-7863B6DCC782}" name="Column16311"/>
    <tableColumn id="16319" xr3:uid="{EF77A33D-D3AC-442F-BEE1-8BE507CDB141}" name="Column16312"/>
    <tableColumn id="16320" xr3:uid="{6E2EA527-0A56-4E49-A4E7-8298493FC556}" name="Column16313"/>
    <tableColumn id="16321" xr3:uid="{7EF86D32-8858-44B3-BE1A-49AC08E3C4F0}" name="Column16314"/>
    <tableColumn id="16322" xr3:uid="{47370FE0-8766-4595-9119-E39F1DF2296F}" name="Column16315"/>
    <tableColumn id="16323" xr3:uid="{6DC6A070-0E99-451A-B64A-46C690428D1B}" name="Column16316"/>
    <tableColumn id="16324" xr3:uid="{B4E7AE10-B74B-4B9A-A164-99135AD4F989}" name="Column16317"/>
    <tableColumn id="16325" xr3:uid="{A9B9C79E-0FE8-4DC0-A097-C1EB19B027B3}" name="Column16318"/>
    <tableColumn id="16326" xr3:uid="{0CFA8681-F7DB-4D49-BD2A-37B7E04357FC}" name="Column16319"/>
    <tableColumn id="16327" xr3:uid="{41577D55-38C9-4E3A-B4B0-CD7E5464760F}" name="Column16320"/>
    <tableColumn id="16328" xr3:uid="{002BD9EC-817D-410A-B574-8281B893153C}" name="Column16321"/>
    <tableColumn id="16329" xr3:uid="{CA47CE6B-1414-4954-AD7C-97D37D9C814E}" name="Column16322"/>
    <tableColumn id="16330" xr3:uid="{7ECCF6E5-94B4-4746-B09B-67B95A7148B4}" name="Column16323"/>
    <tableColumn id="16331" xr3:uid="{97942FDC-BF33-4E7B-BA4B-F27D783514FB}" name="Column16324"/>
    <tableColumn id="16332" xr3:uid="{E4BC5441-DC8E-40FB-8FF3-77AC1FDEE987}" name="Column16325"/>
    <tableColumn id="16333" xr3:uid="{390F4141-9A23-472D-B8BC-65A42F24A9A3}" name="Column16326"/>
    <tableColumn id="16334" xr3:uid="{79DCEA61-2CD3-456B-B7FC-3985F5910E3B}" name="Column16327"/>
    <tableColumn id="16335" xr3:uid="{473B63EC-2314-4467-B8EB-61672A2B5DFE}" name="Column16328"/>
    <tableColumn id="16336" xr3:uid="{19E4CCFE-8FC8-4B0C-A1C7-ED149CA6049B}" name="Column16329"/>
    <tableColumn id="16337" xr3:uid="{D71EF9CC-62A8-42C7-8C44-BABC053426E9}" name="Column16330"/>
    <tableColumn id="16338" xr3:uid="{7BDC5BAE-8A97-4722-A112-6C598E77983E}" name="Column16331"/>
    <tableColumn id="16339" xr3:uid="{CFF85153-E23F-45EC-BEDA-83257306A3A1}" name="Column16332"/>
    <tableColumn id="16340" xr3:uid="{BD1BAF3A-3F46-430D-96DE-6C247CDC3989}" name="Column16333"/>
    <tableColumn id="16341" xr3:uid="{04776CF9-B554-4FF7-B03E-528B8D77A269}" name="Column16334"/>
    <tableColumn id="16342" xr3:uid="{F89B8B8E-98C9-4282-BB67-CDB8C20F33CF}" name="Column16335"/>
    <tableColumn id="16343" xr3:uid="{E76B74A8-3382-4AAF-A64F-0D3EAFA435F8}" name="Column16336"/>
    <tableColumn id="16344" xr3:uid="{19DBCEA4-32EB-4A1C-84E1-7DD1378BD979}" name="Column16337"/>
    <tableColumn id="16345" xr3:uid="{0AB48771-9BEC-469F-BC38-3621DF4C3CD2}" name="Column16338"/>
    <tableColumn id="16346" xr3:uid="{824E3BB2-C9D4-4499-BE8D-DE21380DC0A5}" name="Column16339"/>
    <tableColumn id="16347" xr3:uid="{7E143CB9-8AAD-44AA-A697-B10119711763}" name="Column16340"/>
    <tableColumn id="16348" xr3:uid="{7B1FA283-C472-4A05-B524-2D423E4AFC37}" name="Column16341"/>
    <tableColumn id="16349" xr3:uid="{5D224BDD-2892-40BB-8271-482757AE3E56}" name="Column16342"/>
    <tableColumn id="16350" xr3:uid="{64F80E54-F0E1-4A58-AF8E-CE84BE94159F}" name="Column16343"/>
    <tableColumn id="16351" xr3:uid="{66EDDBBB-3172-463D-8477-D2745125F0E0}" name="Column16344"/>
    <tableColumn id="16352" xr3:uid="{06AB6EE2-AC27-4FEE-B629-C96778F991AB}" name="Column16345"/>
    <tableColumn id="16353" xr3:uid="{CC6F7F57-6D7D-4BB7-9352-417E49915EDE}" name="Column16346"/>
    <tableColumn id="16354" xr3:uid="{0F51BAFE-B3B8-4B85-A35D-E42865BFFE32}" name="Column16347"/>
    <tableColumn id="16355" xr3:uid="{BB8F9233-3C62-44C2-BAF3-D528A43DAF66}" name="Column16348"/>
    <tableColumn id="16356" xr3:uid="{9C57C05E-EC02-4F92-A661-0040887CCFDF}" name="Column16349"/>
    <tableColumn id="16357" xr3:uid="{C3056F8E-F159-40C6-B34F-5A001B5FB90D}" name="Column16350"/>
    <tableColumn id="16358" xr3:uid="{D85D678C-9EB5-44F9-8E90-72AF3F7BBEEC}" name="Column16351"/>
    <tableColumn id="16359" xr3:uid="{0A5D4003-BA97-4542-BDCD-3BB3C5782F62}" name="Column16352"/>
    <tableColumn id="16360" xr3:uid="{5161AF70-2E5E-4B16-9C40-0039FF7DA6BF}" name="Column16353"/>
    <tableColumn id="16361" xr3:uid="{D6DF6980-3606-4FC0-A3B1-13A4EEBEC3BA}" name="Column16354"/>
    <tableColumn id="16362" xr3:uid="{BF1A68CD-B6D2-4407-9AEF-99ED0A36DAE1}" name="Column16355"/>
    <tableColumn id="16363" xr3:uid="{82F65296-CD5D-44EB-B3B4-812EB144DD52}" name="Column16356"/>
    <tableColumn id="16364" xr3:uid="{EBDBEBD9-BF24-4A9E-B2E5-B9EE8123C2C1}" name="Column16357"/>
    <tableColumn id="16365" xr3:uid="{EA488CEC-3B41-46B8-93CD-56EE70C00A6E}" name="Column16358"/>
    <tableColumn id="16366" xr3:uid="{BCD226F2-C2FF-4BFB-8AD1-758ED70B0569}" name="Column16359"/>
    <tableColumn id="16367" xr3:uid="{31D27800-3CD0-4938-94C8-66F9E434E295}" name="Column16360"/>
    <tableColumn id="16368" xr3:uid="{C7627662-4707-4C3C-8AAA-1AD21B6A4AF9}" name="Column16361"/>
    <tableColumn id="16369" xr3:uid="{8908559E-DCE7-4CF7-BC89-F4D52E3CBD51}" name="Column16362"/>
    <tableColumn id="16370" xr3:uid="{AED5FE5C-7E2C-442A-85DB-0F7D45E75C4B}" name="Column16363"/>
    <tableColumn id="16371" xr3:uid="{7486AAF3-BB7F-4656-98C1-3785975594CC}" name="Column16364"/>
    <tableColumn id="16372" xr3:uid="{2FDF246F-D2FD-4CDB-80FE-104113F47C18}" name="Column16365"/>
    <tableColumn id="16373" xr3:uid="{780ECB07-C337-4787-A13B-26BF406AF54B}" name="Column16366"/>
    <tableColumn id="16374" xr3:uid="{466EC631-683B-4E52-B4AB-2D02FF8117BB}" name="Column16367"/>
    <tableColumn id="16375" xr3:uid="{F79D73BF-ED03-43F3-AFEA-95EEE42D4C9F}" name="Column16368"/>
    <tableColumn id="16376" xr3:uid="{0D5A7B33-FDA8-44EB-9BA5-7ACABE393AAB}" name="Column16369"/>
    <tableColumn id="16377" xr3:uid="{26BC0E4F-B70F-46C5-99EE-3E1221CB98D4}" name="Column16370"/>
    <tableColumn id="16378" xr3:uid="{F0657892-573F-41A3-A206-8AB68E9D378F}" name="Column16371"/>
    <tableColumn id="16379" xr3:uid="{4B0B0C58-3BFC-4437-B847-F383708F4206}" name="Column16372"/>
    <tableColumn id="16380" xr3:uid="{FF39B581-E236-4F36-8025-A171B10CD0B2}" name="Column16373"/>
    <tableColumn id="16381" xr3:uid="{4E530D74-78E8-455C-B2BF-1BC7447559FF}" name="Column16374"/>
    <tableColumn id="16382" xr3:uid="{C830514D-4F50-45D5-91DD-6F534E4D30C8}" name="Column16375"/>
    <tableColumn id="16383" xr3:uid="{A396E0DB-533A-45DC-B3EF-890DC0EFE896}" name="Column16376"/>
    <tableColumn id="16384" xr3:uid="{C8BD91DE-B8F3-47F4-82ED-0296F833A7E7}" name="Column16377"/>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60CC6-5B2D-4B28-95EE-88EAE701AEC0}" name="Cleaned_Data" displayName="Cleaned_Data" ref="A1:K295" tableType="queryTable" totalsRowShown="0">
  <autoFilter ref="A1:K295" xr:uid="{73660CC6-5B2D-4B28-95EE-88EAE701AEC0}"/>
  <tableColumns count="11">
    <tableColumn id="1" xr3:uid="{6AB6F981-793F-467C-8090-147E00FDBCE9}" uniqueName="1" name="Coin Name" queryTableFieldId="1" dataDxfId="5"/>
    <tableColumn id="2" xr3:uid="{C2929E4D-AEAD-4857-A29A-B726D51F4954}" uniqueName="2" name="Symbol" queryTableFieldId="2" dataDxfId="4"/>
    <tableColumn id="3" xr3:uid="{763E0C87-4E1B-482A-9EFA-077A9C42DE81}" uniqueName="3" name="Price (USD)" queryTableFieldId="3"/>
    <tableColumn id="4" xr3:uid="{F6258BDF-8490-4A13-9573-86C53BFA40C7}" uniqueName="4" name="1h Change (%)" queryTableFieldId="4"/>
    <tableColumn id="5" xr3:uid="{DA8DA483-3DCF-4564-96CB-7825EAD829E0}" uniqueName="5" name="Market Cap" queryTableFieldId="5"/>
    <tableColumn id="6" xr3:uid="{B729FFEA-0F1B-44AD-B36A-45A7C45EEFFB}" uniqueName="6" name="Volume (24h) USD" queryTableFieldId="6"/>
    <tableColumn id="7" xr3:uid="{13C62F4D-34D4-4E96-869A-27624429F6D8}" uniqueName="7" name="Circulating Supply" queryTableFieldId="7" dataDxfId="3"/>
    <tableColumn id="8" xr3:uid="{F456AF53-B9F1-40A5-9221-A82803D7BC58}" uniqueName="8" name="Circulating_Supply($)" queryTableFieldId="8"/>
    <tableColumn id="9" xr3:uid="{767979EE-E2E2-47C7-8158-7BD18488BEFF}" uniqueName="9" name="Dollar  Value per Supply" queryTableFieldId="9" dataDxfId="2">
      <calculatedColumnFormula>Cleaned_Data[[#This Row],[Volume (24h) USD]]/Cleaned_Data[[#This Row],[Circulating_Supply($)]]</calculatedColumnFormula>
    </tableColumn>
    <tableColumn id="10" xr3:uid="{15CC96B3-A5EE-4719-9BD2-7DDE89561690}" uniqueName="10" name="Rank" queryTableFieldId="10" dataDxfId="1">
      <calculatedColumnFormula>RANK(Cleaned_Data[[#This Row],[Market Cap]],Cleaned_Data[Market Cap],0)</calculatedColumnFormula>
    </tableColumn>
    <tableColumn id="11" xr3:uid="{704A78BB-7450-47E1-BA16-AD6254EC70D9}" uniqueName="11" name="Price Range" queryTableFieldId="11" dataDxfId="0">
      <calculatedColumnFormula>IF(C2&lt;=0.5,"0-0.5",
IF(C2&lt;=1,"0.5-1",
IF(C2&lt;=2,"1-2",
IF(C2&lt;=10,"2-10",
IF(C2&lt;=100,"10-100",
IF(C2&lt;=10000,"100-10000",
"10000+"))))))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01"/>
  <sheetViews>
    <sheetView workbookViewId="0">
      <pane ySplit="1" topLeftCell="A2" activePane="bottomLeft" state="frozen"/>
      <selection pane="bottomLeft" activeCell="H1" sqref="H1"/>
    </sheetView>
  </sheetViews>
  <sheetFormatPr defaultRowHeight="14.4" x14ac:dyDescent="0.3"/>
  <cols>
    <col min="1" max="1" width="49.77734375" bestFit="1" customWidth="1"/>
    <col min="2" max="2" width="10.77734375" bestFit="1" customWidth="1"/>
    <col min="3" max="3" width="12.33203125" customWidth="1"/>
    <col min="4" max="4" width="15" customWidth="1"/>
    <col min="5" max="5" width="16.88671875" bestFit="1" customWidth="1"/>
    <col min="6" max="6" width="18.33203125" customWidth="1"/>
    <col min="7" max="7" width="18" customWidth="1"/>
    <col min="8" max="16" width="10.44140625" customWidth="1"/>
    <col min="17" max="106" width="11.44140625" customWidth="1"/>
    <col min="107" max="1006" width="12.44140625" customWidth="1"/>
    <col min="1007" max="10006" width="13.44140625" customWidth="1"/>
    <col min="10007" max="16384" width="14.44140625" customWidth="1"/>
  </cols>
  <sheetData>
    <row r="1" spans="1:16384" x14ac:dyDescent="0.3">
      <c r="A1" s="1" t="s">
        <v>0</v>
      </c>
      <c r="B1" s="1" t="s">
        <v>1</v>
      </c>
      <c r="C1" s="1" t="s">
        <v>2</v>
      </c>
      <c r="D1" s="1" t="s">
        <v>3</v>
      </c>
      <c r="E1" s="1" t="s">
        <v>4</v>
      </c>
      <c r="F1" s="1" t="s">
        <v>5</v>
      </c>
      <c r="G1" s="1" t="s">
        <v>6</v>
      </c>
      <c r="H1" t="s">
        <v>18279</v>
      </c>
      <c r="I1" t="s">
        <v>1903</v>
      </c>
      <c r="J1" t="s">
        <v>1904</v>
      </c>
      <c r="K1" t="s">
        <v>1905</v>
      </c>
      <c r="L1" t="s">
        <v>1906</v>
      </c>
      <c r="M1" t="s">
        <v>1907</v>
      </c>
      <c r="N1" t="s">
        <v>1908</v>
      </c>
      <c r="O1" t="s">
        <v>1909</v>
      </c>
      <c r="P1" t="s">
        <v>1910</v>
      </c>
      <c r="Q1" t="s">
        <v>1911</v>
      </c>
      <c r="R1" t="s">
        <v>1912</v>
      </c>
      <c r="S1" t="s">
        <v>1913</v>
      </c>
      <c r="T1" t="s">
        <v>1914</v>
      </c>
      <c r="U1" t="s">
        <v>1915</v>
      </c>
      <c r="V1" t="s">
        <v>1916</v>
      </c>
      <c r="W1" t="s">
        <v>1917</v>
      </c>
      <c r="X1" t="s">
        <v>1918</v>
      </c>
      <c r="Y1" t="s">
        <v>1919</v>
      </c>
      <c r="Z1" t="s">
        <v>1920</v>
      </c>
      <c r="AA1" t="s">
        <v>1921</v>
      </c>
      <c r="AB1" t="s">
        <v>1922</v>
      </c>
      <c r="AC1" t="s">
        <v>1923</v>
      </c>
      <c r="AD1" t="s">
        <v>1924</v>
      </c>
      <c r="AE1" t="s">
        <v>1925</v>
      </c>
      <c r="AF1" t="s">
        <v>1926</v>
      </c>
      <c r="AG1" t="s">
        <v>1927</v>
      </c>
      <c r="AH1" t="s">
        <v>1928</v>
      </c>
      <c r="AI1" t="s">
        <v>1929</v>
      </c>
      <c r="AJ1" t="s">
        <v>1930</v>
      </c>
      <c r="AK1" t="s">
        <v>1931</v>
      </c>
      <c r="AL1" t="s">
        <v>1932</v>
      </c>
      <c r="AM1" t="s">
        <v>1933</v>
      </c>
      <c r="AN1" t="s">
        <v>1934</v>
      </c>
      <c r="AO1" t="s">
        <v>1935</v>
      </c>
      <c r="AP1" t="s">
        <v>1936</v>
      </c>
      <c r="AQ1" t="s">
        <v>1937</v>
      </c>
      <c r="AR1" t="s">
        <v>1938</v>
      </c>
      <c r="AS1" t="s">
        <v>1939</v>
      </c>
      <c r="AT1" t="s">
        <v>1940</v>
      </c>
      <c r="AU1" t="s">
        <v>1941</v>
      </c>
      <c r="AV1" t="s">
        <v>1942</v>
      </c>
      <c r="AW1" t="s">
        <v>1943</v>
      </c>
      <c r="AX1" t="s">
        <v>1944</v>
      </c>
      <c r="AY1" t="s">
        <v>1945</v>
      </c>
      <c r="AZ1" t="s">
        <v>1946</v>
      </c>
      <c r="BA1" t="s">
        <v>1947</v>
      </c>
      <c r="BB1" t="s">
        <v>1948</v>
      </c>
      <c r="BC1" t="s">
        <v>1949</v>
      </c>
      <c r="BD1" t="s">
        <v>1950</v>
      </c>
      <c r="BE1" t="s">
        <v>1951</v>
      </c>
      <c r="BF1" t="s">
        <v>1952</v>
      </c>
      <c r="BG1" t="s">
        <v>1953</v>
      </c>
      <c r="BH1" t="s">
        <v>1954</v>
      </c>
      <c r="BI1" t="s">
        <v>1955</v>
      </c>
      <c r="BJ1" t="s">
        <v>1956</v>
      </c>
      <c r="BK1" t="s">
        <v>1957</v>
      </c>
      <c r="BL1" t="s">
        <v>1958</v>
      </c>
      <c r="BM1" t="s">
        <v>1959</v>
      </c>
      <c r="BN1" t="s">
        <v>1960</v>
      </c>
      <c r="BO1" t="s">
        <v>1961</v>
      </c>
      <c r="BP1" t="s">
        <v>1962</v>
      </c>
      <c r="BQ1" t="s">
        <v>1963</v>
      </c>
      <c r="BR1" t="s">
        <v>1964</v>
      </c>
      <c r="BS1" t="s">
        <v>1965</v>
      </c>
      <c r="BT1" t="s">
        <v>1966</v>
      </c>
      <c r="BU1" t="s">
        <v>1967</v>
      </c>
      <c r="BV1" t="s">
        <v>1968</v>
      </c>
      <c r="BW1" t="s">
        <v>1969</v>
      </c>
      <c r="BX1" t="s">
        <v>1970</v>
      </c>
      <c r="BY1" t="s">
        <v>1971</v>
      </c>
      <c r="BZ1" t="s">
        <v>1972</v>
      </c>
      <c r="CA1" t="s">
        <v>1973</v>
      </c>
      <c r="CB1" t="s">
        <v>1974</v>
      </c>
      <c r="CC1" t="s">
        <v>1975</v>
      </c>
      <c r="CD1" t="s">
        <v>1976</v>
      </c>
      <c r="CE1" t="s">
        <v>1977</v>
      </c>
      <c r="CF1" t="s">
        <v>1978</v>
      </c>
      <c r="CG1" t="s">
        <v>1979</v>
      </c>
      <c r="CH1" t="s">
        <v>1980</v>
      </c>
      <c r="CI1" t="s">
        <v>1981</v>
      </c>
      <c r="CJ1" t="s">
        <v>1982</v>
      </c>
      <c r="CK1" t="s">
        <v>1983</v>
      </c>
      <c r="CL1" t="s">
        <v>1984</v>
      </c>
      <c r="CM1" t="s">
        <v>1985</v>
      </c>
      <c r="CN1" t="s">
        <v>1986</v>
      </c>
      <c r="CO1" t="s">
        <v>1987</v>
      </c>
      <c r="CP1" t="s">
        <v>1988</v>
      </c>
      <c r="CQ1" t="s">
        <v>1989</v>
      </c>
      <c r="CR1" t="s">
        <v>1990</v>
      </c>
      <c r="CS1" t="s">
        <v>1991</v>
      </c>
      <c r="CT1" t="s">
        <v>1992</v>
      </c>
      <c r="CU1" t="s">
        <v>1993</v>
      </c>
      <c r="CV1" t="s">
        <v>1994</v>
      </c>
      <c r="CW1" t="s">
        <v>1995</v>
      </c>
      <c r="CX1" t="s">
        <v>1996</v>
      </c>
      <c r="CY1" t="s">
        <v>1997</v>
      </c>
      <c r="CZ1" t="s">
        <v>1998</v>
      </c>
      <c r="DA1" t="s">
        <v>1999</v>
      </c>
      <c r="DB1" t="s">
        <v>2000</v>
      </c>
      <c r="DC1" t="s">
        <v>2001</v>
      </c>
      <c r="DD1" t="s">
        <v>2002</v>
      </c>
      <c r="DE1" t="s">
        <v>2003</v>
      </c>
      <c r="DF1" t="s">
        <v>2004</v>
      </c>
      <c r="DG1" t="s">
        <v>2005</v>
      </c>
      <c r="DH1" t="s">
        <v>2006</v>
      </c>
      <c r="DI1" t="s">
        <v>2007</v>
      </c>
      <c r="DJ1" t="s">
        <v>2008</v>
      </c>
      <c r="DK1" t="s">
        <v>2009</v>
      </c>
      <c r="DL1" t="s">
        <v>2010</v>
      </c>
      <c r="DM1" t="s">
        <v>2011</v>
      </c>
      <c r="DN1" t="s">
        <v>2012</v>
      </c>
      <c r="DO1" t="s">
        <v>2013</v>
      </c>
      <c r="DP1" t="s">
        <v>2014</v>
      </c>
      <c r="DQ1" t="s">
        <v>2015</v>
      </c>
      <c r="DR1" t="s">
        <v>2016</v>
      </c>
      <c r="DS1" t="s">
        <v>2017</v>
      </c>
      <c r="DT1" t="s">
        <v>2018</v>
      </c>
      <c r="DU1" t="s">
        <v>2019</v>
      </c>
      <c r="DV1" t="s">
        <v>2020</v>
      </c>
      <c r="DW1" t="s">
        <v>2021</v>
      </c>
      <c r="DX1" t="s">
        <v>2022</v>
      </c>
      <c r="DY1" t="s">
        <v>2023</v>
      </c>
      <c r="DZ1" t="s">
        <v>2024</v>
      </c>
      <c r="EA1" t="s">
        <v>2025</v>
      </c>
      <c r="EB1" t="s">
        <v>2026</v>
      </c>
      <c r="EC1" t="s">
        <v>2027</v>
      </c>
      <c r="ED1" t="s">
        <v>2028</v>
      </c>
      <c r="EE1" t="s">
        <v>2029</v>
      </c>
      <c r="EF1" t="s">
        <v>2030</v>
      </c>
      <c r="EG1" t="s">
        <v>2031</v>
      </c>
      <c r="EH1" t="s">
        <v>2032</v>
      </c>
      <c r="EI1" t="s">
        <v>2033</v>
      </c>
      <c r="EJ1" t="s">
        <v>2034</v>
      </c>
      <c r="EK1" t="s">
        <v>2035</v>
      </c>
      <c r="EL1" t="s">
        <v>2036</v>
      </c>
      <c r="EM1" t="s">
        <v>2037</v>
      </c>
      <c r="EN1" t="s">
        <v>2038</v>
      </c>
      <c r="EO1" t="s">
        <v>2039</v>
      </c>
      <c r="EP1" t="s">
        <v>2040</v>
      </c>
      <c r="EQ1" t="s">
        <v>2041</v>
      </c>
      <c r="ER1" t="s">
        <v>2042</v>
      </c>
      <c r="ES1" t="s">
        <v>2043</v>
      </c>
      <c r="ET1" t="s">
        <v>2044</v>
      </c>
      <c r="EU1" t="s">
        <v>2045</v>
      </c>
      <c r="EV1" t="s">
        <v>2046</v>
      </c>
      <c r="EW1" t="s">
        <v>2047</v>
      </c>
      <c r="EX1" t="s">
        <v>2048</v>
      </c>
      <c r="EY1" t="s">
        <v>2049</v>
      </c>
      <c r="EZ1" t="s">
        <v>2050</v>
      </c>
      <c r="FA1" t="s">
        <v>2051</v>
      </c>
      <c r="FB1" t="s">
        <v>2052</v>
      </c>
      <c r="FC1" t="s">
        <v>2053</v>
      </c>
      <c r="FD1" t="s">
        <v>2054</v>
      </c>
      <c r="FE1" t="s">
        <v>2055</v>
      </c>
      <c r="FF1" t="s">
        <v>2056</v>
      </c>
      <c r="FG1" t="s">
        <v>2057</v>
      </c>
      <c r="FH1" t="s">
        <v>2058</v>
      </c>
      <c r="FI1" t="s">
        <v>2059</v>
      </c>
      <c r="FJ1" t="s">
        <v>2060</v>
      </c>
      <c r="FK1" t="s">
        <v>2061</v>
      </c>
      <c r="FL1" t="s">
        <v>2062</v>
      </c>
      <c r="FM1" t="s">
        <v>2063</v>
      </c>
      <c r="FN1" t="s">
        <v>2064</v>
      </c>
      <c r="FO1" t="s">
        <v>2065</v>
      </c>
      <c r="FP1" t="s">
        <v>2066</v>
      </c>
      <c r="FQ1" t="s">
        <v>2067</v>
      </c>
      <c r="FR1" t="s">
        <v>2068</v>
      </c>
      <c r="FS1" t="s">
        <v>2069</v>
      </c>
      <c r="FT1" t="s">
        <v>2070</v>
      </c>
      <c r="FU1" t="s">
        <v>2071</v>
      </c>
      <c r="FV1" t="s">
        <v>2072</v>
      </c>
      <c r="FW1" t="s">
        <v>2073</v>
      </c>
      <c r="FX1" t="s">
        <v>2074</v>
      </c>
      <c r="FY1" t="s">
        <v>2075</v>
      </c>
      <c r="FZ1" t="s">
        <v>2076</v>
      </c>
      <c r="GA1" t="s">
        <v>2077</v>
      </c>
      <c r="GB1" t="s">
        <v>2078</v>
      </c>
      <c r="GC1" t="s">
        <v>2079</v>
      </c>
      <c r="GD1" t="s">
        <v>2080</v>
      </c>
      <c r="GE1" t="s">
        <v>2081</v>
      </c>
      <c r="GF1" t="s">
        <v>2082</v>
      </c>
      <c r="GG1" t="s">
        <v>2083</v>
      </c>
      <c r="GH1" t="s">
        <v>2084</v>
      </c>
      <c r="GI1" t="s">
        <v>2085</v>
      </c>
      <c r="GJ1" t="s">
        <v>2086</v>
      </c>
      <c r="GK1" t="s">
        <v>2087</v>
      </c>
      <c r="GL1" t="s">
        <v>2088</v>
      </c>
      <c r="GM1" t="s">
        <v>2089</v>
      </c>
      <c r="GN1" t="s">
        <v>2090</v>
      </c>
      <c r="GO1" t="s">
        <v>2091</v>
      </c>
      <c r="GP1" t="s">
        <v>2092</v>
      </c>
      <c r="GQ1" t="s">
        <v>2093</v>
      </c>
      <c r="GR1" t="s">
        <v>2094</v>
      </c>
      <c r="GS1" t="s">
        <v>2095</v>
      </c>
      <c r="GT1" t="s">
        <v>2096</v>
      </c>
      <c r="GU1" t="s">
        <v>2097</v>
      </c>
      <c r="GV1" t="s">
        <v>2098</v>
      </c>
      <c r="GW1" t="s">
        <v>2099</v>
      </c>
      <c r="GX1" t="s">
        <v>2100</v>
      </c>
      <c r="GY1" t="s">
        <v>2101</v>
      </c>
      <c r="GZ1" t="s">
        <v>2102</v>
      </c>
      <c r="HA1" t="s">
        <v>2103</v>
      </c>
      <c r="HB1" t="s">
        <v>2104</v>
      </c>
      <c r="HC1" t="s">
        <v>2105</v>
      </c>
      <c r="HD1" t="s">
        <v>2106</v>
      </c>
      <c r="HE1" t="s">
        <v>2107</v>
      </c>
      <c r="HF1" t="s">
        <v>2108</v>
      </c>
      <c r="HG1" t="s">
        <v>2109</v>
      </c>
      <c r="HH1" t="s">
        <v>2110</v>
      </c>
      <c r="HI1" t="s">
        <v>2111</v>
      </c>
      <c r="HJ1" t="s">
        <v>2112</v>
      </c>
      <c r="HK1" t="s">
        <v>2113</v>
      </c>
      <c r="HL1" t="s">
        <v>2114</v>
      </c>
      <c r="HM1" t="s">
        <v>2115</v>
      </c>
      <c r="HN1" t="s">
        <v>2116</v>
      </c>
      <c r="HO1" t="s">
        <v>2117</v>
      </c>
      <c r="HP1" t="s">
        <v>2118</v>
      </c>
      <c r="HQ1" t="s">
        <v>2119</v>
      </c>
      <c r="HR1" t="s">
        <v>2120</v>
      </c>
      <c r="HS1" t="s">
        <v>2121</v>
      </c>
      <c r="HT1" t="s">
        <v>2122</v>
      </c>
      <c r="HU1" t="s">
        <v>2123</v>
      </c>
      <c r="HV1" t="s">
        <v>2124</v>
      </c>
      <c r="HW1" t="s">
        <v>2125</v>
      </c>
      <c r="HX1" t="s">
        <v>2126</v>
      </c>
      <c r="HY1" t="s">
        <v>2127</v>
      </c>
      <c r="HZ1" t="s">
        <v>2128</v>
      </c>
      <c r="IA1" t="s">
        <v>2129</v>
      </c>
      <c r="IB1" t="s">
        <v>2130</v>
      </c>
      <c r="IC1" t="s">
        <v>2131</v>
      </c>
      <c r="ID1" t="s">
        <v>2132</v>
      </c>
      <c r="IE1" t="s">
        <v>2133</v>
      </c>
      <c r="IF1" t="s">
        <v>2134</v>
      </c>
      <c r="IG1" t="s">
        <v>2135</v>
      </c>
      <c r="IH1" t="s">
        <v>2136</v>
      </c>
      <c r="II1" t="s">
        <v>2137</v>
      </c>
      <c r="IJ1" t="s">
        <v>2138</v>
      </c>
      <c r="IK1" t="s">
        <v>2139</v>
      </c>
      <c r="IL1" t="s">
        <v>2140</v>
      </c>
      <c r="IM1" t="s">
        <v>2141</v>
      </c>
      <c r="IN1" t="s">
        <v>2142</v>
      </c>
      <c r="IO1" t="s">
        <v>2143</v>
      </c>
      <c r="IP1" t="s">
        <v>2144</v>
      </c>
      <c r="IQ1" t="s">
        <v>2145</v>
      </c>
      <c r="IR1" t="s">
        <v>2146</v>
      </c>
      <c r="IS1" t="s">
        <v>2147</v>
      </c>
      <c r="IT1" t="s">
        <v>2148</v>
      </c>
      <c r="IU1" t="s">
        <v>2149</v>
      </c>
      <c r="IV1" t="s">
        <v>2150</v>
      </c>
      <c r="IW1" t="s">
        <v>2151</v>
      </c>
      <c r="IX1" t="s">
        <v>2152</v>
      </c>
      <c r="IY1" t="s">
        <v>2153</v>
      </c>
      <c r="IZ1" t="s">
        <v>2154</v>
      </c>
      <c r="JA1" t="s">
        <v>2155</v>
      </c>
      <c r="JB1" t="s">
        <v>2156</v>
      </c>
      <c r="JC1" t="s">
        <v>2157</v>
      </c>
      <c r="JD1" t="s">
        <v>2158</v>
      </c>
      <c r="JE1" t="s">
        <v>2159</v>
      </c>
      <c r="JF1" t="s">
        <v>2160</v>
      </c>
      <c r="JG1" t="s">
        <v>2161</v>
      </c>
      <c r="JH1" t="s">
        <v>2162</v>
      </c>
      <c r="JI1" t="s">
        <v>2163</v>
      </c>
      <c r="JJ1" t="s">
        <v>2164</v>
      </c>
      <c r="JK1" t="s">
        <v>2165</v>
      </c>
      <c r="JL1" t="s">
        <v>2166</v>
      </c>
      <c r="JM1" t="s">
        <v>2167</v>
      </c>
      <c r="JN1" t="s">
        <v>2168</v>
      </c>
      <c r="JO1" t="s">
        <v>2169</v>
      </c>
      <c r="JP1" t="s">
        <v>2170</v>
      </c>
      <c r="JQ1" t="s">
        <v>2171</v>
      </c>
      <c r="JR1" t="s">
        <v>2172</v>
      </c>
      <c r="JS1" t="s">
        <v>2173</v>
      </c>
      <c r="JT1" t="s">
        <v>2174</v>
      </c>
      <c r="JU1" t="s">
        <v>2175</v>
      </c>
      <c r="JV1" t="s">
        <v>2176</v>
      </c>
      <c r="JW1" t="s">
        <v>2177</v>
      </c>
      <c r="JX1" t="s">
        <v>2178</v>
      </c>
      <c r="JY1" t="s">
        <v>2179</v>
      </c>
      <c r="JZ1" t="s">
        <v>2180</v>
      </c>
      <c r="KA1" t="s">
        <v>2181</v>
      </c>
      <c r="KB1" t="s">
        <v>2182</v>
      </c>
      <c r="KC1" t="s">
        <v>2183</v>
      </c>
      <c r="KD1" t="s">
        <v>2184</v>
      </c>
      <c r="KE1" t="s">
        <v>2185</v>
      </c>
      <c r="KF1" t="s">
        <v>2186</v>
      </c>
      <c r="KG1" t="s">
        <v>2187</v>
      </c>
      <c r="KH1" t="s">
        <v>2188</v>
      </c>
      <c r="KI1" t="s">
        <v>2189</v>
      </c>
      <c r="KJ1" t="s">
        <v>2190</v>
      </c>
      <c r="KK1" t="s">
        <v>2191</v>
      </c>
      <c r="KL1" t="s">
        <v>2192</v>
      </c>
      <c r="KM1" t="s">
        <v>2193</v>
      </c>
      <c r="KN1" t="s">
        <v>2194</v>
      </c>
      <c r="KO1" t="s">
        <v>2195</v>
      </c>
      <c r="KP1" t="s">
        <v>2196</v>
      </c>
      <c r="KQ1" t="s">
        <v>2197</v>
      </c>
      <c r="KR1" t="s">
        <v>2198</v>
      </c>
      <c r="KS1" t="s">
        <v>2199</v>
      </c>
      <c r="KT1" t="s">
        <v>2200</v>
      </c>
      <c r="KU1" t="s">
        <v>2201</v>
      </c>
      <c r="KV1" t="s">
        <v>2202</v>
      </c>
      <c r="KW1" t="s">
        <v>2203</v>
      </c>
      <c r="KX1" t="s">
        <v>2204</v>
      </c>
      <c r="KY1" t="s">
        <v>2205</v>
      </c>
      <c r="KZ1" t="s">
        <v>2206</v>
      </c>
      <c r="LA1" t="s">
        <v>2207</v>
      </c>
      <c r="LB1" t="s">
        <v>2208</v>
      </c>
      <c r="LC1" t="s">
        <v>2209</v>
      </c>
      <c r="LD1" t="s">
        <v>2210</v>
      </c>
      <c r="LE1" t="s">
        <v>2211</v>
      </c>
      <c r="LF1" t="s">
        <v>2212</v>
      </c>
      <c r="LG1" t="s">
        <v>2213</v>
      </c>
      <c r="LH1" t="s">
        <v>2214</v>
      </c>
      <c r="LI1" t="s">
        <v>2215</v>
      </c>
      <c r="LJ1" t="s">
        <v>2216</v>
      </c>
      <c r="LK1" t="s">
        <v>2217</v>
      </c>
      <c r="LL1" t="s">
        <v>2218</v>
      </c>
      <c r="LM1" t="s">
        <v>2219</v>
      </c>
      <c r="LN1" t="s">
        <v>2220</v>
      </c>
      <c r="LO1" t="s">
        <v>2221</v>
      </c>
      <c r="LP1" t="s">
        <v>2222</v>
      </c>
      <c r="LQ1" t="s">
        <v>2223</v>
      </c>
      <c r="LR1" t="s">
        <v>2224</v>
      </c>
      <c r="LS1" t="s">
        <v>2225</v>
      </c>
      <c r="LT1" t="s">
        <v>2226</v>
      </c>
      <c r="LU1" t="s">
        <v>2227</v>
      </c>
      <c r="LV1" t="s">
        <v>2228</v>
      </c>
      <c r="LW1" t="s">
        <v>2229</v>
      </c>
      <c r="LX1" t="s">
        <v>2230</v>
      </c>
      <c r="LY1" t="s">
        <v>2231</v>
      </c>
      <c r="LZ1" t="s">
        <v>2232</v>
      </c>
      <c r="MA1" t="s">
        <v>2233</v>
      </c>
      <c r="MB1" t="s">
        <v>2234</v>
      </c>
      <c r="MC1" t="s">
        <v>2235</v>
      </c>
      <c r="MD1" t="s">
        <v>2236</v>
      </c>
      <c r="ME1" t="s">
        <v>2237</v>
      </c>
      <c r="MF1" t="s">
        <v>2238</v>
      </c>
      <c r="MG1" t="s">
        <v>2239</v>
      </c>
      <c r="MH1" t="s">
        <v>2240</v>
      </c>
      <c r="MI1" t="s">
        <v>2241</v>
      </c>
      <c r="MJ1" t="s">
        <v>2242</v>
      </c>
      <c r="MK1" t="s">
        <v>2243</v>
      </c>
      <c r="ML1" t="s">
        <v>2244</v>
      </c>
      <c r="MM1" t="s">
        <v>2245</v>
      </c>
      <c r="MN1" t="s">
        <v>2246</v>
      </c>
      <c r="MO1" t="s">
        <v>2247</v>
      </c>
      <c r="MP1" t="s">
        <v>2248</v>
      </c>
      <c r="MQ1" t="s">
        <v>2249</v>
      </c>
      <c r="MR1" t="s">
        <v>2250</v>
      </c>
      <c r="MS1" t="s">
        <v>2251</v>
      </c>
      <c r="MT1" t="s">
        <v>2252</v>
      </c>
      <c r="MU1" t="s">
        <v>2253</v>
      </c>
      <c r="MV1" t="s">
        <v>2254</v>
      </c>
      <c r="MW1" t="s">
        <v>2255</v>
      </c>
      <c r="MX1" t="s">
        <v>2256</v>
      </c>
      <c r="MY1" t="s">
        <v>2257</v>
      </c>
      <c r="MZ1" t="s">
        <v>2258</v>
      </c>
      <c r="NA1" t="s">
        <v>2259</v>
      </c>
      <c r="NB1" t="s">
        <v>2260</v>
      </c>
      <c r="NC1" t="s">
        <v>2261</v>
      </c>
      <c r="ND1" t="s">
        <v>2262</v>
      </c>
      <c r="NE1" t="s">
        <v>2263</v>
      </c>
      <c r="NF1" t="s">
        <v>2264</v>
      </c>
      <c r="NG1" t="s">
        <v>2265</v>
      </c>
      <c r="NH1" t="s">
        <v>2266</v>
      </c>
      <c r="NI1" t="s">
        <v>2267</v>
      </c>
      <c r="NJ1" t="s">
        <v>2268</v>
      </c>
      <c r="NK1" t="s">
        <v>2269</v>
      </c>
      <c r="NL1" t="s">
        <v>2270</v>
      </c>
      <c r="NM1" t="s">
        <v>2271</v>
      </c>
      <c r="NN1" t="s">
        <v>2272</v>
      </c>
      <c r="NO1" t="s">
        <v>2273</v>
      </c>
      <c r="NP1" t="s">
        <v>2274</v>
      </c>
      <c r="NQ1" t="s">
        <v>2275</v>
      </c>
      <c r="NR1" t="s">
        <v>2276</v>
      </c>
      <c r="NS1" t="s">
        <v>2277</v>
      </c>
      <c r="NT1" t="s">
        <v>2278</v>
      </c>
      <c r="NU1" t="s">
        <v>2279</v>
      </c>
      <c r="NV1" t="s">
        <v>2280</v>
      </c>
      <c r="NW1" t="s">
        <v>2281</v>
      </c>
      <c r="NX1" t="s">
        <v>2282</v>
      </c>
      <c r="NY1" t="s">
        <v>2283</v>
      </c>
      <c r="NZ1" t="s">
        <v>2284</v>
      </c>
      <c r="OA1" t="s">
        <v>2285</v>
      </c>
      <c r="OB1" t="s">
        <v>2286</v>
      </c>
      <c r="OC1" t="s">
        <v>2287</v>
      </c>
      <c r="OD1" t="s">
        <v>2288</v>
      </c>
      <c r="OE1" t="s">
        <v>2289</v>
      </c>
      <c r="OF1" t="s">
        <v>2290</v>
      </c>
      <c r="OG1" t="s">
        <v>2291</v>
      </c>
      <c r="OH1" t="s">
        <v>2292</v>
      </c>
      <c r="OI1" t="s">
        <v>2293</v>
      </c>
      <c r="OJ1" t="s">
        <v>2294</v>
      </c>
      <c r="OK1" t="s">
        <v>2295</v>
      </c>
      <c r="OL1" t="s">
        <v>2296</v>
      </c>
      <c r="OM1" t="s">
        <v>2297</v>
      </c>
      <c r="ON1" t="s">
        <v>2298</v>
      </c>
      <c r="OO1" t="s">
        <v>2299</v>
      </c>
      <c r="OP1" t="s">
        <v>2300</v>
      </c>
      <c r="OQ1" t="s">
        <v>2301</v>
      </c>
      <c r="OR1" t="s">
        <v>2302</v>
      </c>
      <c r="OS1" t="s">
        <v>2303</v>
      </c>
      <c r="OT1" t="s">
        <v>2304</v>
      </c>
      <c r="OU1" t="s">
        <v>2305</v>
      </c>
      <c r="OV1" t="s">
        <v>2306</v>
      </c>
      <c r="OW1" t="s">
        <v>2307</v>
      </c>
      <c r="OX1" t="s">
        <v>2308</v>
      </c>
      <c r="OY1" t="s">
        <v>2309</v>
      </c>
      <c r="OZ1" t="s">
        <v>2310</v>
      </c>
      <c r="PA1" t="s">
        <v>2311</v>
      </c>
      <c r="PB1" t="s">
        <v>2312</v>
      </c>
      <c r="PC1" t="s">
        <v>2313</v>
      </c>
      <c r="PD1" t="s">
        <v>2314</v>
      </c>
      <c r="PE1" t="s">
        <v>2315</v>
      </c>
      <c r="PF1" t="s">
        <v>2316</v>
      </c>
      <c r="PG1" t="s">
        <v>2317</v>
      </c>
      <c r="PH1" t="s">
        <v>2318</v>
      </c>
      <c r="PI1" t="s">
        <v>2319</v>
      </c>
      <c r="PJ1" t="s">
        <v>2320</v>
      </c>
      <c r="PK1" t="s">
        <v>2321</v>
      </c>
      <c r="PL1" t="s">
        <v>2322</v>
      </c>
      <c r="PM1" t="s">
        <v>2323</v>
      </c>
      <c r="PN1" t="s">
        <v>2324</v>
      </c>
      <c r="PO1" t="s">
        <v>2325</v>
      </c>
      <c r="PP1" t="s">
        <v>2326</v>
      </c>
      <c r="PQ1" t="s">
        <v>2327</v>
      </c>
      <c r="PR1" t="s">
        <v>2328</v>
      </c>
      <c r="PS1" t="s">
        <v>2329</v>
      </c>
      <c r="PT1" t="s">
        <v>2330</v>
      </c>
      <c r="PU1" t="s">
        <v>2331</v>
      </c>
      <c r="PV1" t="s">
        <v>2332</v>
      </c>
      <c r="PW1" t="s">
        <v>2333</v>
      </c>
      <c r="PX1" t="s">
        <v>2334</v>
      </c>
      <c r="PY1" t="s">
        <v>2335</v>
      </c>
      <c r="PZ1" t="s">
        <v>2336</v>
      </c>
      <c r="QA1" t="s">
        <v>2337</v>
      </c>
      <c r="QB1" t="s">
        <v>2338</v>
      </c>
      <c r="QC1" t="s">
        <v>2339</v>
      </c>
      <c r="QD1" t="s">
        <v>2340</v>
      </c>
      <c r="QE1" t="s">
        <v>2341</v>
      </c>
      <c r="QF1" t="s">
        <v>2342</v>
      </c>
      <c r="QG1" t="s">
        <v>2343</v>
      </c>
      <c r="QH1" t="s">
        <v>2344</v>
      </c>
      <c r="QI1" t="s">
        <v>2345</v>
      </c>
      <c r="QJ1" t="s">
        <v>2346</v>
      </c>
      <c r="QK1" t="s">
        <v>2347</v>
      </c>
      <c r="QL1" t="s">
        <v>2348</v>
      </c>
      <c r="QM1" t="s">
        <v>2349</v>
      </c>
      <c r="QN1" t="s">
        <v>2350</v>
      </c>
      <c r="QO1" t="s">
        <v>2351</v>
      </c>
      <c r="QP1" t="s">
        <v>2352</v>
      </c>
      <c r="QQ1" t="s">
        <v>2353</v>
      </c>
      <c r="QR1" t="s">
        <v>2354</v>
      </c>
      <c r="QS1" t="s">
        <v>2355</v>
      </c>
      <c r="QT1" t="s">
        <v>2356</v>
      </c>
      <c r="QU1" t="s">
        <v>2357</v>
      </c>
      <c r="QV1" t="s">
        <v>2358</v>
      </c>
      <c r="QW1" t="s">
        <v>2359</v>
      </c>
      <c r="QX1" t="s">
        <v>2360</v>
      </c>
      <c r="QY1" t="s">
        <v>2361</v>
      </c>
      <c r="QZ1" t="s">
        <v>2362</v>
      </c>
      <c r="RA1" t="s">
        <v>2363</v>
      </c>
      <c r="RB1" t="s">
        <v>2364</v>
      </c>
      <c r="RC1" t="s">
        <v>2365</v>
      </c>
      <c r="RD1" t="s">
        <v>2366</v>
      </c>
      <c r="RE1" t="s">
        <v>2367</v>
      </c>
      <c r="RF1" t="s">
        <v>2368</v>
      </c>
      <c r="RG1" t="s">
        <v>2369</v>
      </c>
      <c r="RH1" t="s">
        <v>2370</v>
      </c>
      <c r="RI1" t="s">
        <v>2371</v>
      </c>
      <c r="RJ1" t="s">
        <v>2372</v>
      </c>
      <c r="RK1" t="s">
        <v>2373</v>
      </c>
      <c r="RL1" t="s">
        <v>2374</v>
      </c>
      <c r="RM1" t="s">
        <v>2375</v>
      </c>
      <c r="RN1" t="s">
        <v>2376</v>
      </c>
      <c r="RO1" t="s">
        <v>2377</v>
      </c>
      <c r="RP1" t="s">
        <v>2378</v>
      </c>
      <c r="RQ1" t="s">
        <v>2379</v>
      </c>
      <c r="RR1" t="s">
        <v>2380</v>
      </c>
      <c r="RS1" t="s">
        <v>2381</v>
      </c>
      <c r="RT1" t="s">
        <v>2382</v>
      </c>
      <c r="RU1" t="s">
        <v>2383</v>
      </c>
      <c r="RV1" t="s">
        <v>2384</v>
      </c>
      <c r="RW1" t="s">
        <v>2385</v>
      </c>
      <c r="RX1" t="s">
        <v>2386</v>
      </c>
      <c r="RY1" t="s">
        <v>2387</v>
      </c>
      <c r="RZ1" t="s">
        <v>2388</v>
      </c>
      <c r="SA1" t="s">
        <v>2389</v>
      </c>
      <c r="SB1" t="s">
        <v>2390</v>
      </c>
      <c r="SC1" t="s">
        <v>2391</v>
      </c>
      <c r="SD1" t="s">
        <v>2392</v>
      </c>
      <c r="SE1" t="s">
        <v>2393</v>
      </c>
      <c r="SF1" t="s">
        <v>2394</v>
      </c>
      <c r="SG1" t="s">
        <v>2395</v>
      </c>
      <c r="SH1" t="s">
        <v>2396</v>
      </c>
      <c r="SI1" t="s">
        <v>2397</v>
      </c>
      <c r="SJ1" t="s">
        <v>2398</v>
      </c>
      <c r="SK1" t="s">
        <v>2399</v>
      </c>
      <c r="SL1" t="s">
        <v>2400</v>
      </c>
      <c r="SM1" t="s">
        <v>2401</v>
      </c>
      <c r="SN1" t="s">
        <v>2402</v>
      </c>
      <c r="SO1" t="s">
        <v>2403</v>
      </c>
      <c r="SP1" t="s">
        <v>2404</v>
      </c>
      <c r="SQ1" t="s">
        <v>2405</v>
      </c>
      <c r="SR1" t="s">
        <v>2406</v>
      </c>
      <c r="SS1" t="s">
        <v>2407</v>
      </c>
      <c r="ST1" t="s">
        <v>2408</v>
      </c>
      <c r="SU1" t="s">
        <v>2409</v>
      </c>
      <c r="SV1" t="s">
        <v>2410</v>
      </c>
      <c r="SW1" t="s">
        <v>2411</v>
      </c>
      <c r="SX1" t="s">
        <v>2412</v>
      </c>
      <c r="SY1" t="s">
        <v>2413</v>
      </c>
      <c r="SZ1" t="s">
        <v>2414</v>
      </c>
      <c r="TA1" t="s">
        <v>2415</v>
      </c>
      <c r="TB1" t="s">
        <v>2416</v>
      </c>
      <c r="TC1" t="s">
        <v>2417</v>
      </c>
      <c r="TD1" t="s">
        <v>2418</v>
      </c>
      <c r="TE1" t="s">
        <v>2419</v>
      </c>
      <c r="TF1" t="s">
        <v>2420</v>
      </c>
      <c r="TG1" t="s">
        <v>2421</v>
      </c>
      <c r="TH1" t="s">
        <v>2422</v>
      </c>
      <c r="TI1" t="s">
        <v>2423</v>
      </c>
      <c r="TJ1" t="s">
        <v>2424</v>
      </c>
      <c r="TK1" t="s">
        <v>2425</v>
      </c>
      <c r="TL1" t="s">
        <v>2426</v>
      </c>
      <c r="TM1" t="s">
        <v>2427</v>
      </c>
      <c r="TN1" t="s">
        <v>2428</v>
      </c>
      <c r="TO1" t="s">
        <v>2429</v>
      </c>
      <c r="TP1" t="s">
        <v>2430</v>
      </c>
      <c r="TQ1" t="s">
        <v>2431</v>
      </c>
      <c r="TR1" t="s">
        <v>2432</v>
      </c>
      <c r="TS1" t="s">
        <v>2433</v>
      </c>
      <c r="TT1" t="s">
        <v>2434</v>
      </c>
      <c r="TU1" t="s">
        <v>2435</v>
      </c>
      <c r="TV1" t="s">
        <v>2436</v>
      </c>
      <c r="TW1" t="s">
        <v>2437</v>
      </c>
      <c r="TX1" t="s">
        <v>2438</v>
      </c>
      <c r="TY1" t="s">
        <v>2439</v>
      </c>
      <c r="TZ1" t="s">
        <v>2440</v>
      </c>
      <c r="UA1" t="s">
        <v>2441</v>
      </c>
      <c r="UB1" t="s">
        <v>2442</v>
      </c>
      <c r="UC1" t="s">
        <v>2443</v>
      </c>
      <c r="UD1" t="s">
        <v>2444</v>
      </c>
      <c r="UE1" t="s">
        <v>2445</v>
      </c>
      <c r="UF1" t="s">
        <v>2446</v>
      </c>
      <c r="UG1" t="s">
        <v>2447</v>
      </c>
      <c r="UH1" t="s">
        <v>2448</v>
      </c>
      <c r="UI1" t="s">
        <v>2449</v>
      </c>
      <c r="UJ1" t="s">
        <v>2450</v>
      </c>
      <c r="UK1" t="s">
        <v>2451</v>
      </c>
      <c r="UL1" t="s">
        <v>2452</v>
      </c>
      <c r="UM1" t="s">
        <v>2453</v>
      </c>
      <c r="UN1" t="s">
        <v>2454</v>
      </c>
      <c r="UO1" t="s">
        <v>2455</v>
      </c>
      <c r="UP1" t="s">
        <v>2456</v>
      </c>
      <c r="UQ1" t="s">
        <v>2457</v>
      </c>
      <c r="UR1" t="s">
        <v>2458</v>
      </c>
      <c r="US1" t="s">
        <v>2459</v>
      </c>
      <c r="UT1" t="s">
        <v>2460</v>
      </c>
      <c r="UU1" t="s">
        <v>2461</v>
      </c>
      <c r="UV1" t="s">
        <v>2462</v>
      </c>
      <c r="UW1" t="s">
        <v>2463</v>
      </c>
      <c r="UX1" t="s">
        <v>2464</v>
      </c>
      <c r="UY1" t="s">
        <v>2465</v>
      </c>
      <c r="UZ1" t="s">
        <v>2466</v>
      </c>
      <c r="VA1" t="s">
        <v>2467</v>
      </c>
      <c r="VB1" t="s">
        <v>2468</v>
      </c>
      <c r="VC1" t="s">
        <v>2469</v>
      </c>
      <c r="VD1" t="s">
        <v>2470</v>
      </c>
      <c r="VE1" t="s">
        <v>2471</v>
      </c>
      <c r="VF1" t="s">
        <v>2472</v>
      </c>
      <c r="VG1" t="s">
        <v>2473</v>
      </c>
      <c r="VH1" t="s">
        <v>2474</v>
      </c>
      <c r="VI1" t="s">
        <v>2475</v>
      </c>
      <c r="VJ1" t="s">
        <v>2476</v>
      </c>
      <c r="VK1" t="s">
        <v>2477</v>
      </c>
      <c r="VL1" t="s">
        <v>2478</v>
      </c>
      <c r="VM1" t="s">
        <v>2479</v>
      </c>
      <c r="VN1" t="s">
        <v>2480</v>
      </c>
      <c r="VO1" t="s">
        <v>2481</v>
      </c>
      <c r="VP1" t="s">
        <v>2482</v>
      </c>
      <c r="VQ1" t="s">
        <v>2483</v>
      </c>
      <c r="VR1" t="s">
        <v>2484</v>
      </c>
      <c r="VS1" t="s">
        <v>2485</v>
      </c>
      <c r="VT1" t="s">
        <v>2486</v>
      </c>
      <c r="VU1" t="s">
        <v>2487</v>
      </c>
      <c r="VV1" t="s">
        <v>2488</v>
      </c>
      <c r="VW1" t="s">
        <v>2489</v>
      </c>
      <c r="VX1" t="s">
        <v>2490</v>
      </c>
      <c r="VY1" t="s">
        <v>2491</v>
      </c>
      <c r="VZ1" t="s">
        <v>2492</v>
      </c>
      <c r="WA1" t="s">
        <v>2493</v>
      </c>
      <c r="WB1" t="s">
        <v>2494</v>
      </c>
      <c r="WC1" t="s">
        <v>2495</v>
      </c>
      <c r="WD1" t="s">
        <v>2496</v>
      </c>
      <c r="WE1" t="s">
        <v>2497</v>
      </c>
      <c r="WF1" t="s">
        <v>2498</v>
      </c>
      <c r="WG1" t="s">
        <v>2499</v>
      </c>
      <c r="WH1" t="s">
        <v>2500</v>
      </c>
      <c r="WI1" t="s">
        <v>2501</v>
      </c>
      <c r="WJ1" t="s">
        <v>2502</v>
      </c>
      <c r="WK1" t="s">
        <v>2503</v>
      </c>
      <c r="WL1" t="s">
        <v>2504</v>
      </c>
      <c r="WM1" t="s">
        <v>2505</v>
      </c>
      <c r="WN1" t="s">
        <v>2506</v>
      </c>
      <c r="WO1" t="s">
        <v>2507</v>
      </c>
      <c r="WP1" t="s">
        <v>2508</v>
      </c>
      <c r="WQ1" t="s">
        <v>2509</v>
      </c>
      <c r="WR1" t="s">
        <v>2510</v>
      </c>
      <c r="WS1" t="s">
        <v>2511</v>
      </c>
      <c r="WT1" t="s">
        <v>2512</v>
      </c>
      <c r="WU1" t="s">
        <v>2513</v>
      </c>
      <c r="WV1" t="s">
        <v>2514</v>
      </c>
      <c r="WW1" t="s">
        <v>2515</v>
      </c>
      <c r="WX1" t="s">
        <v>2516</v>
      </c>
      <c r="WY1" t="s">
        <v>2517</v>
      </c>
      <c r="WZ1" t="s">
        <v>2518</v>
      </c>
      <c r="XA1" t="s">
        <v>2519</v>
      </c>
      <c r="XB1" t="s">
        <v>2520</v>
      </c>
      <c r="XC1" t="s">
        <v>2521</v>
      </c>
      <c r="XD1" t="s">
        <v>2522</v>
      </c>
      <c r="XE1" t="s">
        <v>2523</v>
      </c>
      <c r="XF1" t="s">
        <v>2524</v>
      </c>
      <c r="XG1" t="s">
        <v>2525</v>
      </c>
      <c r="XH1" t="s">
        <v>2526</v>
      </c>
      <c r="XI1" t="s">
        <v>2527</v>
      </c>
      <c r="XJ1" t="s">
        <v>2528</v>
      </c>
      <c r="XK1" t="s">
        <v>2529</v>
      </c>
      <c r="XL1" t="s">
        <v>2530</v>
      </c>
      <c r="XM1" t="s">
        <v>2531</v>
      </c>
      <c r="XN1" t="s">
        <v>2532</v>
      </c>
      <c r="XO1" t="s">
        <v>2533</v>
      </c>
      <c r="XP1" t="s">
        <v>2534</v>
      </c>
      <c r="XQ1" t="s">
        <v>2535</v>
      </c>
      <c r="XR1" t="s">
        <v>2536</v>
      </c>
      <c r="XS1" t="s">
        <v>2537</v>
      </c>
      <c r="XT1" t="s">
        <v>2538</v>
      </c>
      <c r="XU1" t="s">
        <v>2539</v>
      </c>
      <c r="XV1" t="s">
        <v>2540</v>
      </c>
      <c r="XW1" t="s">
        <v>2541</v>
      </c>
      <c r="XX1" t="s">
        <v>2542</v>
      </c>
      <c r="XY1" t="s">
        <v>2543</v>
      </c>
      <c r="XZ1" t="s">
        <v>2544</v>
      </c>
      <c r="YA1" t="s">
        <v>2545</v>
      </c>
      <c r="YB1" t="s">
        <v>2546</v>
      </c>
      <c r="YC1" t="s">
        <v>2547</v>
      </c>
      <c r="YD1" t="s">
        <v>2548</v>
      </c>
      <c r="YE1" t="s">
        <v>2549</v>
      </c>
      <c r="YF1" t="s">
        <v>2550</v>
      </c>
      <c r="YG1" t="s">
        <v>2551</v>
      </c>
      <c r="YH1" t="s">
        <v>2552</v>
      </c>
      <c r="YI1" t="s">
        <v>2553</v>
      </c>
      <c r="YJ1" t="s">
        <v>2554</v>
      </c>
      <c r="YK1" t="s">
        <v>2555</v>
      </c>
      <c r="YL1" t="s">
        <v>2556</v>
      </c>
      <c r="YM1" t="s">
        <v>2557</v>
      </c>
      <c r="YN1" t="s">
        <v>2558</v>
      </c>
      <c r="YO1" t="s">
        <v>2559</v>
      </c>
      <c r="YP1" t="s">
        <v>2560</v>
      </c>
      <c r="YQ1" t="s">
        <v>2561</v>
      </c>
      <c r="YR1" t="s">
        <v>2562</v>
      </c>
      <c r="YS1" t="s">
        <v>2563</v>
      </c>
      <c r="YT1" t="s">
        <v>2564</v>
      </c>
      <c r="YU1" t="s">
        <v>2565</v>
      </c>
      <c r="YV1" t="s">
        <v>2566</v>
      </c>
      <c r="YW1" t="s">
        <v>2567</v>
      </c>
      <c r="YX1" t="s">
        <v>2568</v>
      </c>
      <c r="YY1" t="s">
        <v>2569</v>
      </c>
      <c r="YZ1" t="s">
        <v>2570</v>
      </c>
      <c r="ZA1" t="s">
        <v>2571</v>
      </c>
      <c r="ZB1" t="s">
        <v>2572</v>
      </c>
      <c r="ZC1" t="s">
        <v>2573</v>
      </c>
      <c r="ZD1" t="s">
        <v>2574</v>
      </c>
      <c r="ZE1" t="s">
        <v>2575</v>
      </c>
      <c r="ZF1" t="s">
        <v>2576</v>
      </c>
      <c r="ZG1" t="s">
        <v>2577</v>
      </c>
      <c r="ZH1" t="s">
        <v>2578</v>
      </c>
      <c r="ZI1" t="s">
        <v>2579</v>
      </c>
      <c r="ZJ1" t="s">
        <v>2580</v>
      </c>
      <c r="ZK1" t="s">
        <v>2581</v>
      </c>
      <c r="ZL1" t="s">
        <v>2582</v>
      </c>
      <c r="ZM1" t="s">
        <v>2583</v>
      </c>
      <c r="ZN1" t="s">
        <v>2584</v>
      </c>
      <c r="ZO1" t="s">
        <v>2585</v>
      </c>
      <c r="ZP1" t="s">
        <v>2586</v>
      </c>
      <c r="ZQ1" t="s">
        <v>2587</v>
      </c>
      <c r="ZR1" t="s">
        <v>2588</v>
      </c>
      <c r="ZS1" t="s">
        <v>2589</v>
      </c>
      <c r="ZT1" t="s">
        <v>2590</v>
      </c>
      <c r="ZU1" t="s">
        <v>2591</v>
      </c>
      <c r="ZV1" t="s">
        <v>2592</v>
      </c>
      <c r="ZW1" t="s">
        <v>2593</v>
      </c>
      <c r="ZX1" t="s">
        <v>2594</v>
      </c>
      <c r="ZY1" t="s">
        <v>2595</v>
      </c>
      <c r="ZZ1" t="s">
        <v>2596</v>
      </c>
      <c r="AAA1" t="s">
        <v>2597</v>
      </c>
      <c r="AAB1" t="s">
        <v>2598</v>
      </c>
      <c r="AAC1" t="s">
        <v>2599</v>
      </c>
      <c r="AAD1" t="s">
        <v>2600</v>
      </c>
      <c r="AAE1" t="s">
        <v>2601</v>
      </c>
      <c r="AAF1" t="s">
        <v>2602</v>
      </c>
      <c r="AAG1" t="s">
        <v>2603</v>
      </c>
      <c r="AAH1" t="s">
        <v>2604</v>
      </c>
      <c r="AAI1" t="s">
        <v>2605</v>
      </c>
      <c r="AAJ1" t="s">
        <v>2606</v>
      </c>
      <c r="AAK1" t="s">
        <v>2607</v>
      </c>
      <c r="AAL1" t="s">
        <v>2608</v>
      </c>
      <c r="AAM1" t="s">
        <v>2609</v>
      </c>
      <c r="AAN1" t="s">
        <v>2610</v>
      </c>
      <c r="AAO1" t="s">
        <v>2611</v>
      </c>
      <c r="AAP1" t="s">
        <v>2612</v>
      </c>
      <c r="AAQ1" t="s">
        <v>2613</v>
      </c>
      <c r="AAR1" t="s">
        <v>2614</v>
      </c>
      <c r="AAS1" t="s">
        <v>2615</v>
      </c>
      <c r="AAT1" t="s">
        <v>2616</v>
      </c>
      <c r="AAU1" t="s">
        <v>2617</v>
      </c>
      <c r="AAV1" t="s">
        <v>2618</v>
      </c>
      <c r="AAW1" t="s">
        <v>2619</v>
      </c>
      <c r="AAX1" t="s">
        <v>2620</v>
      </c>
      <c r="AAY1" t="s">
        <v>2621</v>
      </c>
      <c r="AAZ1" t="s">
        <v>2622</v>
      </c>
      <c r="ABA1" t="s">
        <v>2623</v>
      </c>
      <c r="ABB1" t="s">
        <v>2624</v>
      </c>
      <c r="ABC1" t="s">
        <v>2625</v>
      </c>
      <c r="ABD1" t="s">
        <v>2626</v>
      </c>
      <c r="ABE1" t="s">
        <v>2627</v>
      </c>
      <c r="ABF1" t="s">
        <v>2628</v>
      </c>
      <c r="ABG1" t="s">
        <v>2629</v>
      </c>
      <c r="ABH1" t="s">
        <v>2630</v>
      </c>
      <c r="ABI1" t="s">
        <v>2631</v>
      </c>
      <c r="ABJ1" t="s">
        <v>2632</v>
      </c>
      <c r="ABK1" t="s">
        <v>2633</v>
      </c>
      <c r="ABL1" t="s">
        <v>2634</v>
      </c>
      <c r="ABM1" t="s">
        <v>2635</v>
      </c>
      <c r="ABN1" t="s">
        <v>2636</v>
      </c>
      <c r="ABO1" t="s">
        <v>2637</v>
      </c>
      <c r="ABP1" t="s">
        <v>2638</v>
      </c>
      <c r="ABQ1" t="s">
        <v>2639</v>
      </c>
      <c r="ABR1" t="s">
        <v>2640</v>
      </c>
      <c r="ABS1" t="s">
        <v>2641</v>
      </c>
      <c r="ABT1" t="s">
        <v>2642</v>
      </c>
      <c r="ABU1" t="s">
        <v>2643</v>
      </c>
      <c r="ABV1" t="s">
        <v>2644</v>
      </c>
      <c r="ABW1" t="s">
        <v>2645</v>
      </c>
      <c r="ABX1" t="s">
        <v>2646</v>
      </c>
      <c r="ABY1" t="s">
        <v>2647</v>
      </c>
      <c r="ABZ1" t="s">
        <v>2648</v>
      </c>
      <c r="ACA1" t="s">
        <v>2649</v>
      </c>
      <c r="ACB1" t="s">
        <v>2650</v>
      </c>
      <c r="ACC1" t="s">
        <v>2651</v>
      </c>
      <c r="ACD1" t="s">
        <v>2652</v>
      </c>
      <c r="ACE1" t="s">
        <v>2653</v>
      </c>
      <c r="ACF1" t="s">
        <v>2654</v>
      </c>
      <c r="ACG1" t="s">
        <v>2655</v>
      </c>
      <c r="ACH1" t="s">
        <v>2656</v>
      </c>
      <c r="ACI1" t="s">
        <v>2657</v>
      </c>
      <c r="ACJ1" t="s">
        <v>2658</v>
      </c>
      <c r="ACK1" t="s">
        <v>2659</v>
      </c>
      <c r="ACL1" t="s">
        <v>2660</v>
      </c>
      <c r="ACM1" t="s">
        <v>2661</v>
      </c>
      <c r="ACN1" t="s">
        <v>2662</v>
      </c>
      <c r="ACO1" t="s">
        <v>2663</v>
      </c>
      <c r="ACP1" t="s">
        <v>2664</v>
      </c>
      <c r="ACQ1" t="s">
        <v>2665</v>
      </c>
      <c r="ACR1" t="s">
        <v>2666</v>
      </c>
      <c r="ACS1" t="s">
        <v>2667</v>
      </c>
      <c r="ACT1" t="s">
        <v>2668</v>
      </c>
      <c r="ACU1" t="s">
        <v>2669</v>
      </c>
      <c r="ACV1" t="s">
        <v>2670</v>
      </c>
      <c r="ACW1" t="s">
        <v>2671</v>
      </c>
      <c r="ACX1" t="s">
        <v>2672</v>
      </c>
      <c r="ACY1" t="s">
        <v>2673</v>
      </c>
      <c r="ACZ1" t="s">
        <v>2674</v>
      </c>
      <c r="ADA1" t="s">
        <v>2675</v>
      </c>
      <c r="ADB1" t="s">
        <v>2676</v>
      </c>
      <c r="ADC1" t="s">
        <v>2677</v>
      </c>
      <c r="ADD1" t="s">
        <v>2678</v>
      </c>
      <c r="ADE1" t="s">
        <v>2679</v>
      </c>
      <c r="ADF1" t="s">
        <v>2680</v>
      </c>
      <c r="ADG1" t="s">
        <v>2681</v>
      </c>
      <c r="ADH1" t="s">
        <v>2682</v>
      </c>
      <c r="ADI1" t="s">
        <v>2683</v>
      </c>
      <c r="ADJ1" t="s">
        <v>2684</v>
      </c>
      <c r="ADK1" t="s">
        <v>2685</v>
      </c>
      <c r="ADL1" t="s">
        <v>2686</v>
      </c>
      <c r="ADM1" t="s">
        <v>2687</v>
      </c>
      <c r="ADN1" t="s">
        <v>2688</v>
      </c>
      <c r="ADO1" t="s">
        <v>2689</v>
      </c>
      <c r="ADP1" t="s">
        <v>2690</v>
      </c>
      <c r="ADQ1" t="s">
        <v>2691</v>
      </c>
      <c r="ADR1" t="s">
        <v>2692</v>
      </c>
      <c r="ADS1" t="s">
        <v>2693</v>
      </c>
      <c r="ADT1" t="s">
        <v>2694</v>
      </c>
      <c r="ADU1" t="s">
        <v>2695</v>
      </c>
      <c r="ADV1" t="s">
        <v>2696</v>
      </c>
      <c r="ADW1" t="s">
        <v>2697</v>
      </c>
      <c r="ADX1" t="s">
        <v>2698</v>
      </c>
      <c r="ADY1" t="s">
        <v>2699</v>
      </c>
      <c r="ADZ1" t="s">
        <v>2700</v>
      </c>
      <c r="AEA1" t="s">
        <v>2701</v>
      </c>
      <c r="AEB1" t="s">
        <v>2702</v>
      </c>
      <c r="AEC1" t="s">
        <v>2703</v>
      </c>
      <c r="AED1" t="s">
        <v>2704</v>
      </c>
      <c r="AEE1" t="s">
        <v>2705</v>
      </c>
      <c r="AEF1" t="s">
        <v>2706</v>
      </c>
      <c r="AEG1" t="s">
        <v>2707</v>
      </c>
      <c r="AEH1" t="s">
        <v>2708</v>
      </c>
      <c r="AEI1" t="s">
        <v>2709</v>
      </c>
      <c r="AEJ1" t="s">
        <v>2710</v>
      </c>
      <c r="AEK1" t="s">
        <v>2711</v>
      </c>
      <c r="AEL1" t="s">
        <v>2712</v>
      </c>
      <c r="AEM1" t="s">
        <v>2713</v>
      </c>
      <c r="AEN1" t="s">
        <v>2714</v>
      </c>
      <c r="AEO1" t="s">
        <v>2715</v>
      </c>
      <c r="AEP1" t="s">
        <v>2716</v>
      </c>
      <c r="AEQ1" t="s">
        <v>2717</v>
      </c>
      <c r="AER1" t="s">
        <v>2718</v>
      </c>
      <c r="AES1" t="s">
        <v>2719</v>
      </c>
      <c r="AET1" t="s">
        <v>2720</v>
      </c>
      <c r="AEU1" t="s">
        <v>2721</v>
      </c>
      <c r="AEV1" t="s">
        <v>2722</v>
      </c>
      <c r="AEW1" t="s">
        <v>2723</v>
      </c>
      <c r="AEX1" t="s">
        <v>2724</v>
      </c>
      <c r="AEY1" t="s">
        <v>2725</v>
      </c>
      <c r="AEZ1" t="s">
        <v>2726</v>
      </c>
      <c r="AFA1" t="s">
        <v>2727</v>
      </c>
      <c r="AFB1" t="s">
        <v>2728</v>
      </c>
      <c r="AFC1" t="s">
        <v>2729</v>
      </c>
      <c r="AFD1" t="s">
        <v>2730</v>
      </c>
      <c r="AFE1" t="s">
        <v>2731</v>
      </c>
      <c r="AFF1" t="s">
        <v>2732</v>
      </c>
      <c r="AFG1" t="s">
        <v>2733</v>
      </c>
      <c r="AFH1" t="s">
        <v>2734</v>
      </c>
      <c r="AFI1" t="s">
        <v>2735</v>
      </c>
      <c r="AFJ1" t="s">
        <v>2736</v>
      </c>
      <c r="AFK1" t="s">
        <v>2737</v>
      </c>
      <c r="AFL1" t="s">
        <v>2738</v>
      </c>
      <c r="AFM1" t="s">
        <v>2739</v>
      </c>
      <c r="AFN1" t="s">
        <v>2740</v>
      </c>
      <c r="AFO1" t="s">
        <v>2741</v>
      </c>
      <c r="AFP1" t="s">
        <v>2742</v>
      </c>
      <c r="AFQ1" t="s">
        <v>2743</v>
      </c>
      <c r="AFR1" t="s">
        <v>2744</v>
      </c>
      <c r="AFS1" t="s">
        <v>2745</v>
      </c>
      <c r="AFT1" t="s">
        <v>2746</v>
      </c>
      <c r="AFU1" t="s">
        <v>2747</v>
      </c>
      <c r="AFV1" t="s">
        <v>2748</v>
      </c>
      <c r="AFW1" t="s">
        <v>2749</v>
      </c>
      <c r="AFX1" t="s">
        <v>2750</v>
      </c>
      <c r="AFY1" t="s">
        <v>2751</v>
      </c>
      <c r="AFZ1" t="s">
        <v>2752</v>
      </c>
      <c r="AGA1" t="s">
        <v>2753</v>
      </c>
      <c r="AGB1" t="s">
        <v>2754</v>
      </c>
      <c r="AGC1" t="s">
        <v>2755</v>
      </c>
      <c r="AGD1" t="s">
        <v>2756</v>
      </c>
      <c r="AGE1" t="s">
        <v>2757</v>
      </c>
      <c r="AGF1" t="s">
        <v>2758</v>
      </c>
      <c r="AGG1" t="s">
        <v>2759</v>
      </c>
      <c r="AGH1" t="s">
        <v>2760</v>
      </c>
      <c r="AGI1" t="s">
        <v>2761</v>
      </c>
      <c r="AGJ1" t="s">
        <v>2762</v>
      </c>
      <c r="AGK1" t="s">
        <v>2763</v>
      </c>
      <c r="AGL1" t="s">
        <v>2764</v>
      </c>
      <c r="AGM1" t="s">
        <v>2765</v>
      </c>
      <c r="AGN1" t="s">
        <v>2766</v>
      </c>
      <c r="AGO1" t="s">
        <v>2767</v>
      </c>
      <c r="AGP1" t="s">
        <v>2768</v>
      </c>
      <c r="AGQ1" t="s">
        <v>2769</v>
      </c>
      <c r="AGR1" t="s">
        <v>2770</v>
      </c>
      <c r="AGS1" t="s">
        <v>2771</v>
      </c>
      <c r="AGT1" t="s">
        <v>2772</v>
      </c>
      <c r="AGU1" t="s">
        <v>2773</v>
      </c>
      <c r="AGV1" t="s">
        <v>2774</v>
      </c>
      <c r="AGW1" t="s">
        <v>2775</v>
      </c>
      <c r="AGX1" t="s">
        <v>2776</v>
      </c>
      <c r="AGY1" t="s">
        <v>2777</v>
      </c>
      <c r="AGZ1" t="s">
        <v>2778</v>
      </c>
      <c r="AHA1" t="s">
        <v>2779</v>
      </c>
      <c r="AHB1" t="s">
        <v>2780</v>
      </c>
      <c r="AHC1" t="s">
        <v>2781</v>
      </c>
      <c r="AHD1" t="s">
        <v>2782</v>
      </c>
      <c r="AHE1" t="s">
        <v>2783</v>
      </c>
      <c r="AHF1" t="s">
        <v>2784</v>
      </c>
      <c r="AHG1" t="s">
        <v>2785</v>
      </c>
      <c r="AHH1" t="s">
        <v>2786</v>
      </c>
      <c r="AHI1" t="s">
        <v>2787</v>
      </c>
      <c r="AHJ1" t="s">
        <v>2788</v>
      </c>
      <c r="AHK1" t="s">
        <v>2789</v>
      </c>
      <c r="AHL1" t="s">
        <v>2790</v>
      </c>
      <c r="AHM1" t="s">
        <v>2791</v>
      </c>
      <c r="AHN1" t="s">
        <v>2792</v>
      </c>
      <c r="AHO1" t="s">
        <v>2793</v>
      </c>
      <c r="AHP1" t="s">
        <v>2794</v>
      </c>
      <c r="AHQ1" t="s">
        <v>2795</v>
      </c>
      <c r="AHR1" t="s">
        <v>2796</v>
      </c>
      <c r="AHS1" t="s">
        <v>2797</v>
      </c>
      <c r="AHT1" t="s">
        <v>2798</v>
      </c>
      <c r="AHU1" t="s">
        <v>2799</v>
      </c>
      <c r="AHV1" t="s">
        <v>2800</v>
      </c>
      <c r="AHW1" t="s">
        <v>2801</v>
      </c>
      <c r="AHX1" t="s">
        <v>2802</v>
      </c>
      <c r="AHY1" t="s">
        <v>2803</v>
      </c>
      <c r="AHZ1" t="s">
        <v>2804</v>
      </c>
      <c r="AIA1" t="s">
        <v>2805</v>
      </c>
      <c r="AIB1" t="s">
        <v>2806</v>
      </c>
      <c r="AIC1" t="s">
        <v>2807</v>
      </c>
      <c r="AID1" t="s">
        <v>2808</v>
      </c>
      <c r="AIE1" t="s">
        <v>2809</v>
      </c>
      <c r="AIF1" t="s">
        <v>2810</v>
      </c>
      <c r="AIG1" t="s">
        <v>2811</v>
      </c>
      <c r="AIH1" t="s">
        <v>2812</v>
      </c>
      <c r="AII1" t="s">
        <v>2813</v>
      </c>
      <c r="AIJ1" t="s">
        <v>2814</v>
      </c>
      <c r="AIK1" t="s">
        <v>2815</v>
      </c>
      <c r="AIL1" t="s">
        <v>2816</v>
      </c>
      <c r="AIM1" t="s">
        <v>2817</v>
      </c>
      <c r="AIN1" t="s">
        <v>2818</v>
      </c>
      <c r="AIO1" t="s">
        <v>2819</v>
      </c>
      <c r="AIP1" t="s">
        <v>2820</v>
      </c>
      <c r="AIQ1" t="s">
        <v>2821</v>
      </c>
      <c r="AIR1" t="s">
        <v>2822</v>
      </c>
      <c r="AIS1" t="s">
        <v>2823</v>
      </c>
      <c r="AIT1" t="s">
        <v>2824</v>
      </c>
      <c r="AIU1" t="s">
        <v>2825</v>
      </c>
      <c r="AIV1" t="s">
        <v>2826</v>
      </c>
      <c r="AIW1" t="s">
        <v>2827</v>
      </c>
      <c r="AIX1" t="s">
        <v>2828</v>
      </c>
      <c r="AIY1" t="s">
        <v>2829</v>
      </c>
      <c r="AIZ1" t="s">
        <v>2830</v>
      </c>
      <c r="AJA1" t="s">
        <v>2831</v>
      </c>
      <c r="AJB1" t="s">
        <v>2832</v>
      </c>
      <c r="AJC1" t="s">
        <v>2833</v>
      </c>
      <c r="AJD1" t="s">
        <v>2834</v>
      </c>
      <c r="AJE1" t="s">
        <v>2835</v>
      </c>
      <c r="AJF1" t="s">
        <v>2836</v>
      </c>
      <c r="AJG1" t="s">
        <v>2837</v>
      </c>
      <c r="AJH1" t="s">
        <v>2838</v>
      </c>
      <c r="AJI1" t="s">
        <v>2839</v>
      </c>
      <c r="AJJ1" t="s">
        <v>2840</v>
      </c>
      <c r="AJK1" t="s">
        <v>2841</v>
      </c>
      <c r="AJL1" t="s">
        <v>2842</v>
      </c>
      <c r="AJM1" t="s">
        <v>2843</v>
      </c>
      <c r="AJN1" t="s">
        <v>2844</v>
      </c>
      <c r="AJO1" t="s">
        <v>2845</v>
      </c>
      <c r="AJP1" t="s">
        <v>2846</v>
      </c>
      <c r="AJQ1" t="s">
        <v>2847</v>
      </c>
      <c r="AJR1" t="s">
        <v>2848</v>
      </c>
      <c r="AJS1" t="s">
        <v>2849</v>
      </c>
      <c r="AJT1" t="s">
        <v>2850</v>
      </c>
      <c r="AJU1" t="s">
        <v>2851</v>
      </c>
      <c r="AJV1" t="s">
        <v>2852</v>
      </c>
      <c r="AJW1" t="s">
        <v>2853</v>
      </c>
      <c r="AJX1" t="s">
        <v>2854</v>
      </c>
      <c r="AJY1" t="s">
        <v>2855</v>
      </c>
      <c r="AJZ1" t="s">
        <v>2856</v>
      </c>
      <c r="AKA1" t="s">
        <v>2857</v>
      </c>
      <c r="AKB1" t="s">
        <v>2858</v>
      </c>
      <c r="AKC1" t="s">
        <v>2859</v>
      </c>
      <c r="AKD1" t="s">
        <v>2860</v>
      </c>
      <c r="AKE1" t="s">
        <v>2861</v>
      </c>
      <c r="AKF1" t="s">
        <v>2862</v>
      </c>
      <c r="AKG1" t="s">
        <v>2863</v>
      </c>
      <c r="AKH1" t="s">
        <v>2864</v>
      </c>
      <c r="AKI1" t="s">
        <v>2865</v>
      </c>
      <c r="AKJ1" t="s">
        <v>2866</v>
      </c>
      <c r="AKK1" t="s">
        <v>2867</v>
      </c>
      <c r="AKL1" t="s">
        <v>2868</v>
      </c>
      <c r="AKM1" t="s">
        <v>2869</v>
      </c>
      <c r="AKN1" t="s">
        <v>2870</v>
      </c>
      <c r="AKO1" t="s">
        <v>2871</v>
      </c>
      <c r="AKP1" t="s">
        <v>2872</v>
      </c>
      <c r="AKQ1" t="s">
        <v>2873</v>
      </c>
      <c r="AKR1" t="s">
        <v>2874</v>
      </c>
      <c r="AKS1" t="s">
        <v>2875</v>
      </c>
      <c r="AKT1" t="s">
        <v>2876</v>
      </c>
      <c r="AKU1" t="s">
        <v>2877</v>
      </c>
      <c r="AKV1" t="s">
        <v>2878</v>
      </c>
      <c r="AKW1" t="s">
        <v>2879</v>
      </c>
      <c r="AKX1" t="s">
        <v>2880</v>
      </c>
      <c r="AKY1" t="s">
        <v>2881</v>
      </c>
      <c r="AKZ1" t="s">
        <v>2882</v>
      </c>
      <c r="ALA1" t="s">
        <v>2883</v>
      </c>
      <c r="ALB1" t="s">
        <v>2884</v>
      </c>
      <c r="ALC1" t="s">
        <v>2885</v>
      </c>
      <c r="ALD1" t="s">
        <v>2886</v>
      </c>
      <c r="ALE1" t="s">
        <v>2887</v>
      </c>
      <c r="ALF1" t="s">
        <v>2888</v>
      </c>
      <c r="ALG1" t="s">
        <v>2889</v>
      </c>
      <c r="ALH1" t="s">
        <v>2890</v>
      </c>
      <c r="ALI1" t="s">
        <v>2891</v>
      </c>
      <c r="ALJ1" t="s">
        <v>2892</v>
      </c>
      <c r="ALK1" t="s">
        <v>2893</v>
      </c>
      <c r="ALL1" t="s">
        <v>2894</v>
      </c>
      <c r="ALM1" t="s">
        <v>2895</v>
      </c>
      <c r="ALN1" t="s">
        <v>2896</v>
      </c>
      <c r="ALO1" t="s">
        <v>2897</v>
      </c>
      <c r="ALP1" t="s">
        <v>2898</v>
      </c>
      <c r="ALQ1" t="s">
        <v>2899</v>
      </c>
      <c r="ALR1" t="s">
        <v>2900</v>
      </c>
      <c r="ALS1" t="s">
        <v>2901</v>
      </c>
      <c r="ALT1" t="s">
        <v>2902</v>
      </c>
      <c r="ALU1" t="s">
        <v>2903</v>
      </c>
      <c r="ALV1" t="s">
        <v>2904</v>
      </c>
      <c r="ALW1" t="s">
        <v>2905</v>
      </c>
      <c r="ALX1" t="s">
        <v>2906</v>
      </c>
      <c r="ALY1" t="s">
        <v>2907</v>
      </c>
      <c r="ALZ1" t="s">
        <v>2908</v>
      </c>
      <c r="AMA1" t="s">
        <v>2909</v>
      </c>
      <c r="AMB1" t="s">
        <v>2910</v>
      </c>
      <c r="AMC1" t="s">
        <v>2911</v>
      </c>
      <c r="AMD1" t="s">
        <v>2912</v>
      </c>
      <c r="AME1" t="s">
        <v>2913</v>
      </c>
      <c r="AMF1" t="s">
        <v>2914</v>
      </c>
      <c r="AMG1" t="s">
        <v>2915</v>
      </c>
      <c r="AMH1" t="s">
        <v>2916</v>
      </c>
      <c r="AMI1" t="s">
        <v>2917</v>
      </c>
      <c r="AMJ1" t="s">
        <v>2918</v>
      </c>
      <c r="AMK1" t="s">
        <v>2919</v>
      </c>
      <c r="AML1" t="s">
        <v>2920</v>
      </c>
      <c r="AMM1" t="s">
        <v>2921</v>
      </c>
      <c r="AMN1" t="s">
        <v>2922</v>
      </c>
      <c r="AMO1" t="s">
        <v>2923</v>
      </c>
      <c r="AMP1" t="s">
        <v>2924</v>
      </c>
      <c r="AMQ1" t="s">
        <v>2925</v>
      </c>
      <c r="AMR1" t="s">
        <v>2926</v>
      </c>
      <c r="AMS1" t="s">
        <v>2927</v>
      </c>
      <c r="AMT1" t="s">
        <v>2928</v>
      </c>
      <c r="AMU1" t="s">
        <v>2929</v>
      </c>
      <c r="AMV1" t="s">
        <v>2930</v>
      </c>
      <c r="AMW1" t="s">
        <v>2931</v>
      </c>
      <c r="AMX1" t="s">
        <v>2932</v>
      </c>
      <c r="AMY1" t="s">
        <v>2933</v>
      </c>
      <c r="AMZ1" t="s">
        <v>2934</v>
      </c>
      <c r="ANA1" t="s">
        <v>2935</v>
      </c>
      <c r="ANB1" t="s">
        <v>2936</v>
      </c>
      <c r="ANC1" t="s">
        <v>2937</v>
      </c>
      <c r="AND1" t="s">
        <v>2938</v>
      </c>
      <c r="ANE1" t="s">
        <v>2939</v>
      </c>
      <c r="ANF1" t="s">
        <v>2940</v>
      </c>
      <c r="ANG1" t="s">
        <v>2941</v>
      </c>
      <c r="ANH1" t="s">
        <v>2942</v>
      </c>
      <c r="ANI1" t="s">
        <v>2943</v>
      </c>
      <c r="ANJ1" t="s">
        <v>2944</v>
      </c>
      <c r="ANK1" t="s">
        <v>2945</v>
      </c>
      <c r="ANL1" t="s">
        <v>2946</v>
      </c>
      <c r="ANM1" t="s">
        <v>2947</v>
      </c>
      <c r="ANN1" t="s">
        <v>2948</v>
      </c>
      <c r="ANO1" t="s">
        <v>2949</v>
      </c>
      <c r="ANP1" t="s">
        <v>2950</v>
      </c>
      <c r="ANQ1" t="s">
        <v>2951</v>
      </c>
      <c r="ANR1" t="s">
        <v>2952</v>
      </c>
      <c r="ANS1" t="s">
        <v>2953</v>
      </c>
      <c r="ANT1" t="s">
        <v>2954</v>
      </c>
      <c r="ANU1" t="s">
        <v>2955</v>
      </c>
      <c r="ANV1" t="s">
        <v>2956</v>
      </c>
      <c r="ANW1" t="s">
        <v>2957</v>
      </c>
      <c r="ANX1" t="s">
        <v>2958</v>
      </c>
      <c r="ANY1" t="s">
        <v>2959</v>
      </c>
      <c r="ANZ1" t="s">
        <v>2960</v>
      </c>
      <c r="AOA1" t="s">
        <v>2961</v>
      </c>
      <c r="AOB1" t="s">
        <v>2962</v>
      </c>
      <c r="AOC1" t="s">
        <v>2963</v>
      </c>
      <c r="AOD1" t="s">
        <v>2964</v>
      </c>
      <c r="AOE1" t="s">
        <v>2965</v>
      </c>
      <c r="AOF1" t="s">
        <v>2966</v>
      </c>
      <c r="AOG1" t="s">
        <v>2967</v>
      </c>
      <c r="AOH1" t="s">
        <v>2968</v>
      </c>
      <c r="AOI1" t="s">
        <v>2969</v>
      </c>
      <c r="AOJ1" t="s">
        <v>2970</v>
      </c>
      <c r="AOK1" t="s">
        <v>2971</v>
      </c>
      <c r="AOL1" t="s">
        <v>2972</v>
      </c>
      <c r="AOM1" t="s">
        <v>2973</v>
      </c>
      <c r="AON1" t="s">
        <v>2974</v>
      </c>
      <c r="AOO1" t="s">
        <v>2975</v>
      </c>
      <c r="AOP1" t="s">
        <v>2976</v>
      </c>
      <c r="AOQ1" t="s">
        <v>2977</v>
      </c>
      <c r="AOR1" t="s">
        <v>2978</v>
      </c>
      <c r="AOS1" t="s">
        <v>2979</v>
      </c>
      <c r="AOT1" t="s">
        <v>2980</v>
      </c>
      <c r="AOU1" t="s">
        <v>2981</v>
      </c>
      <c r="AOV1" t="s">
        <v>2982</v>
      </c>
      <c r="AOW1" t="s">
        <v>2983</v>
      </c>
      <c r="AOX1" t="s">
        <v>2984</v>
      </c>
      <c r="AOY1" t="s">
        <v>2985</v>
      </c>
      <c r="AOZ1" t="s">
        <v>2986</v>
      </c>
      <c r="APA1" t="s">
        <v>2987</v>
      </c>
      <c r="APB1" t="s">
        <v>2988</v>
      </c>
      <c r="APC1" t="s">
        <v>2989</v>
      </c>
      <c r="APD1" t="s">
        <v>2990</v>
      </c>
      <c r="APE1" t="s">
        <v>2991</v>
      </c>
      <c r="APF1" t="s">
        <v>2992</v>
      </c>
      <c r="APG1" t="s">
        <v>2993</v>
      </c>
      <c r="APH1" t="s">
        <v>2994</v>
      </c>
      <c r="API1" t="s">
        <v>2995</v>
      </c>
      <c r="APJ1" t="s">
        <v>2996</v>
      </c>
      <c r="APK1" t="s">
        <v>2997</v>
      </c>
      <c r="APL1" t="s">
        <v>2998</v>
      </c>
      <c r="APM1" t="s">
        <v>2999</v>
      </c>
      <c r="APN1" t="s">
        <v>3000</v>
      </c>
      <c r="APO1" t="s">
        <v>3001</v>
      </c>
      <c r="APP1" t="s">
        <v>3002</v>
      </c>
      <c r="APQ1" t="s">
        <v>3003</v>
      </c>
      <c r="APR1" t="s">
        <v>3004</v>
      </c>
      <c r="APS1" t="s">
        <v>3005</v>
      </c>
      <c r="APT1" t="s">
        <v>3006</v>
      </c>
      <c r="APU1" t="s">
        <v>3007</v>
      </c>
      <c r="APV1" t="s">
        <v>3008</v>
      </c>
      <c r="APW1" t="s">
        <v>3009</v>
      </c>
      <c r="APX1" t="s">
        <v>3010</v>
      </c>
      <c r="APY1" t="s">
        <v>3011</v>
      </c>
      <c r="APZ1" t="s">
        <v>3012</v>
      </c>
      <c r="AQA1" t="s">
        <v>3013</v>
      </c>
      <c r="AQB1" t="s">
        <v>3014</v>
      </c>
      <c r="AQC1" t="s">
        <v>3015</v>
      </c>
      <c r="AQD1" t="s">
        <v>3016</v>
      </c>
      <c r="AQE1" t="s">
        <v>3017</v>
      </c>
      <c r="AQF1" t="s">
        <v>3018</v>
      </c>
      <c r="AQG1" t="s">
        <v>3019</v>
      </c>
      <c r="AQH1" t="s">
        <v>3020</v>
      </c>
      <c r="AQI1" t="s">
        <v>3021</v>
      </c>
      <c r="AQJ1" t="s">
        <v>3022</v>
      </c>
      <c r="AQK1" t="s">
        <v>3023</v>
      </c>
      <c r="AQL1" t="s">
        <v>3024</v>
      </c>
      <c r="AQM1" t="s">
        <v>3025</v>
      </c>
      <c r="AQN1" t="s">
        <v>3026</v>
      </c>
      <c r="AQO1" t="s">
        <v>3027</v>
      </c>
      <c r="AQP1" t="s">
        <v>3028</v>
      </c>
      <c r="AQQ1" t="s">
        <v>3029</v>
      </c>
      <c r="AQR1" t="s">
        <v>3030</v>
      </c>
      <c r="AQS1" t="s">
        <v>3031</v>
      </c>
      <c r="AQT1" t="s">
        <v>3032</v>
      </c>
      <c r="AQU1" t="s">
        <v>3033</v>
      </c>
      <c r="AQV1" t="s">
        <v>3034</v>
      </c>
      <c r="AQW1" t="s">
        <v>3035</v>
      </c>
      <c r="AQX1" t="s">
        <v>3036</v>
      </c>
      <c r="AQY1" t="s">
        <v>3037</v>
      </c>
      <c r="AQZ1" t="s">
        <v>3038</v>
      </c>
      <c r="ARA1" t="s">
        <v>3039</v>
      </c>
      <c r="ARB1" t="s">
        <v>3040</v>
      </c>
      <c r="ARC1" t="s">
        <v>3041</v>
      </c>
      <c r="ARD1" t="s">
        <v>3042</v>
      </c>
      <c r="ARE1" t="s">
        <v>3043</v>
      </c>
      <c r="ARF1" t="s">
        <v>3044</v>
      </c>
      <c r="ARG1" t="s">
        <v>3045</v>
      </c>
      <c r="ARH1" t="s">
        <v>3046</v>
      </c>
      <c r="ARI1" t="s">
        <v>3047</v>
      </c>
      <c r="ARJ1" t="s">
        <v>3048</v>
      </c>
      <c r="ARK1" t="s">
        <v>3049</v>
      </c>
      <c r="ARL1" t="s">
        <v>3050</v>
      </c>
      <c r="ARM1" t="s">
        <v>3051</v>
      </c>
      <c r="ARN1" t="s">
        <v>3052</v>
      </c>
      <c r="ARO1" t="s">
        <v>3053</v>
      </c>
      <c r="ARP1" t="s">
        <v>3054</v>
      </c>
      <c r="ARQ1" t="s">
        <v>3055</v>
      </c>
      <c r="ARR1" t="s">
        <v>3056</v>
      </c>
      <c r="ARS1" t="s">
        <v>3057</v>
      </c>
      <c r="ART1" t="s">
        <v>3058</v>
      </c>
      <c r="ARU1" t="s">
        <v>3059</v>
      </c>
      <c r="ARV1" t="s">
        <v>3060</v>
      </c>
      <c r="ARW1" t="s">
        <v>3061</v>
      </c>
      <c r="ARX1" t="s">
        <v>3062</v>
      </c>
      <c r="ARY1" t="s">
        <v>3063</v>
      </c>
      <c r="ARZ1" t="s">
        <v>3064</v>
      </c>
      <c r="ASA1" t="s">
        <v>3065</v>
      </c>
      <c r="ASB1" t="s">
        <v>3066</v>
      </c>
      <c r="ASC1" t="s">
        <v>3067</v>
      </c>
      <c r="ASD1" t="s">
        <v>3068</v>
      </c>
      <c r="ASE1" t="s">
        <v>3069</v>
      </c>
      <c r="ASF1" t="s">
        <v>3070</v>
      </c>
      <c r="ASG1" t="s">
        <v>3071</v>
      </c>
      <c r="ASH1" t="s">
        <v>3072</v>
      </c>
      <c r="ASI1" t="s">
        <v>3073</v>
      </c>
      <c r="ASJ1" t="s">
        <v>3074</v>
      </c>
      <c r="ASK1" t="s">
        <v>3075</v>
      </c>
      <c r="ASL1" t="s">
        <v>3076</v>
      </c>
      <c r="ASM1" t="s">
        <v>3077</v>
      </c>
      <c r="ASN1" t="s">
        <v>3078</v>
      </c>
      <c r="ASO1" t="s">
        <v>3079</v>
      </c>
      <c r="ASP1" t="s">
        <v>3080</v>
      </c>
      <c r="ASQ1" t="s">
        <v>3081</v>
      </c>
      <c r="ASR1" t="s">
        <v>3082</v>
      </c>
      <c r="ASS1" t="s">
        <v>3083</v>
      </c>
      <c r="AST1" t="s">
        <v>3084</v>
      </c>
      <c r="ASU1" t="s">
        <v>3085</v>
      </c>
      <c r="ASV1" t="s">
        <v>3086</v>
      </c>
      <c r="ASW1" t="s">
        <v>3087</v>
      </c>
      <c r="ASX1" t="s">
        <v>3088</v>
      </c>
      <c r="ASY1" t="s">
        <v>3089</v>
      </c>
      <c r="ASZ1" t="s">
        <v>3090</v>
      </c>
      <c r="ATA1" t="s">
        <v>3091</v>
      </c>
      <c r="ATB1" t="s">
        <v>3092</v>
      </c>
      <c r="ATC1" t="s">
        <v>3093</v>
      </c>
      <c r="ATD1" t="s">
        <v>3094</v>
      </c>
      <c r="ATE1" t="s">
        <v>3095</v>
      </c>
      <c r="ATF1" t="s">
        <v>3096</v>
      </c>
      <c r="ATG1" t="s">
        <v>3097</v>
      </c>
      <c r="ATH1" t="s">
        <v>3098</v>
      </c>
      <c r="ATI1" t="s">
        <v>3099</v>
      </c>
      <c r="ATJ1" t="s">
        <v>3100</v>
      </c>
      <c r="ATK1" t="s">
        <v>3101</v>
      </c>
      <c r="ATL1" t="s">
        <v>3102</v>
      </c>
      <c r="ATM1" t="s">
        <v>3103</v>
      </c>
      <c r="ATN1" t="s">
        <v>3104</v>
      </c>
      <c r="ATO1" t="s">
        <v>3105</v>
      </c>
      <c r="ATP1" t="s">
        <v>3106</v>
      </c>
      <c r="ATQ1" t="s">
        <v>3107</v>
      </c>
      <c r="ATR1" t="s">
        <v>3108</v>
      </c>
      <c r="ATS1" t="s">
        <v>3109</v>
      </c>
      <c r="ATT1" t="s">
        <v>3110</v>
      </c>
      <c r="ATU1" t="s">
        <v>3111</v>
      </c>
      <c r="ATV1" t="s">
        <v>3112</v>
      </c>
      <c r="ATW1" t="s">
        <v>3113</v>
      </c>
      <c r="ATX1" t="s">
        <v>3114</v>
      </c>
      <c r="ATY1" t="s">
        <v>3115</v>
      </c>
      <c r="ATZ1" t="s">
        <v>3116</v>
      </c>
      <c r="AUA1" t="s">
        <v>3117</v>
      </c>
      <c r="AUB1" t="s">
        <v>3118</v>
      </c>
      <c r="AUC1" t="s">
        <v>3119</v>
      </c>
      <c r="AUD1" t="s">
        <v>3120</v>
      </c>
      <c r="AUE1" t="s">
        <v>3121</v>
      </c>
      <c r="AUF1" t="s">
        <v>3122</v>
      </c>
      <c r="AUG1" t="s">
        <v>3123</v>
      </c>
      <c r="AUH1" t="s">
        <v>3124</v>
      </c>
      <c r="AUI1" t="s">
        <v>3125</v>
      </c>
      <c r="AUJ1" t="s">
        <v>3126</v>
      </c>
      <c r="AUK1" t="s">
        <v>3127</v>
      </c>
      <c r="AUL1" t="s">
        <v>3128</v>
      </c>
      <c r="AUM1" t="s">
        <v>3129</v>
      </c>
      <c r="AUN1" t="s">
        <v>3130</v>
      </c>
      <c r="AUO1" t="s">
        <v>3131</v>
      </c>
      <c r="AUP1" t="s">
        <v>3132</v>
      </c>
      <c r="AUQ1" t="s">
        <v>3133</v>
      </c>
      <c r="AUR1" t="s">
        <v>3134</v>
      </c>
      <c r="AUS1" t="s">
        <v>3135</v>
      </c>
      <c r="AUT1" t="s">
        <v>3136</v>
      </c>
      <c r="AUU1" t="s">
        <v>3137</v>
      </c>
      <c r="AUV1" t="s">
        <v>3138</v>
      </c>
      <c r="AUW1" t="s">
        <v>3139</v>
      </c>
      <c r="AUX1" t="s">
        <v>3140</v>
      </c>
      <c r="AUY1" t="s">
        <v>3141</v>
      </c>
      <c r="AUZ1" t="s">
        <v>3142</v>
      </c>
      <c r="AVA1" t="s">
        <v>3143</v>
      </c>
      <c r="AVB1" t="s">
        <v>3144</v>
      </c>
      <c r="AVC1" t="s">
        <v>3145</v>
      </c>
      <c r="AVD1" t="s">
        <v>3146</v>
      </c>
      <c r="AVE1" t="s">
        <v>3147</v>
      </c>
      <c r="AVF1" t="s">
        <v>3148</v>
      </c>
      <c r="AVG1" t="s">
        <v>3149</v>
      </c>
      <c r="AVH1" t="s">
        <v>3150</v>
      </c>
      <c r="AVI1" t="s">
        <v>3151</v>
      </c>
      <c r="AVJ1" t="s">
        <v>3152</v>
      </c>
      <c r="AVK1" t="s">
        <v>3153</v>
      </c>
      <c r="AVL1" t="s">
        <v>3154</v>
      </c>
      <c r="AVM1" t="s">
        <v>3155</v>
      </c>
      <c r="AVN1" t="s">
        <v>3156</v>
      </c>
      <c r="AVO1" t="s">
        <v>3157</v>
      </c>
      <c r="AVP1" t="s">
        <v>3158</v>
      </c>
      <c r="AVQ1" t="s">
        <v>3159</v>
      </c>
      <c r="AVR1" t="s">
        <v>3160</v>
      </c>
      <c r="AVS1" t="s">
        <v>3161</v>
      </c>
      <c r="AVT1" t="s">
        <v>3162</v>
      </c>
      <c r="AVU1" t="s">
        <v>3163</v>
      </c>
      <c r="AVV1" t="s">
        <v>3164</v>
      </c>
      <c r="AVW1" t="s">
        <v>3165</v>
      </c>
      <c r="AVX1" t="s">
        <v>3166</v>
      </c>
      <c r="AVY1" t="s">
        <v>3167</v>
      </c>
      <c r="AVZ1" t="s">
        <v>3168</v>
      </c>
      <c r="AWA1" t="s">
        <v>3169</v>
      </c>
      <c r="AWB1" t="s">
        <v>3170</v>
      </c>
      <c r="AWC1" t="s">
        <v>3171</v>
      </c>
      <c r="AWD1" t="s">
        <v>3172</v>
      </c>
      <c r="AWE1" t="s">
        <v>3173</v>
      </c>
      <c r="AWF1" t="s">
        <v>3174</v>
      </c>
      <c r="AWG1" t="s">
        <v>3175</v>
      </c>
      <c r="AWH1" t="s">
        <v>3176</v>
      </c>
      <c r="AWI1" t="s">
        <v>3177</v>
      </c>
      <c r="AWJ1" t="s">
        <v>3178</v>
      </c>
      <c r="AWK1" t="s">
        <v>3179</v>
      </c>
      <c r="AWL1" t="s">
        <v>3180</v>
      </c>
      <c r="AWM1" t="s">
        <v>3181</v>
      </c>
      <c r="AWN1" t="s">
        <v>3182</v>
      </c>
      <c r="AWO1" t="s">
        <v>3183</v>
      </c>
      <c r="AWP1" t="s">
        <v>3184</v>
      </c>
      <c r="AWQ1" t="s">
        <v>3185</v>
      </c>
      <c r="AWR1" t="s">
        <v>3186</v>
      </c>
      <c r="AWS1" t="s">
        <v>3187</v>
      </c>
      <c r="AWT1" t="s">
        <v>3188</v>
      </c>
      <c r="AWU1" t="s">
        <v>3189</v>
      </c>
      <c r="AWV1" t="s">
        <v>3190</v>
      </c>
      <c r="AWW1" t="s">
        <v>3191</v>
      </c>
      <c r="AWX1" t="s">
        <v>3192</v>
      </c>
      <c r="AWY1" t="s">
        <v>3193</v>
      </c>
      <c r="AWZ1" t="s">
        <v>3194</v>
      </c>
      <c r="AXA1" t="s">
        <v>3195</v>
      </c>
      <c r="AXB1" t="s">
        <v>3196</v>
      </c>
      <c r="AXC1" t="s">
        <v>3197</v>
      </c>
      <c r="AXD1" t="s">
        <v>3198</v>
      </c>
      <c r="AXE1" t="s">
        <v>3199</v>
      </c>
      <c r="AXF1" t="s">
        <v>3200</v>
      </c>
      <c r="AXG1" t="s">
        <v>3201</v>
      </c>
      <c r="AXH1" t="s">
        <v>3202</v>
      </c>
      <c r="AXI1" t="s">
        <v>3203</v>
      </c>
      <c r="AXJ1" t="s">
        <v>3204</v>
      </c>
      <c r="AXK1" t="s">
        <v>3205</v>
      </c>
      <c r="AXL1" t="s">
        <v>3206</v>
      </c>
      <c r="AXM1" t="s">
        <v>3207</v>
      </c>
      <c r="AXN1" t="s">
        <v>3208</v>
      </c>
      <c r="AXO1" t="s">
        <v>3209</v>
      </c>
      <c r="AXP1" t="s">
        <v>3210</v>
      </c>
      <c r="AXQ1" t="s">
        <v>3211</v>
      </c>
      <c r="AXR1" t="s">
        <v>3212</v>
      </c>
      <c r="AXS1" t="s">
        <v>3213</v>
      </c>
      <c r="AXT1" t="s">
        <v>3214</v>
      </c>
      <c r="AXU1" t="s">
        <v>3215</v>
      </c>
      <c r="AXV1" t="s">
        <v>3216</v>
      </c>
      <c r="AXW1" t="s">
        <v>3217</v>
      </c>
      <c r="AXX1" t="s">
        <v>3218</v>
      </c>
      <c r="AXY1" t="s">
        <v>3219</v>
      </c>
      <c r="AXZ1" t="s">
        <v>3220</v>
      </c>
      <c r="AYA1" t="s">
        <v>3221</v>
      </c>
      <c r="AYB1" t="s">
        <v>3222</v>
      </c>
      <c r="AYC1" t="s">
        <v>3223</v>
      </c>
      <c r="AYD1" t="s">
        <v>3224</v>
      </c>
      <c r="AYE1" t="s">
        <v>3225</v>
      </c>
      <c r="AYF1" t="s">
        <v>3226</v>
      </c>
      <c r="AYG1" t="s">
        <v>3227</v>
      </c>
      <c r="AYH1" t="s">
        <v>3228</v>
      </c>
      <c r="AYI1" t="s">
        <v>3229</v>
      </c>
      <c r="AYJ1" t="s">
        <v>3230</v>
      </c>
      <c r="AYK1" t="s">
        <v>3231</v>
      </c>
      <c r="AYL1" t="s">
        <v>3232</v>
      </c>
      <c r="AYM1" t="s">
        <v>3233</v>
      </c>
      <c r="AYN1" t="s">
        <v>3234</v>
      </c>
      <c r="AYO1" t="s">
        <v>3235</v>
      </c>
      <c r="AYP1" t="s">
        <v>3236</v>
      </c>
      <c r="AYQ1" t="s">
        <v>3237</v>
      </c>
      <c r="AYR1" t="s">
        <v>3238</v>
      </c>
      <c r="AYS1" t="s">
        <v>3239</v>
      </c>
      <c r="AYT1" t="s">
        <v>3240</v>
      </c>
      <c r="AYU1" t="s">
        <v>3241</v>
      </c>
      <c r="AYV1" t="s">
        <v>3242</v>
      </c>
      <c r="AYW1" t="s">
        <v>3243</v>
      </c>
      <c r="AYX1" t="s">
        <v>3244</v>
      </c>
      <c r="AYY1" t="s">
        <v>3245</v>
      </c>
      <c r="AYZ1" t="s">
        <v>3246</v>
      </c>
      <c r="AZA1" t="s">
        <v>3247</v>
      </c>
      <c r="AZB1" t="s">
        <v>3248</v>
      </c>
      <c r="AZC1" t="s">
        <v>3249</v>
      </c>
      <c r="AZD1" t="s">
        <v>3250</v>
      </c>
      <c r="AZE1" t="s">
        <v>3251</v>
      </c>
      <c r="AZF1" t="s">
        <v>3252</v>
      </c>
      <c r="AZG1" t="s">
        <v>3253</v>
      </c>
      <c r="AZH1" t="s">
        <v>3254</v>
      </c>
      <c r="AZI1" t="s">
        <v>3255</v>
      </c>
      <c r="AZJ1" t="s">
        <v>3256</v>
      </c>
      <c r="AZK1" t="s">
        <v>3257</v>
      </c>
      <c r="AZL1" t="s">
        <v>3258</v>
      </c>
      <c r="AZM1" t="s">
        <v>3259</v>
      </c>
      <c r="AZN1" t="s">
        <v>3260</v>
      </c>
      <c r="AZO1" t="s">
        <v>3261</v>
      </c>
      <c r="AZP1" t="s">
        <v>3262</v>
      </c>
      <c r="AZQ1" t="s">
        <v>3263</v>
      </c>
      <c r="AZR1" t="s">
        <v>3264</v>
      </c>
      <c r="AZS1" t="s">
        <v>3265</v>
      </c>
      <c r="AZT1" t="s">
        <v>3266</v>
      </c>
      <c r="AZU1" t="s">
        <v>3267</v>
      </c>
      <c r="AZV1" t="s">
        <v>3268</v>
      </c>
      <c r="AZW1" t="s">
        <v>3269</v>
      </c>
      <c r="AZX1" t="s">
        <v>3270</v>
      </c>
      <c r="AZY1" t="s">
        <v>3271</v>
      </c>
      <c r="AZZ1" t="s">
        <v>3272</v>
      </c>
      <c r="BAA1" t="s">
        <v>3273</v>
      </c>
      <c r="BAB1" t="s">
        <v>3274</v>
      </c>
      <c r="BAC1" t="s">
        <v>3275</v>
      </c>
      <c r="BAD1" t="s">
        <v>3276</v>
      </c>
      <c r="BAE1" t="s">
        <v>3277</v>
      </c>
      <c r="BAF1" t="s">
        <v>3278</v>
      </c>
      <c r="BAG1" t="s">
        <v>3279</v>
      </c>
      <c r="BAH1" t="s">
        <v>3280</v>
      </c>
      <c r="BAI1" t="s">
        <v>3281</v>
      </c>
      <c r="BAJ1" t="s">
        <v>3282</v>
      </c>
      <c r="BAK1" t="s">
        <v>3283</v>
      </c>
      <c r="BAL1" t="s">
        <v>3284</v>
      </c>
      <c r="BAM1" t="s">
        <v>3285</v>
      </c>
      <c r="BAN1" t="s">
        <v>3286</v>
      </c>
      <c r="BAO1" t="s">
        <v>3287</v>
      </c>
      <c r="BAP1" t="s">
        <v>3288</v>
      </c>
      <c r="BAQ1" t="s">
        <v>3289</v>
      </c>
      <c r="BAR1" t="s">
        <v>3290</v>
      </c>
      <c r="BAS1" t="s">
        <v>3291</v>
      </c>
      <c r="BAT1" t="s">
        <v>3292</v>
      </c>
      <c r="BAU1" t="s">
        <v>3293</v>
      </c>
      <c r="BAV1" t="s">
        <v>3294</v>
      </c>
      <c r="BAW1" t="s">
        <v>3295</v>
      </c>
      <c r="BAX1" t="s">
        <v>3296</v>
      </c>
      <c r="BAY1" t="s">
        <v>3297</v>
      </c>
      <c r="BAZ1" t="s">
        <v>3298</v>
      </c>
      <c r="BBA1" t="s">
        <v>3299</v>
      </c>
      <c r="BBB1" t="s">
        <v>3300</v>
      </c>
      <c r="BBC1" t="s">
        <v>3301</v>
      </c>
      <c r="BBD1" t="s">
        <v>3302</v>
      </c>
      <c r="BBE1" t="s">
        <v>3303</v>
      </c>
      <c r="BBF1" t="s">
        <v>3304</v>
      </c>
      <c r="BBG1" t="s">
        <v>3305</v>
      </c>
      <c r="BBH1" t="s">
        <v>3306</v>
      </c>
      <c r="BBI1" t="s">
        <v>3307</v>
      </c>
      <c r="BBJ1" t="s">
        <v>3308</v>
      </c>
      <c r="BBK1" t="s">
        <v>3309</v>
      </c>
      <c r="BBL1" t="s">
        <v>3310</v>
      </c>
      <c r="BBM1" t="s">
        <v>3311</v>
      </c>
      <c r="BBN1" t="s">
        <v>3312</v>
      </c>
      <c r="BBO1" t="s">
        <v>3313</v>
      </c>
      <c r="BBP1" t="s">
        <v>3314</v>
      </c>
      <c r="BBQ1" t="s">
        <v>3315</v>
      </c>
      <c r="BBR1" t="s">
        <v>3316</v>
      </c>
      <c r="BBS1" t="s">
        <v>3317</v>
      </c>
      <c r="BBT1" t="s">
        <v>3318</v>
      </c>
      <c r="BBU1" t="s">
        <v>3319</v>
      </c>
      <c r="BBV1" t="s">
        <v>3320</v>
      </c>
      <c r="BBW1" t="s">
        <v>3321</v>
      </c>
      <c r="BBX1" t="s">
        <v>3322</v>
      </c>
      <c r="BBY1" t="s">
        <v>3323</v>
      </c>
      <c r="BBZ1" t="s">
        <v>3324</v>
      </c>
      <c r="BCA1" t="s">
        <v>3325</v>
      </c>
      <c r="BCB1" t="s">
        <v>3326</v>
      </c>
      <c r="BCC1" t="s">
        <v>3327</v>
      </c>
      <c r="BCD1" t="s">
        <v>3328</v>
      </c>
      <c r="BCE1" t="s">
        <v>3329</v>
      </c>
      <c r="BCF1" t="s">
        <v>3330</v>
      </c>
      <c r="BCG1" t="s">
        <v>3331</v>
      </c>
      <c r="BCH1" t="s">
        <v>3332</v>
      </c>
      <c r="BCI1" t="s">
        <v>3333</v>
      </c>
      <c r="BCJ1" t="s">
        <v>3334</v>
      </c>
      <c r="BCK1" t="s">
        <v>3335</v>
      </c>
      <c r="BCL1" t="s">
        <v>3336</v>
      </c>
      <c r="BCM1" t="s">
        <v>3337</v>
      </c>
      <c r="BCN1" t="s">
        <v>3338</v>
      </c>
      <c r="BCO1" t="s">
        <v>3339</v>
      </c>
      <c r="BCP1" t="s">
        <v>3340</v>
      </c>
      <c r="BCQ1" t="s">
        <v>3341</v>
      </c>
      <c r="BCR1" t="s">
        <v>3342</v>
      </c>
      <c r="BCS1" t="s">
        <v>3343</v>
      </c>
      <c r="BCT1" t="s">
        <v>3344</v>
      </c>
      <c r="BCU1" t="s">
        <v>3345</v>
      </c>
      <c r="BCV1" t="s">
        <v>3346</v>
      </c>
      <c r="BCW1" t="s">
        <v>3347</v>
      </c>
      <c r="BCX1" t="s">
        <v>3348</v>
      </c>
      <c r="BCY1" t="s">
        <v>3349</v>
      </c>
      <c r="BCZ1" t="s">
        <v>3350</v>
      </c>
      <c r="BDA1" t="s">
        <v>3351</v>
      </c>
      <c r="BDB1" t="s">
        <v>3352</v>
      </c>
      <c r="BDC1" t="s">
        <v>3353</v>
      </c>
      <c r="BDD1" t="s">
        <v>3354</v>
      </c>
      <c r="BDE1" t="s">
        <v>3355</v>
      </c>
      <c r="BDF1" t="s">
        <v>3356</v>
      </c>
      <c r="BDG1" t="s">
        <v>3357</v>
      </c>
      <c r="BDH1" t="s">
        <v>3358</v>
      </c>
      <c r="BDI1" t="s">
        <v>3359</v>
      </c>
      <c r="BDJ1" t="s">
        <v>3360</v>
      </c>
      <c r="BDK1" t="s">
        <v>3361</v>
      </c>
      <c r="BDL1" t="s">
        <v>3362</v>
      </c>
      <c r="BDM1" t="s">
        <v>3363</v>
      </c>
      <c r="BDN1" t="s">
        <v>3364</v>
      </c>
      <c r="BDO1" t="s">
        <v>3365</v>
      </c>
      <c r="BDP1" t="s">
        <v>3366</v>
      </c>
      <c r="BDQ1" t="s">
        <v>3367</v>
      </c>
      <c r="BDR1" t="s">
        <v>3368</v>
      </c>
      <c r="BDS1" t="s">
        <v>3369</v>
      </c>
      <c r="BDT1" t="s">
        <v>3370</v>
      </c>
      <c r="BDU1" t="s">
        <v>3371</v>
      </c>
      <c r="BDV1" t="s">
        <v>3372</v>
      </c>
      <c r="BDW1" t="s">
        <v>3373</v>
      </c>
      <c r="BDX1" t="s">
        <v>3374</v>
      </c>
      <c r="BDY1" t="s">
        <v>3375</v>
      </c>
      <c r="BDZ1" t="s">
        <v>3376</v>
      </c>
      <c r="BEA1" t="s">
        <v>3377</v>
      </c>
      <c r="BEB1" t="s">
        <v>3378</v>
      </c>
      <c r="BEC1" t="s">
        <v>3379</v>
      </c>
      <c r="BED1" t="s">
        <v>3380</v>
      </c>
      <c r="BEE1" t="s">
        <v>3381</v>
      </c>
      <c r="BEF1" t="s">
        <v>3382</v>
      </c>
      <c r="BEG1" t="s">
        <v>3383</v>
      </c>
      <c r="BEH1" t="s">
        <v>3384</v>
      </c>
      <c r="BEI1" t="s">
        <v>3385</v>
      </c>
      <c r="BEJ1" t="s">
        <v>3386</v>
      </c>
      <c r="BEK1" t="s">
        <v>3387</v>
      </c>
      <c r="BEL1" t="s">
        <v>3388</v>
      </c>
      <c r="BEM1" t="s">
        <v>3389</v>
      </c>
      <c r="BEN1" t="s">
        <v>3390</v>
      </c>
      <c r="BEO1" t="s">
        <v>3391</v>
      </c>
      <c r="BEP1" t="s">
        <v>3392</v>
      </c>
      <c r="BEQ1" t="s">
        <v>3393</v>
      </c>
      <c r="BER1" t="s">
        <v>3394</v>
      </c>
      <c r="BES1" t="s">
        <v>3395</v>
      </c>
      <c r="BET1" t="s">
        <v>3396</v>
      </c>
      <c r="BEU1" t="s">
        <v>3397</v>
      </c>
      <c r="BEV1" t="s">
        <v>3398</v>
      </c>
      <c r="BEW1" t="s">
        <v>3399</v>
      </c>
      <c r="BEX1" t="s">
        <v>3400</v>
      </c>
      <c r="BEY1" t="s">
        <v>3401</v>
      </c>
      <c r="BEZ1" t="s">
        <v>3402</v>
      </c>
      <c r="BFA1" t="s">
        <v>3403</v>
      </c>
      <c r="BFB1" t="s">
        <v>3404</v>
      </c>
      <c r="BFC1" t="s">
        <v>3405</v>
      </c>
      <c r="BFD1" t="s">
        <v>3406</v>
      </c>
      <c r="BFE1" t="s">
        <v>3407</v>
      </c>
      <c r="BFF1" t="s">
        <v>3408</v>
      </c>
      <c r="BFG1" t="s">
        <v>3409</v>
      </c>
      <c r="BFH1" t="s">
        <v>3410</v>
      </c>
      <c r="BFI1" t="s">
        <v>3411</v>
      </c>
      <c r="BFJ1" t="s">
        <v>3412</v>
      </c>
      <c r="BFK1" t="s">
        <v>3413</v>
      </c>
      <c r="BFL1" t="s">
        <v>3414</v>
      </c>
      <c r="BFM1" t="s">
        <v>3415</v>
      </c>
      <c r="BFN1" t="s">
        <v>3416</v>
      </c>
      <c r="BFO1" t="s">
        <v>3417</v>
      </c>
      <c r="BFP1" t="s">
        <v>3418</v>
      </c>
      <c r="BFQ1" t="s">
        <v>3419</v>
      </c>
      <c r="BFR1" t="s">
        <v>3420</v>
      </c>
      <c r="BFS1" t="s">
        <v>3421</v>
      </c>
      <c r="BFT1" t="s">
        <v>3422</v>
      </c>
      <c r="BFU1" t="s">
        <v>3423</v>
      </c>
      <c r="BFV1" t="s">
        <v>3424</v>
      </c>
      <c r="BFW1" t="s">
        <v>3425</v>
      </c>
      <c r="BFX1" t="s">
        <v>3426</v>
      </c>
      <c r="BFY1" t="s">
        <v>3427</v>
      </c>
      <c r="BFZ1" t="s">
        <v>3428</v>
      </c>
      <c r="BGA1" t="s">
        <v>3429</v>
      </c>
      <c r="BGB1" t="s">
        <v>3430</v>
      </c>
      <c r="BGC1" t="s">
        <v>3431</v>
      </c>
      <c r="BGD1" t="s">
        <v>3432</v>
      </c>
      <c r="BGE1" t="s">
        <v>3433</v>
      </c>
      <c r="BGF1" t="s">
        <v>3434</v>
      </c>
      <c r="BGG1" t="s">
        <v>3435</v>
      </c>
      <c r="BGH1" t="s">
        <v>3436</v>
      </c>
      <c r="BGI1" t="s">
        <v>3437</v>
      </c>
      <c r="BGJ1" t="s">
        <v>3438</v>
      </c>
      <c r="BGK1" t="s">
        <v>3439</v>
      </c>
      <c r="BGL1" t="s">
        <v>3440</v>
      </c>
      <c r="BGM1" t="s">
        <v>3441</v>
      </c>
      <c r="BGN1" t="s">
        <v>3442</v>
      </c>
      <c r="BGO1" t="s">
        <v>3443</v>
      </c>
      <c r="BGP1" t="s">
        <v>3444</v>
      </c>
      <c r="BGQ1" t="s">
        <v>3445</v>
      </c>
      <c r="BGR1" t="s">
        <v>3446</v>
      </c>
      <c r="BGS1" t="s">
        <v>3447</v>
      </c>
      <c r="BGT1" t="s">
        <v>3448</v>
      </c>
      <c r="BGU1" t="s">
        <v>3449</v>
      </c>
      <c r="BGV1" t="s">
        <v>3450</v>
      </c>
      <c r="BGW1" t="s">
        <v>3451</v>
      </c>
      <c r="BGX1" t="s">
        <v>3452</v>
      </c>
      <c r="BGY1" t="s">
        <v>3453</v>
      </c>
      <c r="BGZ1" t="s">
        <v>3454</v>
      </c>
      <c r="BHA1" t="s">
        <v>3455</v>
      </c>
      <c r="BHB1" t="s">
        <v>3456</v>
      </c>
      <c r="BHC1" t="s">
        <v>3457</v>
      </c>
      <c r="BHD1" t="s">
        <v>3458</v>
      </c>
      <c r="BHE1" t="s">
        <v>3459</v>
      </c>
      <c r="BHF1" t="s">
        <v>3460</v>
      </c>
      <c r="BHG1" t="s">
        <v>3461</v>
      </c>
      <c r="BHH1" t="s">
        <v>3462</v>
      </c>
      <c r="BHI1" t="s">
        <v>3463</v>
      </c>
      <c r="BHJ1" t="s">
        <v>3464</v>
      </c>
      <c r="BHK1" t="s">
        <v>3465</v>
      </c>
      <c r="BHL1" t="s">
        <v>3466</v>
      </c>
      <c r="BHM1" t="s">
        <v>3467</v>
      </c>
      <c r="BHN1" t="s">
        <v>3468</v>
      </c>
      <c r="BHO1" t="s">
        <v>3469</v>
      </c>
      <c r="BHP1" t="s">
        <v>3470</v>
      </c>
      <c r="BHQ1" t="s">
        <v>3471</v>
      </c>
      <c r="BHR1" t="s">
        <v>3472</v>
      </c>
      <c r="BHS1" t="s">
        <v>3473</v>
      </c>
      <c r="BHT1" t="s">
        <v>3474</v>
      </c>
      <c r="BHU1" t="s">
        <v>3475</v>
      </c>
      <c r="BHV1" t="s">
        <v>3476</v>
      </c>
      <c r="BHW1" t="s">
        <v>3477</v>
      </c>
      <c r="BHX1" t="s">
        <v>3478</v>
      </c>
      <c r="BHY1" t="s">
        <v>3479</v>
      </c>
      <c r="BHZ1" t="s">
        <v>3480</v>
      </c>
      <c r="BIA1" t="s">
        <v>3481</v>
      </c>
      <c r="BIB1" t="s">
        <v>3482</v>
      </c>
      <c r="BIC1" t="s">
        <v>3483</v>
      </c>
      <c r="BID1" t="s">
        <v>3484</v>
      </c>
      <c r="BIE1" t="s">
        <v>3485</v>
      </c>
      <c r="BIF1" t="s">
        <v>3486</v>
      </c>
      <c r="BIG1" t="s">
        <v>3487</v>
      </c>
      <c r="BIH1" t="s">
        <v>3488</v>
      </c>
      <c r="BII1" t="s">
        <v>3489</v>
      </c>
      <c r="BIJ1" t="s">
        <v>3490</v>
      </c>
      <c r="BIK1" t="s">
        <v>3491</v>
      </c>
      <c r="BIL1" t="s">
        <v>3492</v>
      </c>
      <c r="BIM1" t="s">
        <v>3493</v>
      </c>
      <c r="BIN1" t="s">
        <v>3494</v>
      </c>
      <c r="BIO1" t="s">
        <v>3495</v>
      </c>
      <c r="BIP1" t="s">
        <v>3496</v>
      </c>
      <c r="BIQ1" t="s">
        <v>3497</v>
      </c>
      <c r="BIR1" t="s">
        <v>3498</v>
      </c>
      <c r="BIS1" t="s">
        <v>3499</v>
      </c>
      <c r="BIT1" t="s">
        <v>3500</v>
      </c>
      <c r="BIU1" t="s">
        <v>3501</v>
      </c>
      <c r="BIV1" t="s">
        <v>3502</v>
      </c>
      <c r="BIW1" t="s">
        <v>3503</v>
      </c>
      <c r="BIX1" t="s">
        <v>3504</v>
      </c>
      <c r="BIY1" t="s">
        <v>3505</v>
      </c>
      <c r="BIZ1" t="s">
        <v>3506</v>
      </c>
      <c r="BJA1" t="s">
        <v>3507</v>
      </c>
      <c r="BJB1" t="s">
        <v>3508</v>
      </c>
      <c r="BJC1" t="s">
        <v>3509</v>
      </c>
      <c r="BJD1" t="s">
        <v>3510</v>
      </c>
      <c r="BJE1" t="s">
        <v>3511</v>
      </c>
      <c r="BJF1" t="s">
        <v>3512</v>
      </c>
      <c r="BJG1" t="s">
        <v>3513</v>
      </c>
      <c r="BJH1" t="s">
        <v>3514</v>
      </c>
      <c r="BJI1" t="s">
        <v>3515</v>
      </c>
      <c r="BJJ1" t="s">
        <v>3516</v>
      </c>
      <c r="BJK1" t="s">
        <v>3517</v>
      </c>
      <c r="BJL1" t="s">
        <v>3518</v>
      </c>
      <c r="BJM1" t="s">
        <v>3519</v>
      </c>
      <c r="BJN1" t="s">
        <v>3520</v>
      </c>
      <c r="BJO1" t="s">
        <v>3521</v>
      </c>
      <c r="BJP1" t="s">
        <v>3522</v>
      </c>
      <c r="BJQ1" t="s">
        <v>3523</v>
      </c>
      <c r="BJR1" t="s">
        <v>3524</v>
      </c>
      <c r="BJS1" t="s">
        <v>3525</v>
      </c>
      <c r="BJT1" t="s">
        <v>3526</v>
      </c>
      <c r="BJU1" t="s">
        <v>3527</v>
      </c>
      <c r="BJV1" t="s">
        <v>3528</v>
      </c>
      <c r="BJW1" t="s">
        <v>3529</v>
      </c>
      <c r="BJX1" t="s">
        <v>3530</v>
      </c>
      <c r="BJY1" t="s">
        <v>3531</v>
      </c>
      <c r="BJZ1" t="s">
        <v>3532</v>
      </c>
      <c r="BKA1" t="s">
        <v>3533</v>
      </c>
      <c r="BKB1" t="s">
        <v>3534</v>
      </c>
      <c r="BKC1" t="s">
        <v>3535</v>
      </c>
      <c r="BKD1" t="s">
        <v>3536</v>
      </c>
      <c r="BKE1" t="s">
        <v>3537</v>
      </c>
      <c r="BKF1" t="s">
        <v>3538</v>
      </c>
      <c r="BKG1" t="s">
        <v>3539</v>
      </c>
      <c r="BKH1" t="s">
        <v>3540</v>
      </c>
      <c r="BKI1" t="s">
        <v>3541</v>
      </c>
      <c r="BKJ1" t="s">
        <v>3542</v>
      </c>
      <c r="BKK1" t="s">
        <v>3543</v>
      </c>
      <c r="BKL1" t="s">
        <v>3544</v>
      </c>
      <c r="BKM1" t="s">
        <v>3545</v>
      </c>
      <c r="BKN1" t="s">
        <v>3546</v>
      </c>
      <c r="BKO1" t="s">
        <v>3547</v>
      </c>
      <c r="BKP1" t="s">
        <v>3548</v>
      </c>
      <c r="BKQ1" t="s">
        <v>3549</v>
      </c>
      <c r="BKR1" t="s">
        <v>3550</v>
      </c>
      <c r="BKS1" t="s">
        <v>3551</v>
      </c>
      <c r="BKT1" t="s">
        <v>3552</v>
      </c>
      <c r="BKU1" t="s">
        <v>3553</v>
      </c>
      <c r="BKV1" t="s">
        <v>3554</v>
      </c>
      <c r="BKW1" t="s">
        <v>3555</v>
      </c>
      <c r="BKX1" t="s">
        <v>3556</v>
      </c>
      <c r="BKY1" t="s">
        <v>3557</v>
      </c>
      <c r="BKZ1" t="s">
        <v>3558</v>
      </c>
      <c r="BLA1" t="s">
        <v>3559</v>
      </c>
      <c r="BLB1" t="s">
        <v>3560</v>
      </c>
      <c r="BLC1" t="s">
        <v>3561</v>
      </c>
      <c r="BLD1" t="s">
        <v>3562</v>
      </c>
      <c r="BLE1" t="s">
        <v>3563</v>
      </c>
      <c r="BLF1" t="s">
        <v>3564</v>
      </c>
      <c r="BLG1" t="s">
        <v>3565</v>
      </c>
      <c r="BLH1" t="s">
        <v>3566</v>
      </c>
      <c r="BLI1" t="s">
        <v>3567</v>
      </c>
      <c r="BLJ1" t="s">
        <v>3568</v>
      </c>
      <c r="BLK1" t="s">
        <v>3569</v>
      </c>
      <c r="BLL1" t="s">
        <v>3570</v>
      </c>
      <c r="BLM1" t="s">
        <v>3571</v>
      </c>
      <c r="BLN1" t="s">
        <v>3572</v>
      </c>
      <c r="BLO1" t="s">
        <v>3573</v>
      </c>
      <c r="BLP1" t="s">
        <v>3574</v>
      </c>
      <c r="BLQ1" t="s">
        <v>3575</v>
      </c>
      <c r="BLR1" t="s">
        <v>3576</v>
      </c>
      <c r="BLS1" t="s">
        <v>3577</v>
      </c>
      <c r="BLT1" t="s">
        <v>3578</v>
      </c>
      <c r="BLU1" t="s">
        <v>3579</v>
      </c>
      <c r="BLV1" t="s">
        <v>3580</v>
      </c>
      <c r="BLW1" t="s">
        <v>3581</v>
      </c>
      <c r="BLX1" t="s">
        <v>3582</v>
      </c>
      <c r="BLY1" t="s">
        <v>3583</v>
      </c>
      <c r="BLZ1" t="s">
        <v>3584</v>
      </c>
      <c r="BMA1" t="s">
        <v>3585</v>
      </c>
      <c r="BMB1" t="s">
        <v>3586</v>
      </c>
      <c r="BMC1" t="s">
        <v>3587</v>
      </c>
      <c r="BMD1" t="s">
        <v>3588</v>
      </c>
      <c r="BME1" t="s">
        <v>3589</v>
      </c>
      <c r="BMF1" t="s">
        <v>3590</v>
      </c>
      <c r="BMG1" t="s">
        <v>3591</v>
      </c>
      <c r="BMH1" t="s">
        <v>3592</v>
      </c>
      <c r="BMI1" t="s">
        <v>3593</v>
      </c>
      <c r="BMJ1" t="s">
        <v>3594</v>
      </c>
      <c r="BMK1" t="s">
        <v>3595</v>
      </c>
      <c r="BML1" t="s">
        <v>3596</v>
      </c>
      <c r="BMM1" t="s">
        <v>3597</v>
      </c>
      <c r="BMN1" t="s">
        <v>3598</v>
      </c>
      <c r="BMO1" t="s">
        <v>3599</v>
      </c>
      <c r="BMP1" t="s">
        <v>3600</v>
      </c>
      <c r="BMQ1" t="s">
        <v>3601</v>
      </c>
      <c r="BMR1" t="s">
        <v>3602</v>
      </c>
      <c r="BMS1" t="s">
        <v>3603</v>
      </c>
      <c r="BMT1" t="s">
        <v>3604</v>
      </c>
      <c r="BMU1" t="s">
        <v>3605</v>
      </c>
      <c r="BMV1" t="s">
        <v>3606</v>
      </c>
      <c r="BMW1" t="s">
        <v>3607</v>
      </c>
      <c r="BMX1" t="s">
        <v>3608</v>
      </c>
      <c r="BMY1" t="s">
        <v>3609</v>
      </c>
      <c r="BMZ1" t="s">
        <v>3610</v>
      </c>
      <c r="BNA1" t="s">
        <v>3611</v>
      </c>
      <c r="BNB1" t="s">
        <v>3612</v>
      </c>
      <c r="BNC1" t="s">
        <v>3613</v>
      </c>
      <c r="BND1" t="s">
        <v>3614</v>
      </c>
      <c r="BNE1" t="s">
        <v>3615</v>
      </c>
      <c r="BNF1" t="s">
        <v>3616</v>
      </c>
      <c r="BNG1" t="s">
        <v>3617</v>
      </c>
      <c r="BNH1" t="s">
        <v>3618</v>
      </c>
      <c r="BNI1" t="s">
        <v>3619</v>
      </c>
      <c r="BNJ1" t="s">
        <v>3620</v>
      </c>
      <c r="BNK1" t="s">
        <v>3621</v>
      </c>
      <c r="BNL1" t="s">
        <v>3622</v>
      </c>
      <c r="BNM1" t="s">
        <v>3623</v>
      </c>
      <c r="BNN1" t="s">
        <v>3624</v>
      </c>
      <c r="BNO1" t="s">
        <v>3625</v>
      </c>
      <c r="BNP1" t="s">
        <v>3626</v>
      </c>
      <c r="BNQ1" t="s">
        <v>3627</v>
      </c>
      <c r="BNR1" t="s">
        <v>3628</v>
      </c>
      <c r="BNS1" t="s">
        <v>3629</v>
      </c>
      <c r="BNT1" t="s">
        <v>3630</v>
      </c>
      <c r="BNU1" t="s">
        <v>3631</v>
      </c>
      <c r="BNV1" t="s">
        <v>3632</v>
      </c>
      <c r="BNW1" t="s">
        <v>3633</v>
      </c>
      <c r="BNX1" t="s">
        <v>3634</v>
      </c>
      <c r="BNY1" t="s">
        <v>3635</v>
      </c>
      <c r="BNZ1" t="s">
        <v>3636</v>
      </c>
      <c r="BOA1" t="s">
        <v>3637</v>
      </c>
      <c r="BOB1" t="s">
        <v>3638</v>
      </c>
      <c r="BOC1" t="s">
        <v>3639</v>
      </c>
      <c r="BOD1" t="s">
        <v>3640</v>
      </c>
      <c r="BOE1" t="s">
        <v>3641</v>
      </c>
      <c r="BOF1" t="s">
        <v>3642</v>
      </c>
      <c r="BOG1" t="s">
        <v>3643</v>
      </c>
      <c r="BOH1" t="s">
        <v>3644</v>
      </c>
      <c r="BOI1" t="s">
        <v>3645</v>
      </c>
      <c r="BOJ1" t="s">
        <v>3646</v>
      </c>
      <c r="BOK1" t="s">
        <v>3647</v>
      </c>
      <c r="BOL1" t="s">
        <v>3648</v>
      </c>
      <c r="BOM1" t="s">
        <v>3649</v>
      </c>
      <c r="BON1" t="s">
        <v>3650</v>
      </c>
      <c r="BOO1" t="s">
        <v>3651</v>
      </c>
      <c r="BOP1" t="s">
        <v>3652</v>
      </c>
      <c r="BOQ1" t="s">
        <v>3653</v>
      </c>
      <c r="BOR1" t="s">
        <v>3654</v>
      </c>
      <c r="BOS1" t="s">
        <v>3655</v>
      </c>
      <c r="BOT1" t="s">
        <v>3656</v>
      </c>
      <c r="BOU1" t="s">
        <v>3657</v>
      </c>
      <c r="BOV1" t="s">
        <v>3658</v>
      </c>
      <c r="BOW1" t="s">
        <v>3659</v>
      </c>
      <c r="BOX1" t="s">
        <v>3660</v>
      </c>
      <c r="BOY1" t="s">
        <v>3661</v>
      </c>
      <c r="BOZ1" t="s">
        <v>3662</v>
      </c>
      <c r="BPA1" t="s">
        <v>3663</v>
      </c>
      <c r="BPB1" t="s">
        <v>3664</v>
      </c>
      <c r="BPC1" t="s">
        <v>3665</v>
      </c>
      <c r="BPD1" t="s">
        <v>3666</v>
      </c>
      <c r="BPE1" t="s">
        <v>3667</v>
      </c>
      <c r="BPF1" t="s">
        <v>3668</v>
      </c>
      <c r="BPG1" t="s">
        <v>3669</v>
      </c>
      <c r="BPH1" t="s">
        <v>3670</v>
      </c>
      <c r="BPI1" t="s">
        <v>3671</v>
      </c>
      <c r="BPJ1" t="s">
        <v>3672</v>
      </c>
      <c r="BPK1" t="s">
        <v>3673</v>
      </c>
      <c r="BPL1" t="s">
        <v>3674</v>
      </c>
      <c r="BPM1" t="s">
        <v>3675</v>
      </c>
      <c r="BPN1" t="s">
        <v>3676</v>
      </c>
      <c r="BPO1" t="s">
        <v>3677</v>
      </c>
      <c r="BPP1" t="s">
        <v>3678</v>
      </c>
      <c r="BPQ1" t="s">
        <v>3679</v>
      </c>
      <c r="BPR1" t="s">
        <v>3680</v>
      </c>
      <c r="BPS1" t="s">
        <v>3681</v>
      </c>
      <c r="BPT1" t="s">
        <v>3682</v>
      </c>
      <c r="BPU1" t="s">
        <v>3683</v>
      </c>
      <c r="BPV1" t="s">
        <v>3684</v>
      </c>
      <c r="BPW1" t="s">
        <v>3685</v>
      </c>
      <c r="BPX1" t="s">
        <v>3686</v>
      </c>
      <c r="BPY1" t="s">
        <v>3687</v>
      </c>
      <c r="BPZ1" t="s">
        <v>3688</v>
      </c>
      <c r="BQA1" t="s">
        <v>3689</v>
      </c>
      <c r="BQB1" t="s">
        <v>3690</v>
      </c>
      <c r="BQC1" t="s">
        <v>3691</v>
      </c>
      <c r="BQD1" t="s">
        <v>3692</v>
      </c>
      <c r="BQE1" t="s">
        <v>3693</v>
      </c>
      <c r="BQF1" t="s">
        <v>3694</v>
      </c>
      <c r="BQG1" t="s">
        <v>3695</v>
      </c>
      <c r="BQH1" t="s">
        <v>3696</v>
      </c>
      <c r="BQI1" t="s">
        <v>3697</v>
      </c>
      <c r="BQJ1" t="s">
        <v>3698</v>
      </c>
      <c r="BQK1" t="s">
        <v>3699</v>
      </c>
      <c r="BQL1" t="s">
        <v>3700</v>
      </c>
      <c r="BQM1" t="s">
        <v>3701</v>
      </c>
      <c r="BQN1" t="s">
        <v>3702</v>
      </c>
      <c r="BQO1" t="s">
        <v>3703</v>
      </c>
      <c r="BQP1" t="s">
        <v>3704</v>
      </c>
      <c r="BQQ1" t="s">
        <v>3705</v>
      </c>
      <c r="BQR1" t="s">
        <v>3706</v>
      </c>
      <c r="BQS1" t="s">
        <v>3707</v>
      </c>
      <c r="BQT1" t="s">
        <v>3708</v>
      </c>
      <c r="BQU1" t="s">
        <v>3709</v>
      </c>
      <c r="BQV1" t="s">
        <v>3710</v>
      </c>
      <c r="BQW1" t="s">
        <v>3711</v>
      </c>
      <c r="BQX1" t="s">
        <v>3712</v>
      </c>
      <c r="BQY1" t="s">
        <v>3713</v>
      </c>
      <c r="BQZ1" t="s">
        <v>3714</v>
      </c>
      <c r="BRA1" t="s">
        <v>3715</v>
      </c>
      <c r="BRB1" t="s">
        <v>3716</v>
      </c>
      <c r="BRC1" t="s">
        <v>3717</v>
      </c>
      <c r="BRD1" t="s">
        <v>3718</v>
      </c>
      <c r="BRE1" t="s">
        <v>3719</v>
      </c>
      <c r="BRF1" t="s">
        <v>3720</v>
      </c>
      <c r="BRG1" t="s">
        <v>3721</v>
      </c>
      <c r="BRH1" t="s">
        <v>3722</v>
      </c>
      <c r="BRI1" t="s">
        <v>3723</v>
      </c>
      <c r="BRJ1" t="s">
        <v>3724</v>
      </c>
      <c r="BRK1" t="s">
        <v>3725</v>
      </c>
      <c r="BRL1" t="s">
        <v>3726</v>
      </c>
      <c r="BRM1" t="s">
        <v>3727</v>
      </c>
      <c r="BRN1" t="s">
        <v>3728</v>
      </c>
      <c r="BRO1" t="s">
        <v>3729</v>
      </c>
      <c r="BRP1" t="s">
        <v>3730</v>
      </c>
      <c r="BRQ1" t="s">
        <v>3731</v>
      </c>
      <c r="BRR1" t="s">
        <v>3732</v>
      </c>
      <c r="BRS1" t="s">
        <v>3733</v>
      </c>
      <c r="BRT1" t="s">
        <v>3734</v>
      </c>
      <c r="BRU1" t="s">
        <v>3735</v>
      </c>
      <c r="BRV1" t="s">
        <v>3736</v>
      </c>
      <c r="BRW1" t="s">
        <v>3737</v>
      </c>
      <c r="BRX1" t="s">
        <v>3738</v>
      </c>
      <c r="BRY1" t="s">
        <v>3739</v>
      </c>
      <c r="BRZ1" t="s">
        <v>3740</v>
      </c>
      <c r="BSA1" t="s">
        <v>3741</v>
      </c>
      <c r="BSB1" t="s">
        <v>3742</v>
      </c>
      <c r="BSC1" t="s">
        <v>3743</v>
      </c>
      <c r="BSD1" t="s">
        <v>3744</v>
      </c>
      <c r="BSE1" t="s">
        <v>3745</v>
      </c>
      <c r="BSF1" t="s">
        <v>3746</v>
      </c>
      <c r="BSG1" t="s">
        <v>3747</v>
      </c>
      <c r="BSH1" t="s">
        <v>3748</v>
      </c>
      <c r="BSI1" t="s">
        <v>3749</v>
      </c>
      <c r="BSJ1" t="s">
        <v>3750</v>
      </c>
      <c r="BSK1" t="s">
        <v>3751</v>
      </c>
      <c r="BSL1" t="s">
        <v>3752</v>
      </c>
      <c r="BSM1" t="s">
        <v>3753</v>
      </c>
      <c r="BSN1" t="s">
        <v>3754</v>
      </c>
      <c r="BSO1" t="s">
        <v>3755</v>
      </c>
      <c r="BSP1" t="s">
        <v>3756</v>
      </c>
      <c r="BSQ1" t="s">
        <v>3757</v>
      </c>
      <c r="BSR1" t="s">
        <v>3758</v>
      </c>
      <c r="BSS1" t="s">
        <v>3759</v>
      </c>
      <c r="BST1" t="s">
        <v>3760</v>
      </c>
      <c r="BSU1" t="s">
        <v>3761</v>
      </c>
      <c r="BSV1" t="s">
        <v>3762</v>
      </c>
      <c r="BSW1" t="s">
        <v>3763</v>
      </c>
      <c r="BSX1" t="s">
        <v>3764</v>
      </c>
      <c r="BSY1" t="s">
        <v>3765</v>
      </c>
      <c r="BSZ1" t="s">
        <v>3766</v>
      </c>
      <c r="BTA1" t="s">
        <v>3767</v>
      </c>
      <c r="BTB1" t="s">
        <v>3768</v>
      </c>
      <c r="BTC1" t="s">
        <v>3769</v>
      </c>
      <c r="BTD1" t="s">
        <v>3770</v>
      </c>
      <c r="BTE1" t="s">
        <v>3771</v>
      </c>
      <c r="BTF1" t="s">
        <v>3772</v>
      </c>
      <c r="BTG1" t="s">
        <v>3773</v>
      </c>
      <c r="BTH1" t="s">
        <v>3774</v>
      </c>
      <c r="BTI1" t="s">
        <v>3775</v>
      </c>
      <c r="BTJ1" t="s">
        <v>3776</v>
      </c>
      <c r="BTK1" t="s">
        <v>3777</v>
      </c>
      <c r="BTL1" t="s">
        <v>3778</v>
      </c>
      <c r="BTM1" t="s">
        <v>3779</v>
      </c>
      <c r="BTN1" t="s">
        <v>3780</v>
      </c>
      <c r="BTO1" t="s">
        <v>3781</v>
      </c>
      <c r="BTP1" t="s">
        <v>3782</v>
      </c>
      <c r="BTQ1" t="s">
        <v>3783</v>
      </c>
      <c r="BTR1" t="s">
        <v>3784</v>
      </c>
      <c r="BTS1" t="s">
        <v>3785</v>
      </c>
      <c r="BTT1" t="s">
        <v>3786</v>
      </c>
      <c r="BTU1" t="s">
        <v>3787</v>
      </c>
      <c r="BTV1" t="s">
        <v>3788</v>
      </c>
      <c r="BTW1" t="s">
        <v>3789</v>
      </c>
      <c r="BTX1" t="s">
        <v>3790</v>
      </c>
      <c r="BTY1" t="s">
        <v>3791</v>
      </c>
      <c r="BTZ1" t="s">
        <v>3792</v>
      </c>
      <c r="BUA1" t="s">
        <v>3793</v>
      </c>
      <c r="BUB1" t="s">
        <v>3794</v>
      </c>
      <c r="BUC1" t="s">
        <v>3795</v>
      </c>
      <c r="BUD1" t="s">
        <v>3796</v>
      </c>
      <c r="BUE1" t="s">
        <v>3797</v>
      </c>
      <c r="BUF1" t="s">
        <v>3798</v>
      </c>
      <c r="BUG1" t="s">
        <v>3799</v>
      </c>
      <c r="BUH1" t="s">
        <v>3800</v>
      </c>
      <c r="BUI1" t="s">
        <v>3801</v>
      </c>
      <c r="BUJ1" t="s">
        <v>3802</v>
      </c>
      <c r="BUK1" t="s">
        <v>3803</v>
      </c>
      <c r="BUL1" t="s">
        <v>3804</v>
      </c>
      <c r="BUM1" t="s">
        <v>3805</v>
      </c>
      <c r="BUN1" t="s">
        <v>3806</v>
      </c>
      <c r="BUO1" t="s">
        <v>3807</v>
      </c>
      <c r="BUP1" t="s">
        <v>3808</v>
      </c>
      <c r="BUQ1" t="s">
        <v>3809</v>
      </c>
      <c r="BUR1" t="s">
        <v>3810</v>
      </c>
      <c r="BUS1" t="s">
        <v>3811</v>
      </c>
      <c r="BUT1" t="s">
        <v>3812</v>
      </c>
      <c r="BUU1" t="s">
        <v>3813</v>
      </c>
      <c r="BUV1" t="s">
        <v>3814</v>
      </c>
      <c r="BUW1" t="s">
        <v>3815</v>
      </c>
      <c r="BUX1" t="s">
        <v>3816</v>
      </c>
      <c r="BUY1" t="s">
        <v>3817</v>
      </c>
      <c r="BUZ1" t="s">
        <v>3818</v>
      </c>
      <c r="BVA1" t="s">
        <v>3819</v>
      </c>
      <c r="BVB1" t="s">
        <v>3820</v>
      </c>
      <c r="BVC1" t="s">
        <v>3821</v>
      </c>
      <c r="BVD1" t="s">
        <v>3822</v>
      </c>
      <c r="BVE1" t="s">
        <v>3823</v>
      </c>
      <c r="BVF1" t="s">
        <v>3824</v>
      </c>
      <c r="BVG1" t="s">
        <v>3825</v>
      </c>
      <c r="BVH1" t="s">
        <v>3826</v>
      </c>
      <c r="BVI1" t="s">
        <v>3827</v>
      </c>
      <c r="BVJ1" t="s">
        <v>3828</v>
      </c>
      <c r="BVK1" t="s">
        <v>3829</v>
      </c>
      <c r="BVL1" t="s">
        <v>3830</v>
      </c>
      <c r="BVM1" t="s">
        <v>3831</v>
      </c>
      <c r="BVN1" t="s">
        <v>3832</v>
      </c>
      <c r="BVO1" t="s">
        <v>3833</v>
      </c>
      <c r="BVP1" t="s">
        <v>3834</v>
      </c>
      <c r="BVQ1" t="s">
        <v>3835</v>
      </c>
      <c r="BVR1" t="s">
        <v>3836</v>
      </c>
      <c r="BVS1" t="s">
        <v>3837</v>
      </c>
      <c r="BVT1" t="s">
        <v>3838</v>
      </c>
      <c r="BVU1" t="s">
        <v>3839</v>
      </c>
      <c r="BVV1" t="s">
        <v>3840</v>
      </c>
      <c r="BVW1" t="s">
        <v>3841</v>
      </c>
      <c r="BVX1" t="s">
        <v>3842</v>
      </c>
      <c r="BVY1" t="s">
        <v>3843</v>
      </c>
      <c r="BVZ1" t="s">
        <v>3844</v>
      </c>
      <c r="BWA1" t="s">
        <v>3845</v>
      </c>
      <c r="BWB1" t="s">
        <v>3846</v>
      </c>
      <c r="BWC1" t="s">
        <v>3847</v>
      </c>
      <c r="BWD1" t="s">
        <v>3848</v>
      </c>
      <c r="BWE1" t="s">
        <v>3849</v>
      </c>
      <c r="BWF1" t="s">
        <v>3850</v>
      </c>
      <c r="BWG1" t="s">
        <v>3851</v>
      </c>
      <c r="BWH1" t="s">
        <v>3852</v>
      </c>
      <c r="BWI1" t="s">
        <v>3853</v>
      </c>
      <c r="BWJ1" t="s">
        <v>3854</v>
      </c>
      <c r="BWK1" t="s">
        <v>3855</v>
      </c>
      <c r="BWL1" t="s">
        <v>3856</v>
      </c>
      <c r="BWM1" t="s">
        <v>3857</v>
      </c>
      <c r="BWN1" t="s">
        <v>3858</v>
      </c>
      <c r="BWO1" t="s">
        <v>3859</v>
      </c>
      <c r="BWP1" t="s">
        <v>3860</v>
      </c>
      <c r="BWQ1" t="s">
        <v>3861</v>
      </c>
      <c r="BWR1" t="s">
        <v>3862</v>
      </c>
      <c r="BWS1" t="s">
        <v>3863</v>
      </c>
      <c r="BWT1" t="s">
        <v>3864</v>
      </c>
      <c r="BWU1" t="s">
        <v>3865</v>
      </c>
      <c r="BWV1" t="s">
        <v>3866</v>
      </c>
      <c r="BWW1" t="s">
        <v>3867</v>
      </c>
      <c r="BWX1" t="s">
        <v>3868</v>
      </c>
      <c r="BWY1" t="s">
        <v>3869</v>
      </c>
      <c r="BWZ1" t="s">
        <v>3870</v>
      </c>
      <c r="BXA1" t="s">
        <v>3871</v>
      </c>
      <c r="BXB1" t="s">
        <v>3872</v>
      </c>
      <c r="BXC1" t="s">
        <v>3873</v>
      </c>
      <c r="BXD1" t="s">
        <v>3874</v>
      </c>
      <c r="BXE1" t="s">
        <v>3875</v>
      </c>
      <c r="BXF1" t="s">
        <v>3876</v>
      </c>
      <c r="BXG1" t="s">
        <v>3877</v>
      </c>
      <c r="BXH1" t="s">
        <v>3878</v>
      </c>
      <c r="BXI1" t="s">
        <v>3879</v>
      </c>
      <c r="BXJ1" t="s">
        <v>3880</v>
      </c>
      <c r="BXK1" t="s">
        <v>3881</v>
      </c>
      <c r="BXL1" t="s">
        <v>3882</v>
      </c>
      <c r="BXM1" t="s">
        <v>3883</v>
      </c>
      <c r="BXN1" t="s">
        <v>3884</v>
      </c>
      <c r="BXO1" t="s">
        <v>3885</v>
      </c>
      <c r="BXP1" t="s">
        <v>3886</v>
      </c>
      <c r="BXQ1" t="s">
        <v>3887</v>
      </c>
      <c r="BXR1" t="s">
        <v>3888</v>
      </c>
      <c r="BXS1" t="s">
        <v>3889</v>
      </c>
      <c r="BXT1" t="s">
        <v>3890</v>
      </c>
      <c r="BXU1" t="s">
        <v>3891</v>
      </c>
      <c r="BXV1" t="s">
        <v>3892</v>
      </c>
      <c r="BXW1" t="s">
        <v>3893</v>
      </c>
      <c r="BXX1" t="s">
        <v>3894</v>
      </c>
      <c r="BXY1" t="s">
        <v>3895</v>
      </c>
      <c r="BXZ1" t="s">
        <v>3896</v>
      </c>
      <c r="BYA1" t="s">
        <v>3897</v>
      </c>
      <c r="BYB1" t="s">
        <v>3898</v>
      </c>
      <c r="BYC1" t="s">
        <v>3899</v>
      </c>
      <c r="BYD1" t="s">
        <v>3900</v>
      </c>
      <c r="BYE1" t="s">
        <v>3901</v>
      </c>
      <c r="BYF1" t="s">
        <v>3902</v>
      </c>
      <c r="BYG1" t="s">
        <v>3903</v>
      </c>
      <c r="BYH1" t="s">
        <v>3904</v>
      </c>
      <c r="BYI1" t="s">
        <v>3905</v>
      </c>
      <c r="BYJ1" t="s">
        <v>3906</v>
      </c>
      <c r="BYK1" t="s">
        <v>3907</v>
      </c>
      <c r="BYL1" t="s">
        <v>3908</v>
      </c>
      <c r="BYM1" t="s">
        <v>3909</v>
      </c>
      <c r="BYN1" t="s">
        <v>3910</v>
      </c>
      <c r="BYO1" t="s">
        <v>3911</v>
      </c>
      <c r="BYP1" t="s">
        <v>3912</v>
      </c>
      <c r="BYQ1" t="s">
        <v>3913</v>
      </c>
      <c r="BYR1" t="s">
        <v>3914</v>
      </c>
      <c r="BYS1" t="s">
        <v>3915</v>
      </c>
      <c r="BYT1" t="s">
        <v>3916</v>
      </c>
      <c r="BYU1" t="s">
        <v>3917</v>
      </c>
      <c r="BYV1" t="s">
        <v>3918</v>
      </c>
      <c r="BYW1" t="s">
        <v>3919</v>
      </c>
      <c r="BYX1" t="s">
        <v>3920</v>
      </c>
      <c r="BYY1" t="s">
        <v>3921</v>
      </c>
      <c r="BYZ1" t="s">
        <v>3922</v>
      </c>
      <c r="BZA1" t="s">
        <v>3923</v>
      </c>
      <c r="BZB1" t="s">
        <v>3924</v>
      </c>
      <c r="BZC1" t="s">
        <v>3925</v>
      </c>
      <c r="BZD1" t="s">
        <v>3926</v>
      </c>
      <c r="BZE1" t="s">
        <v>3927</v>
      </c>
      <c r="BZF1" t="s">
        <v>3928</v>
      </c>
      <c r="BZG1" t="s">
        <v>3929</v>
      </c>
      <c r="BZH1" t="s">
        <v>3930</v>
      </c>
      <c r="BZI1" t="s">
        <v>3931</v>
      </c>
      <c r="BZJ1" t="s">
        <v>3932</v>
      </c>
      <c r="BZK1" t="s">
        <v>3933</v>
      </c>
      <c r="BZL1" t="s">
        <v>3934</v>
      </c>
      <c r="BZM1" t="s">
        <v>3935</v>
      </c>
      <c r="BZN1" t="s">
        <v>3936</v>
      </c>
      <c r="BZO1" t="s">
        <v>3937</v>
      </c>
      <c r="BZP1" t="s">
        <v>3938</v>
      </c>
      <c r="BZQ1" t="s">
        <v>3939</v>
      </c>
      <c r="BZR1" t="s">
        <v>3940</v>
      </c>
      <c r="BZS1" t="s">
        <v>3941</v>
      </c>
      <c r="BZT1" t="s">
        <v>3942</v>
      </c>
      <c r="BZU1" t="s">
        <v>3943</v>
      </c>
      <c r="BZV1" t="s">
        <v>3944</v>
      </c>
      <c r="BZW1" t="s">
        <v>3945</v>
      </c>
      <c r="BZX1" t="s">
        <v>3946</v>
      </c>
      <c r="BZY1" t="s">
        <v>3947</v>
      </c>
      <c r="BZZ1" t="s">
        <v>3948</v>
      </c>
      <c r="CAA1" t="s">
        <v>3949</v>
      </c>
      <c r="CAB1" t="s">
        <v>3950</v>
      </c>
      <c r="CAC1" t="s">
        <v>3951</v>
      </c>
      <c r="CAD1" t="s">
        <v>3952</v>
      </c>
      <c r="CAE1" t="s">
        <v>3953</v>
      </c>
      <c r="CAF1" t="s">
        <v>3954</v>
      </c>
      <c r="CAG1" t="s">
        <v>3955</v>
      </c>
      <c r="CAH1" t="s">
        <v>3956</v>
      </c>
      <c r="CAI1" t="s">
        <v>3957</v>
      </c>
      <c r="CAJ1" t="s">
        <v>3958</v>
      </c>
      <c r="CAK1" t="s">
        <v>3959</v>
      </c>
      <c r="CAL1" t="s">
        <v>3960</v>
      </c>
      <c r="CAM1" t="s">
        <v>3961</v>
      </c>
      <c r="CAN1" t="s">
        <v>3962</v>
      </c>
      <c r="CAO1" t="s">
        <v>3963</v>
      </c>
      <c r="CAP1" t="s">
        <v>3964</v>
      </c>
      <c r="CAQ1" t="s">
        <v>3965</v>
      </c>
      <c r="CAR1" t="s">
        <v>3966</v>
      </c>
      <c r="CAS1" t="s">
        <v>3967</v>
      </c>
      <c r="CAT1" t="s">
        <v>3968</v>
      </c>
      <c r="CAU1" t="s">
        <v>3969</v>
      </c>
      <c r="CAV1" t="s">
        <v>3970</v>
      </c>
      <c r="CAW1" t="s">
        <v>3971</v>
      </c>
      <c r="CAX1" t="s">
        <v>3972</v>
      </c>
      <c r="CAY1" t="s">
        <v>3973</v>
      </c>
      <c r="CAZ1" t="s">
        <v>3974</v>
      </c>
      <c r="CBA1" t="s">
        <v>3975</v>
      </c>
      <c r="CBB1" t="s">
        <v>3976</v>
      </c>
      <c r="CBC1" t="s">
        <v>3977</v>
      </c>
      <c r="CBD1" t="s">
        <v>3978</v>
      </c>
      <c r="CBE1" t="s">
        <v>3979</v>
      </c>
      <c r="CBF1" t="s">
        <v>3980</v>
      </c>
      <c r="CBG1" t="s">
        <v>3981</v>
      </c>
      <c r="CBH1" t="s">
        <v>3982</v>
      </c>
      <c r="CBI1" t="s">
        <v>3983</v>
      </c>
      <c r="CBJ1" t="s">
        <v>3984</v>
      </c>
      <c r="CBK1" t="s">
        <v>3985</v>
      </c>
      <c r="CBL1" t="s">
        <v>3986</v>
      </c>
      <c r="CBM1" t="s">
        <v>3987</v>
      </c>
      <c r="CBN1" t="s">
        <v>3988</v>
      </c>
      <c r="CBO1" t="s">
        <v>3989</v>
      </c>
      <c r="CBP1" t="s">
        <v>3990</v>
      </c>
      <c r="CBQ1" t="s">
        <v>3991</v>
      </c>
      <c r="CBR1" t="s">
        <v>3992</v>
      </c>
      <c r="CBS1" t="s">
        <v>3993</v>
      </c>
      <c r="CBT1" t="s">
        <v>3994</v>
      </c>
      <c r="CBU1" t="s">
        <v>3995</v>
      </c>
      <c r="CBV1" t="s">
        <v>3996</v>
      </c>
      <c r="CBW1" t="s">
        <v>3997</v>
      </c>
      <c r="CBX1" t="s">
        <v>3998</v>
      </c>
      <c r="CBY1" t="s">
        <v>3999</v>
      </c>
      <c r="CBZ1" t="s">
        <v>4000</v>
      </c>
      <c r="CCA1" t="s">
        <v>4001</v>
      </c>
      <c r="CCB1" t="s">
        <v>4002</v>
      </c>
      <c r="CCC1" t="s">
        <v>4003</v>
      </c>
      <c r="CCD1" t="s">
        <v>4004</v>
      </c>
      <c r="CCE1" t="s">
        <v>4005</v>
      </c>
      <c r="CCF1" t="s">
        <v>4006</v>
      </c>
      <c r="CCG1" t="s">
        <v>4007</v>
      </c>
      <c r="CCH1" t="s">
        <v>4008</v>
      </c>
      <c r="CCI1" t="s">
        <v>4009</v>
      </c>
      <c r="CCJ1" t="s">
        <v>4010</v>
      </c>
      <c r="CCK1" t="s">
        <v>4011</v>
      </c>
      <c r="CCL1" t="s">
        <v>4012</v>
      </c>
      <c r="CCM1" t="s">
        <v>4013</v>
      </c>
      <c r="CCN1" t="s">
        <v>4014</v>
      </c>
      <c r="CCO1" t="s">
        <v>4015</v>
      </c>
      <c r="CCP1" t="s">
        <v>4016</v>
      </c>
      <c r="CCQ1" t="s">
        <v>4017</v>
      </c>
      <c r="CCR1" t="s">
        <v>4018</v>
      </c>
      <c r="CCS1" t="s">
        <v>4019</v>
      </c>
      <c r="CCT1" t="s">
        <v>4020</v>
      </c>
      <c r="CCU1" t="s">
        <v>4021</v>
      </c>
      <c r="CCV1" t="s">
        <v>4022</v>
      </c>
      <c r="CCW1" t="s">
        <v>4023</v>
      </c>
      <c r="CCX1" t="s">
        <v>4024</v>
      </c>
      <c r="CCY1" t="s">
        <v>4025</v>
      </c>
      <c r="CCZ1" t="s">
        <v>4026</v>
      </c>
      <c r="CDA1" t="s">
        <v>4027</v>
      </c>
      <c r="CDB1" t="s">
        <v>4028</v>
      </c>
      <c r="CDC1" t="s">
        <v>4029</v>
      </c>
      <c r="CDD1" t="s">
        <v>4030</v>
      </c>
      <c r="CDE1" t="s">
        <v>4031</v>
      </c>
      <c r="CDF1" t="s">
        <v>4032</v>
      </c>
      <c r="CDG1" t="s">
        <v>4033</v>
      </c>
      <c r="CDH1" t="s">
        <v>4034</v>
      </c>
      <c r="CDI1" t="s">
        <v>4035</v>
      </c>
      <c r="CDJ1" t="s">
        <v>4036</v>
      </c>
      <c r="CDK1" t="s">
        <v>4037</v>
      </c>
      <c r="CDL1" t="s">
        <v>4038</v>
      </c>
      <c r="CDM1" t="s">
        <v>4039</v>
      </c>
      <c r="CDN1" t="s">
        <v>4040</v>
      </c>
      <c r="CDO1" t="s">
        <v>4041</v>
      </c>
      <c r="CDP1" t="s">
        <v>4042</v>
      </c>
      <c r="CDQ1" t="s">
        <v>4043</v>
      </c>
      <c r="CDR1" t="s">
        <v>4044</v>
      </c>
      <c r="CDS1" t="s">
        <v>4045</v>
      </c>
      <c r="CDT1" t="s">
        <v>4046</v>
      </c>
      <c r="CDU1" t="s">
        <v>4047</v>
      </c>
      <c r="CDV1" t="s">
        <v>4048</v>
      </c>
      <c r="CDW1" t="s">
        <v>4049</v>
      </c>
      <c r="CDX1" t="s">
        <v>4050</v>
      </c>
      <c r="CDY1" t="s">
        <v>4051</v>
      </c>
      <c r="CDZ1" t="s">
        <v>4052</v>
      </c>
      <c r="CEA1" t="s">
        <v>4053</v>
      </c>
      <c r="CEB1" t="s">
        <v>4054</v>
      </c>
      <c r="CEC1" t="s">
        <v>4055</v>
      </c>
      <c r="CED1" t="s">
        <v>4056</v>
      </c>
      <c r="CEE1" t="s">
        <v>4057</v>
      </c>
      <c r="CEF1" t="s">
        <v>4058</v>
      </c>
      <c r="CEG1" t="s">
        <v>4059</v>
      </c>
      <c r="CEH1" t="s">
        <v>4060</v>
      </c>
      <c r="CEI1" t="s">
        <v>4061</v>
      </c>
      <c r="CEJ1" t="s">
        <v>4062</v>
      </c>
      <c r="CEK1" t="s">
        <v>4063</v>
      </c>
      <c r="CEL1" t="s">
        <v>4064</v>
      </c>
      <c r="CEM1" t="s">
        <v>4065</v>
      </c>
      <c r="CEN1" t="s">
        <v>4066</v>
      </c>
      <c r="CEO1" t="s">
        <v>4067</v>
      </c>
      <c r="CEP1" t="s">
        <v>4068</v>
      </c>
      <c r="CEQ1" t="s">
        <v>4069</v>
      </c>
      <c r="CER1" t="s">
        <v>4070</v>
      </c>
      <c r="CES1" t="s">
        <v>4071</v>
      </c>
      <c r="CET1" t="s">
        <v>4072</v>
      </c>
      <c r="CEU1" t="s">
        <v>4073</v>
      </c>
      <c r="CEV1" t="s">
        <v>4074</v>
      </c>
      <c r="CEW1" t="s">
        <v>4075</v>
      </c>
      <c r="CEX1" t="s">
        <v>4076</v>
      </c>
      <c r="CEY1" t="s">
        <v>4077</v>
      </c>
      <c r="CEZ1" t="s">
        <v>4078</v>
      </c>
      <c r="CFA1" t="s">
        <v>4079</v>
      </c>
      <c r="CFB1" t="s">
        <v>4080</v>
      </c>
      <c r="CFC1" t="s">
        <v>4081</v>
      </c>
      <c r="CFD1" t="s">
        <v>4082</v>
      </c>
      <c r="CFE1" t="s">
        <v>4083</v>
      </c>
      <c r="CFF1" t="s">
        <v>4084</v>
      </c>
      <c r="CFG1" t="s">
        <v>4085</v>
      </c>
      <c r="CFH1" t="s">
        <v>4086</v>
      </c>
      <c r="CFI1" t="s">
        <v>4087</v>
      </c>
      <c r="CFJ1" t="s">
        <v>4088</v>
      </c>
      <c r="CFK1" t="s">
        <v>4089</v>
      </c>
      <c r="CFL1" t="s">
        <v>4090</v>
      </c>
      <c r="CFM1" t="s">
        <v>4091</v>
      </c>
      <c r="CFN1" t="s">
        <v>4092</v>
      </c>
      <c r="CFO1" t="s">
        <v>4093</v>
      </c>
      <c r="CFP1" t="s">
        <v>4094</v>
      </c>
      <c r="CFQ1" t="s">
        <v>4095</v>
      </c>
      <c r="CFR1" t="s">
        <v>4096</v>
      </c>
      <c r="CFS1" t="s">
        <v>4097</v>
      </c>
      <c r="CFT1" t="s">
        <v>4098</v>
      </c>
      <c r="CFU1" t="s">
        <v>4099</v>
      </c>
      <c r="CFV1" t="s">
        <v>4100</v>
      </c>
      <c r="CFW1" t="s">
        <v>4101</v>
      </c>
      <c r="CFX1" t="s">
        <v>4102</v>
      </c>
      <c r="CFY1" t="s">
        <v>4103</v>
      </c>
      <c r="CFZ1" t="s">
        <v>4104</v>
      </c>
      <c r="CGA1" t="s">
        <v>4105</v>
      </c>
      <c r="CGB1" t="s">
        <v>4106</v>
      </c>
      <c r="CGC1" t="s">
        <v>4107</v>
      </c>
      <c r="CGD1" t="s">
        <v>4108</v>
      </c>
      <c r="CGE1" t="s">
        <v>4109</v>
      </c>
      <c r="CGF1" t="s">
        <v>4110</v>
      </c>
      <c r="CGG1" t="s">
        <v>4111</v>
      </c>
      <c r="CGH1" t="s">
        <v>4112</v>
      </c>
      <c r="CGI1" t="s">
        <v>4113</v>
      </c>
      <c r="CGJ1" t="s">
        <v>4114</v>
      </c>
      <c r="CGK1" t="s">
        <v>4115</v>
      </c>
      <c r="CGL1" t="s">
        <v>4116</v>
      </c>
      <c r="CGM1" t="s">
        <v>4117</v>
      </c>
      <c r="CGN1" t="s">
        <v>4118</v>
      </c>
      <c r="CGO1" t="s">
        <v>4119</v>
      </c>
      <c r="CGP1" t="s">
        <v>4120</v>
      </c>
      <c r="CGQ1" t="s">
        <v>4121</v>
      </c>
      <c r="CGR1" t="s">
        <v>4122</v>
      </c>
      <c r="CGS1" t="s">
        <v>4123</v>
      </c>
      <c r="CGT1" t="s">
        <v>4124</v>
      </c>
      <c r="CGU1" t="s">
        <v>4125</v>
      </c>
      <c r="CGV1" t="s">
        <v>4126</v>
      </c>
      <c r="CGW1" t="s">
        <v>4127</v>
      </c>
      <c r="CGX1" t="s">
        <v>4128</v>
      </c>
      <c r="CGY1" t="s">
        <v>4129</v>
      </c>
      <c r="CGZ1" t="s">
        <v>4130</v>
      </c>
      <c r="CHA1" t="s">
        <v>4131</v>
      </c>
      <c r="CHB1" t="s">
        <v>4132</v>
      </c>
      <c r="CHC1" t="s">
        <v>4133</v>
      </c>
      <c r="CHD1" t="s">
        <v>4134</v>
      </c>
      <c r="CHE1" t="s">
        <v>4135</v>
      </c>
      <c r="CHF1" t="s">
        <v>4136</v>
      </c>
      <c r="CHG1" t="s">
        <v>4137</v>
      </c>
      <c r="CHH1" t="s">
        <v>4138</v>
      </c>
      <c r="CHI1" t="s">
        <v>4139</v>
      </c>
      <c r="CHJ1" t="s">
        <v>4140</v>
      </c>
      <c r="CHK1" t="s">
        <v>4141</v>
      </c>
      <c r="CHL1" t="s">
        <v>4142</v>
      </c>
      <c r="CHM1" t="s">
        <v>4143</v>
      </c>
      <c r="CHN1" t="s">
        <v>4144</v>
      </c>
      <c r="CHO1" t="s">
        <v>4145</v>
      </c>
      <c r="CHP1" t="s">
        <v>4146</v>
      </c>
      <c r="CHQ1" t="s">
        <v>4147</v>
      </c>
      <c r="CHR1" t="s">
        <v>4148</v>
      </c>
      <c r="CHS1" t="s">
        <v>4149</v>
      </c>
      <c r="CHT1" t="s">
        <v>4150</v>
      </c>
      <c r="CHU1" t="s">
        <v>4151</v>
      </c>
      <c r="CHV1" t="s">
        <v>4152</v>
      </c>
      <c r="CHW1" t="s">
        <v>4153</v>
      </c>
      <c r="CHX1" t="s">
        <v>4154</v>
      </c>
      <c r="CHY1" t="s">
        <v>4155</v>
      </c>
      <c r="CHZ1" t="s">
        <v>4156</v>
      </c>
      <c r="CIA1" t="s">
        <v>4157</v>
      </c>
      <c r="CIB1" t="s">
        <v>4158</v>
      </c>
      <c r="CIC1" t="s">
        <v>4159</v>
      </c>
      <c r="CID1" t="s">
        <v>4160</v>
      </c>
      <c r="CIE1" t="s">
        <v>4161</v>
      </c>
      <c r="CIF1" t="s">
        <v>4162</v>
      </c>
      <c r="CIG1" t="s">
        <v>4163</v>
      </c>
      <c r="CIH1" t="s">
        <v>4164</v>
      </c>
      <c r="CII1" t="s">
        <v>4165</v>
      </c>
      <c r="CIJ1" t="s">
        <v>4166</v>
      </c>
      <c r="CIK1" t="s">
        <v>4167</v>
      </c>
      <c r="CIL1" t="s">
        <v>4168</v>
      </c>
      <c r="CIM1" t="s">
        <v>4169</v>
      </c>
      <c r="CIN1" t="s">
        <v>4170</v>
      </c>
      <c r="CIO1" t="s">
        <v>4171</v>
      </c>
      <c r="CIP1" t="s">
        <v>4172</v>
      </c>
      <c r="CIQ1" t="s">
        <v>4173</v>
      </c>
      <c r="CIR1" t="s">
        <v>4174</v>
      </c>
      <c r="CIS1" t="s">
        <v>4175</v>
      </c>
      <c r="CIT1" t="s">
        <v>4176</v>
      </c>
      <c r="CIU1" t="s">
        <v>4177</v>
      </c>
      <c r="CIV1" t="s">
        <v>4178</v>
      </c>
      <c r="CIW1" t="s">
        <v>4179</v>
      </c>
      <c r="CIX1" t="s">
        <v>4180</v>
      </c>
      <c r="CIY1" t="s">
        <v>4181</v>
      </c>
      <c r="CIZ1" t="s">
        <v>4182</v>
      </c>
      <c r="CJA1" t="s">
        <v>4183</v>
      </c>
      <c r="CJB1" t="s">
        <v>4184</v>
      </c>
      <c r="CJC1" t="s">
        <v>4185</v>
      </c>
      <c r="CJD1" t="s">
        <v>4186</v>
      </c>
      <c r="CJE1" t="s">
        <v>4187</v>
      </c>
      <c r="CJF1" t="s">
        <v>4188</v>
      </c>
      <c r="CJG1" t="s">
        <v>4189</v>
      </c>
      <c r="CJH1" t="s">
        <v>4190</v>
      </c>
      <c r="CJI1" t="s">
        <v>4191</v>
      </c>
      <c r="CJJ1" t="s">
        <v>4192</v>
      </c>
      <c r="CJK1" t="s">
        <v>4193</v>
      </c>
      <c r="CJL1" t="s">
        <v>4194</v>
      </c>
      <c r="CJM1" t="s">
        <v>4195</v>
      </c>
      <c r="CJN1" t="s">
        <v>4196</v>
      </c>
      <c r="CJO1" t="s">
        <v>4197</v>
      </c>
      <c r="CJP1" t="s">
        <v>4198</v>
      </c>
      <c r="CJQ1" t="s">
        <v>4199</v>
      </c>
      <c r="CJR1" t="s">
        <v>4200</v>
      </c>
      <c r="CJS1" t="s">
        <v>4201</v>
      </c>
      <c r="CJT1" t="s">
        <v>4202</v>
      </c>
      <c r="CJU1" t="s">
        <v>4203</v>
      </c>
      <c r="CJV1" t="s">
        <v>4204</v>
      </c>
      <c r="CJW1" t="s">
        <v>4205</v>
      </c>
      <c r="CJX1" t="s">
        <v>4206</v>
      </c>
      <c r="CJY1" t="s">
        <v>4207</v>
      </c>
      <c r="CJZ1" t="s">
        <v>4208</v>
      </c>
      <c r="CKA1" t="s">
        <v>4209</v>
      </c>
      <c r="CKB1" t="s">
        <v>4210</v>
      </c>
      <c r="CKC1" t="s">
        <v>4211</v>
      </c>
      <c r="CKD1" t="s">
        <v>4212</v>
      </c>
      <c r="CKE1" t="s">
        <v>4213</v>
      </c>
      <c r="CKF1" t="s">
        <v>4214</v>
      </c>
      <c r="CKG1" t="s">
        <v>4215</v>
      </c>
      <c r="CKH1" t="s">
        <v>4216</v>
      </c>
      <c r="CKI1" t="s">
        <v>4217</v>
      </c>
      <c r="CKJ1" t="s">
        <v>4218</v>
      </c>
      <c r="CKK1" t="s">
        <v>4219</v>
      </c>
      <c r="CKL1" t="s">
        <v>4220</v>
      </c>
      <c r="CKM1" t="s">
        <v>4221</v>
      </c>
      <c r="CKN1" t="s">
        <v>4222</v>
      </c>
      <c r="CKO1" t="s">
        <v>4223</v>
      </c>
      <c r="CKP1" t="s">
        <v>4224</v>
      </c>
      <c r="CKQ1" t="s">
        <v>4225</v>
      </c>
      <c r="CKR1" t="s">
        <v>4226</v>
      </c>
      <c r="CKS1" t="s">
        <v>4227</v>
      </c>
      <c r="CKT1" t="s">
        <v>4228</v>
      </c>
      <c r="CKU1" t="s">
        <v>4229</v>
      </c>
      <c r="CKV1" t="s">
        <v>4230</v>
      </c>
      <c r="CKW1" t="s">
        <v>4231</v>
      </c>
      <c r="CKX1" t="s">
        <v>4232</v>
      </c>
      <c r="CKY1" t="s">
        <v>4233</v>
      </c>
      <c r="CKZ1" t="s">
        <v>4234</v>
      </c>
      <c r="CLA1" t="s">
        <v>4235</v>
      </c>
      <c r="CLB1" t="s">
        <v>4236</v>
      </c>
      <c r="CLC1" t="s">
        <v>4237</v>
      </c>
      <c r="CLD1" t="s">
        <v>4238</v>
      </c>
      <c r="CLE1" t="s">
        <v>4239</v>
      </c>
      <c r="CLF1" t="s">
        <v>4240</v>
      </c>
      <c r="CLG1" t="s">
        <v>4241</v>
      </c>
      <c r="CLH1" t="s">
        <v>4242</v>
      </c>
      <c r="CLI1" t="s">
        <v>4243</v>
      </c>
      <c r="CLJ1" t="s">
        <v>4244</v>
      </c>
      <c r="CLK1" t="s">
        <v>4245</v>
      </c>
      <c r="CLL1" t="s">
        <v>4246</v>
      </c>
      <c r="CLM1" t="s">
        <v>4247</v>
      </c>
      <c r="CLN1" t="s">
        <v>4248</v>
      </c>
      <c r="CLO1" t="s">
        <v>4249</v>
      </c>
      <c r="CLP1" t="s">
        <v>4250</v>
      </c>
      <c r="CLQ1" t="s">
        <v>4251</v>
      </c>
      <c r="CLR1" t="s">
        <v>4252</v>
      </c>
      <c r="CLS1" t="s">
        <v>4253</v>
      </c>
      <c r="CLT1" t="s">
        <v>4254</v>
      </c>
      <c r="CLU1" t="s">
        <v>4255</v>
      </c>
      <c r="CLV1" t="s">
        <v>4256</v>
      </c>
      <c r="CLW1" t="s">
        <v>4257</v>
      </c>
      <c r="CLX1" t="s">
        <v>4258</v>
      </c>
      <c r="CLY1" t="s">
        <v>4259</v>
      </c>
      <c r="CLZ1" t="s">
        <v>4260</v>
      </c>
      <c r="CMA1" t="s">
        <v>4261</v>
      </c>
      <c r="CMB1" t="s">
        <v>4262</v>
      </c>
      <c r="CMC1" t="s">
        <v>4263</v>
      </c>
      <c r="CMD1" t="s">
        <v>4264</v>
      </c>
      <c r="CME1" t="s">
        <v>4265</v>
      </c>
      <c r="CMF1" t="s">
        <v>4266</v>
      </c>
      <c r="CMG1" t="s">
        <v>4267</v>
      </c>
      <c r="CMH1" t="s">
        <v>4268</v>
      </c>
      <c r="CMI1" t="s">
        <v>4269</v>
      </c>
      <c r="CMJ1" t="s">
        <v>4270</v>
      </c>
      <c r="CMK1" t="s">
        <v>4271</v>
      </c>
      <c r="CML1" t="s">
        <v>4272</v>
      </c>
      <c r="CMM1" t="s">
        <v>4273</v>
      </c>
      <c r="CMN1" t="s">
        <v>4274</v>
      </c>
      <c r="CMO1" t="s">
        <v>4275</v>
      </c>
      <c r="CMP1" t="s">
        <v>4276</v>
      </c>
      <c r="CMQ1" t="s">
        <v>4277</v>
      </c>
      <c r="CMR1" t="s">
        <v>4278</v>
      </c>
      <c r="CMS1" t="s">
        <v>4279</v>
      </c>
      <c r="CMT1" t="s">
        <v>4280</v>
      </c>
      <c r="CMU1" t="s">
        <v>4281</v>
      </c>
      <c r="CMV1" t="s">
        <v>4282</v>
      </c>
      <c r="CMW1" t="s">
        <v>4283</v>
      </c>
      <c r="CMX1" t="s">
        <v>4284</v>
      </c>
      <c r="CMY1" t="s">
        <v>4285</v>
      </c>
      <c r="CMZ1" t="s">
        <v>4286</v>
      </c>
      <c r="CNA1" t="s">
        <v>4287</v>
      </c>
      <c r="CNB1" t="s">
        <v>4288</v>
      </c>
      <c r="CNC1" t="s">
        <v>4289</v>
      </c>
      <c r="CND1" t="s">
        <v>4290</v>
      </c>
      <c r="CNE1" t="s">
        <v>4291</v>
      </c>
      <c r="CNF1" t="s">
        <v>4292</v>
      </c>
      <c r="CNG1" t="s">
        <v>4293</v>
      </c>
      <c r="CNH1" t="s">
        <v>4294</v>
      </c>
      <c r="CNI1" t="s">
        <v>4295</v>
      </c>
      <c r="CNJ1" t="s">
        <v>4296</v>
      </c>
      <c r="CNK1" t="s">
        <v>4297</v>
      </c>
      <c r="CNL1" t="s">
        <v>4298</v>
      </c>
      <c r="CNM1" t="s">
        <v>4299</v>
      </c>
      <c r="CNN1" t="s">
        <v>4300</v>
      </c>
      <c r="CNO1" t="s">
        <v>4301</v>
      </c>
      <c r="CNP1" t="s">
        <v>4302</v>
      </c>
      <c r="CNQ1" t="s">
        <v>4303</v>
      </c>
      <c r="CNR1" t="s">
        <v>4304</v>
      </c>
      <c r="CNS1" t="s">
        <v>4305</v>
      </c>
      <c r="CNT1" t="s">
        <v>4306</v>
      </c>
      <c r="CNU1" t="s">
        <v>4307</v>
      </c>
      <c r="CNV1" t="s">
        <v>4308</v>
      </c>
      <c r="CNW1" t="s">
        <v>4309</v>
      </c>
      <c r="CNX1" t="s">
        <v>4310</v>
      </c>
      <c r="CNY1" t="s">
        <v>4311</v>
      </c>
      <c r="CNZ1" t="s">
        <v>4312</v>
      </c>
      <c r="COA1" t="s">
        <v>4313</v>
      </c>
      <c r="COB1" t="s">
        <v>4314</v>
      </c>
      <c r="COC1" t="s">
        <v>4315</v>
      </c>
      <c r="COD1" t="s">
        <v>4316</v>
      </c>
      <c r="COE1" t="s">
        <v>4317</v>
      </c>
      <c r="COF1" t="s">
        <v>4318</v>
      </c>
      <c r="COG1" t="s">
        <v>4319</v>
      </c>
      <c r="COH1" t="s">
        <v>4320</v>
      </c>
      <c r="COI1" t="s">
        <v>4321</v>
      </c>
      <c r="COJ1" t="s">
        <v>4322</v>
      </c>
      <c r="COK1" t="s">
        <v>4323</v>
      </c>
      <c r="COL1" t="s">
        <v>4324</v>
      </c>
      <c r="COM1" t="s">
        <v>4325</v>
      </c>
      <c r="CON1" t="s">
        <v>4326</v>
      </c>
      <c r="COO1" t="s">
        <v>4327</v>
      </c>
      <c r="COP1" t="s">
        <v>4328</v>
      </c>
      <c r="COQ1" t="s">
        <v>4329</v>
      </c>
      <c r="COR1" t="s">
        <v>4330</v>
      </c>
      <c r="COS1" t="s">
        <v>4331</v>
      </c>
      <c r="COT1" t="s">
        <v>4332</v>
      </c>
      <c r="COU1" t="s">
        <v>4333</v>
      </c>
      <c r="COV1" t="s">
        <v>4334</v>
      </c>
      <c r="COW1" t="s">
        <v>4335</v>
      </c>
      <c r="COX1" t="s">
        <v>4336</v>
      </c>
      <c r="COY1" t="s">
        <v>4337</v>
      </c>
      <c r="COZ1" t="s">
        <v>4338</v>
      </c>
      <c r="CPA1" t="s">
        <v>4339</v>
      </c>
      <c r="CPB1" t="s">
        <v>4340</v>
      </c>
      <c r="CPC1" t="s">
        <v>4341</v>
      </c>
      <c r="CPD1" t="s">
        <v>4342</v>
      </c>
      <c r="CPE1" t="s">
        <v>4343</v>
      </c>
      <c r="CPF1" t="s">
        <v>4344</v>
      </c>
      <c r="CPG1" t="s">
        <v>4345</v>
      </c>
      <c r="CPH1" t="s">
        <v>4346</v>
      </c>
      <c r="CPI1" t="s">
        <v>4347</v>
      </c>
      <c r="CPJ1" t="s">
        <v>4348</v>
      </c>
      <c r="CPK1" t="s">
        <v>4349</v>
      </c>
      <c r="CPL1" t="s">
        <v>4350</v>
      </c>
      <c r="CPM1" t="s">
        <v>4351</v>
      </c>
      <c r="CPN1" t="s">
        <v>4352</v>
      </c>
      <c r="CPO1" t="s">
        <v>4353</v>
      </c>
      <c r="CPP1" t="s">
        <v>4354</v>
      </c>
      <c r="CPQ1" t="s">
        <v>4355</v>
      </c>
      <c r="CPR1" t="s">
        <v>4356</v>
      </c>
      <c r="CPS1" t="s">
        <v>4357</v>
      </c>
      <c r="CPT1" t="s">
        <v>4358</v>
      </c>
      <c r="CPU1" t="s">
        <v>4359</v>
      </c>
      <c r="CPV1" t="s">
        <v>4360</v>
      </c>
      <c r="CPW1" t="s">
        <v>4361</v>
      </c>
      <c r="CPX1" t="s">
        <v>4362</v>
      </c>
      <c r="CPY1" t="s">
        <v>4363</v>
      </c>
      <c r="CPZ1" t="s">
        <v>4364</v>
      </c>
      <c r="CQA1" t="s">
        <v>4365</v>
      </c>
      <c r="CQB1" t="s">
        <v>4366</v>
      </c>
      <c r="CQC1" t="s">
        <v>4367</v>
      </c>
      <c r="CQD1" t="s">
        <v>4368</v>
      </c>
      <c r="CQE1" t="s">
        <v>4369</v>
      </c>
      <c r="CQF1" t="s">
        <v>4370</v>
      </c>
      <c r="CQG1" t="s">
        <v>4371</v>
      </c>
      <c r="CQH1" t="s">
        <v>4372</v>
      </c>
      <c r="CQI1" t="s">
        <v>4373</v>
      </c>
      <c r="CQJ1" t="s">
        <v>4374</v>
      </c>
      <c r="CQK1" t="s">
        <v>4375</v>
      </c>
      <c r="CQL1" t="s">
        <v>4376</v>
      </c>
      <c r="CQM1" t="s">
        <v>4377</v>
      </c>
      <c r="CQN1" t="s">
        <v>4378</v>
      </c>
      <c r="CQO1" t="s">
        <v>4379</v>
      </c>
      <c r="CQP1" t="s">
        <v>4380</v>
      </c>
      <c r="CQQ1" t="s">
        <v>4381</v>
      </c>
      <c r="CQR1" t="s">
        <v>4382</v>
      </c>
      <c r="CQS1" t="s">
        <v>4383</v>
      </c>
      <c r="CQT1" t="s">
        <v>4384</v>
      </c>
      <c r="CQU1" t="s">
        <v>4385</v>
      </c>
      <c r="CQV1" t="s">
        <v>4386</v>
      </c>
      <c r="CQW1" t="s">
        <v>4387</v>
      </c>
      <c r="CQX1" t="s">
        <v>4388</v>
      </c>
      <c r="CQY1" t="s">
        <v>4389</v>
      </c>
      <c r="CQZ1" t="s">
        <v>4390</v>
      </c>
      <c r="CRA1" t="s">
        <v>4391</v>
      </c>
      <c r="CRB1" t="s">
        <v>4392</v>
      </c>
      <c r="CRC1" t="s">
        <v>4393</v>
      </c>
      <c r="CRD1" t="s">
        <v>4394</v>
      </c>
      <c r="CRE1" t="s">
        <v>4395</v>
      </c>
      <c r="CRF1" t="s">
        <v>4396</v>
      </c>
      <c r="CRG1" t="s">
        <v>4397</v>
      </c>
      <c r="CRH1" t="s">
        <v>4398</v>
      </c>
      <c r="CRI1" t="s">
        <v>4399</v>
      </c>
      <c r="CRJ1" t="s">
        <v>4400</v>
      </c>
      <c r="CRK1" t="s">
        <v>4401</v>
      </c>
      <c r="CRL1" t="s">
        <v>4402</v>
      </c>
      <c r="CRM1" t="s">
        <v>4403</v>
      </c>
      <c r="CRN1" t="s">
        <v>4404</v>
      </c>
      <c r="CRO1" t="s">
        <v>4405</v>
      </c>
      <c r="CRP1" t="s">
        <v>4406</v>
      </c>
      <c r="CRQ1" t="s">
        <v>4407</v>
      </c>
      <c r="CRR1" t="s">
        <v>4408</v>
      </c>
      <c r="CRS1" t="s">
        <v>4409</v>
      </c>
      <c r="CRT1" t="s">
        <v>4410</v>
      </c>
      <c r="CRU1" t="s">
        <v>4411</v>
      </c>
      <c r="CRV1" t="s">
        <v>4412</v>
      </c>
      <c r="CRW1" t="s">
        <v>4413</v>
      </c>
      <c r="CRX1" t="s">
        <v>4414</v>
      </c>
      <c r="CRY1" t="s">
        <v>4415</v>
      </c>
      <c r="CRZ1" t="s">
        <v>4416</v>
      </c>
      <c r="CSA1" t="s">
        <v>4417</v>
      </c>
      <c r="CSB1" t="s">
        <v>4418</v>
      </c>
      <c r="CSC1" t="s">
        <v>4419</v>
      </c>
      <c r="CSD1" t="s">
        <v>4420</v>
      </c>
      <c r="CSE1" t="s">
        <v>4421</v>
      </c>
      <c r="CSF1" t="s">
        <v>4422</v>
      </c>
      <c r="CSG1" t="s">
        <v>4423</v>
      </c>
      <c r="CSH1" t="s">
        <v>4424</v>
      </c>
      <c r="CSI1" t="s">
        <v>4425</v>
      </c>
      <c r="CSJ1" t="s">
        <v>4426</v>
      </c>
      <c r="CSK1" t="s">
        <v>4427</v>
      </c>
      <c r="CSL1" t="s">
        <v>4428</v>
      </c>
      <c r="CSM1" t="s">
        <v>4429</v>
      </c>
      <c r="CSN1" t="s">
        <v>4430</v>
      </c>
      <c r="CSO1" t="s">
        <v>4431</v>
      </c>
      <c r="CSP1" t="s">
        <v>4432</v>
      </c>
      <c r="CSQ1" t="s">
        <v>4433</v>
      </c>
      <c r="CSR1" t="s">
        <v>4434</v>
      </c>
      <c r="CSS1" t="s">
        <v>4435</v>
      </c>
      <c r="CST1" t="s">
        <v>4436</v>
      </c>
      <c r="CSU1" t="s">
        <v>4437</v>
      </c>
      <c r="CSV1" t="s">
        <v>4438</v>
      </c>
      <c r="CSW1" t="s">
        <v>4439</v>
      </c>
      <c r="CSX1" t="s">
        <v>4440</v>
      </c>
      <c r="CSY1" t="s">
        <v>4441</v>
      </c>
      <c r="CSZ1" t="s">
        <v>4442</v>
      </c>
      <c r="CTA1" t="s">
        <v>4443</v>
      </c>
      <c r="CTB1" t="s">
        <v>4444</v>
      </c>
      <c r="CTC1" t="s">
        <v>4445</v>
      </c>
      <c r="CTD1" t="s">
        <v>4446</v>
      </c>
      <c r="CTE1" t="s">
        <v>4447</v>
      </c>
      <c r="CTF1" t="s">
        <v>4448</v>
      </c>
      <c r="CTG1" t="s">
        <v>4449</v>
      </c>
      <c r="CTH1" t="s">
        <v>4450</v>
      </c>
      <c r="CTI1" t="s">
        <v>4451</v>
      </c>
      <c r="CTJ1" t="s">
        <v>4452</v>
      </c>
      <c r="CTK1" t="s">
        <v>4453</v>
      </c>
      <c r="CTL1" t="s">
        <v>4454</v>
      </c>
      <c r="CTM1" t="s">
        <v>4455</v>
      </c>
      <c r="CTN1" t="s">
        <v>4456</v>
      </c>
      <c r="CTO1" t="s">
        <v>4457</v>
      </c>
      <c r="CTP1" t="s">
        <v>4458</v>
      </c>
      <c r="CTQ1" t="s">
        <v>4459</v>
      </c>
      <c r="CTR1" t="s">
        <v>4460</v>
      </c>
      <c r="CTS1" t="s">
        <v>4461</v>
      </c>
      <c r="CTT1" t="s">
        <v>4462</v>
      </c>
      <c r="CTU1" t="s">
        <v>4463</v>
      </c>
      <c r="CTV1" t="s">
        <v>4464</v>
      </c>
      <c r="CTW1" t="s">
        <v>4465</v>
      </c>
      <c r="CTX1" t="s">
        <v>4466</v>
      </c>
      <c r="CTY1" t="s">
        <v>4467</v>
      </c>
      <c r="CTZ1" t="s">
        <v>4468</v>
      </c>
      <c r="CUA1" t="s">
        <v>4469</v>
      </c>
      <c r="CUB1" t="s">
        <v>4470</v>
      </c>
      <c r="CUC1" t="s">
        <v>4471</v>
      </c>
      <c r="CUD1" t="s">
        <v>4472</v>
      </c>
      <c r="CUE1" t="s">
        <v>4473</v>
      </c>
      <c r="CUF1" t="s">
        <v>4474</v>
      </c>
      <c r="CUG1" t="s">
        <v>4475</v>
      </c>
      <c r="CUH1" t="s">
        <v>4476</v>
      </c>
      <c r="CUI1" t="s">
        <v>4477</v>
      </c>
      <c r="CUJ1" t="s">
        <v>4478</v>
      </c>
      <c r="CUK1" t="s">
        <v>4479</v>
      </c>
      <c r="CUL1" t="s">
        <v>4480</v>
      </c>
      <c r="CUM1" t="s">
        <v>4481</v>
      </c>
      <c r="CUN1" t="s">
        <v>4482</v>
      </c>
      <c r="CUO1" t="s">
        <v>4483</v>
      </c>
      <c r="CUP1" t="s">
        <v>4484</v>
      </c>
      <c r="CUQ1" t="s">
        <v>4485</v>
      </c>
      <c r="CUR1" t="s">
        <v>4486</v>
      </c>
      <c r="CUS1" t="s">
        <v>4487</v>
      </c>
      <c r="CUT1" t="s">
        <v>4488</v>
      </c>
      <c r="CUU1" t="s">
        <v>4489</v>
      </c>
      <c r="CUV1" t="s">
        <v>4490</v>
      </c>
      <c r="CUW1" t="s">
        <v>4491</v>
      </c>
      <c r="CUX1" t="s">
        <v>4492</v>
      </c>
      <c r="CUY1" t="s">
        <v>4493</v>
      </c>
      <c r="CUZ1" t="s">
        <v>4494</v>
      </c>
      <c r="CVA1" t="s">
        <v>4495</v>
      </c>
      <c r="CVB1" t="s">
        <v>4496</v>
      </c>
      <c r="CVC1" t="s">
        <v>4497</v>
      </c>
      <c r="CVD1" t="s">
        <v>4498</v>
      </c>
      <c r="CVE1" t="s">
        <v>4499</v>
      </c>
      <c r="CVF1" t="s">
        <v>4500</v>
      </c>
      <c r="CVG1" t="s">
        <v>4501</v>
      </c>
      <c r="CVH1" t="s">
        <v>4502</v>
      </c>
      <c r="CVI1" t="s">
        <v>4503</v>
      </c>
      <c r="CVJ1" t="s">
        <v>4504</v>
      </c>
      <c r="CVK1" t="s">
        <v>4505</v>
      </c>
      <c r="CVL1" t="s">
        <v>4506</v>
      </c>
      <c r="CVM1" t="s">
        <v>4507</v>
      </c>
      <c r="CVN1" t="s">
        <v>4508</v>
      </c>
      <c r="CVO1" t="s">
        <v>4509</v>
      </c>
      <c r="CVP1" t="s">
        <v>4510</v>
      </c>
      <c r="CVQ1" t="s">
        <v>4511</v>
      </c>
      <c r="CVR1" t="s">
        <v>4512</v>
      </c>
      <c r="CVS1" t="s">
        <v>4513</v>
      </c>
      <c r="CVT1" t="s">
        <v>4514</v>
      </c>
      <c r="CVU1" t="s">
        <v>4515</v>
      </c>
      <c r="CVV1" t="s">
        <v>4516</v>
      </c>
      <c r="CVW1" t="s">
        <v>4517</v>
      </c>
      <c r="CVX1" t="s">
        <v>4518</v>
      </c>
      <c r="CVY1" t="s">
        <v>4519</v>
      </c>
      <c r="CVZ1" t="s">
        <v>4520</v>
      </c>
      <c r="CWA1" t="s">
        <v>4521</v>
      </c>
      <c r="CWB1" t="s">
        <v>4522</v>
      </c>
      <c r="CWC1" t="s">
        <v>4523</v>
      </c>
      <c r="CWD1" t="s">
        <v>4524</v>
      </c>
      <c r="CWE1" t="s">
        <v>4525</v>
      </c>
      <c r="CWF1" t="s">
        <v>4526</v>
      </c>
      <c r="CWG1" t="s">
        <v>4527</v>
      </c>
      <c r="CWH1" t="s">
        <v>4528</v>
      </c>
      <c r="CWI1" t="s">
        <v>4529</v>
      </c>
      <c r="CWJ1" t="s">
        <v>4530</v>
      </c>
      <c r="CWK1" t="s">
        <v>4531</v>
      </c>
      <c r="CWL1" t="s">
        <v>4532</v>
      </c>
      <c r="CWM1" t="s">
        <v>4533</v>
      </c>
      <c r="CWN1" t="s">
        <v>4534</v>
      </c>
      <c r="CWO1" t="s">
        <v>4535</v>
      </c>
      <c r="CWP1" t="s">
        <v>4536</v>
      </c>
      <c r="CWQ1" t="s">
        <v>4537</v>
      </c>
      <c r="CWR1" t="s">
        <v>4538</v>
      </c>
      <c r="CWS1" t="s">
        <v>4539</v>
      </c>
      <c r="CWT1" t="s">
        <v>4540</v>
      </c>
      <c r="CWU1" t="s">
        <v>4541</v>
      </c>
      <c r="CWV1" t="s">
        <v>4542</v>
      </c>
      <c r="CWW1" t="s">
        <v>4543</v>
      </c>
      <c r="CWX1" t="s">
        <v>4544</v>
      </c>
      <c r="CWY1" t="s">
        <v>4545</v>
      </c>
      <c r="CWZ1" t="s">
        <v>4546</v>
      </c>
      <c r="CXA1" t="s">
        <v>4547</v>
      </c>
      <c r="CXB1" t="s">
        <v>4548</v>
      </c>
      <c r="CXC1" t="s">
        <v>4549</v>
      </c>
      <c r="CXD1" t="s">
        <v>4550</v>
      </c>
      <c r="CXE1" t="s">
        <v>4551</v>
      </c>
      <c r="CXF1" t="s">
        <v>4552</v>
      </c>
      <c r="CXG1" t="s">
        <v>4553</v>
      </c>
      <c r="CXH1" t="s">
        <v>4554</v>
      </c>
      <c r="CXI1" t="s">
        <v>4555</v>
      </c>
      <c r="CXJ1" t="s">
        <v>4556</v>
      </c>
      <c r="CXK1" t="s">
        <v>4557</v>
      </c>
      <c r="CXL1" t="s">
        <v>4558</v>
      </c>
      <c r="CXM1" t="s">
        <v>4559</v>
      </c>
      <c r="CXN1" t="s">
        <v>4560</v>
      </c>
      <c r="CXO1" t="s">
        <v>4561</v>
      </c>
      <c r="CXP1" t="s">
        <v>4562</v>
      </c>
      <c r="CXQ1" t="s">
        <v>4563</v>
      </c>
      <c r="CXR1" t="s">
        <v>4564</v>
      </c>
      <c r="CXS1" t="s">
        <v>4565</v>
      </c>
      <c r="CXT1" t="s">
        <v>4566</v>
      </c>
      <c r="CXU1" t="s">
        <v>4567</v>
      </c>
      <c r="CXV1" t="s">
        <v>4568</v>
      </c>
      <c r="CXW1" t="s">
        <v>4569</v>
      </c>
      <c r="CXX1" t="s">
        <v>4570</v>
      </c>
      <c r="CXY1" t="s">
        <v>4571</v>
      </c>
      <c r="CXZ1" t="s">
        <v>4572</v>
      </c>
      <c r="CYA1" t="s">
        <v>4573</v>
      </c>
      <c r="CYB1" t="s">
        <v>4574</v>
      </c>
      <c r="CYC1" t="s">
        <v>4575</v>
      </c>
      <c r="CYD1" t="s">
        <v>4576</v>
      </c>
      <c r="CYE1" t="s">
        <v>4577</v>
      </c>
      <c r="CYF1" t="s">
        <v>4578</v>
      </c>
      <c r="CYG1" t="s">
        <v>4579</v>
      </c>
      <c r="CYH1" t="s">
        <v>4580</v>
      </c>
      <c r="CYI1" t="s">
        <v>4581</v>
      </c>
      <c r="CYJ1" t="s">
        <v>4582</v>
      </c>
      <c r="CYK1" t="s">
        <v>4583</v>
      </c>
      <c r="CYL1" t="s">
        <v>4584</v>
      </c>
      <c r="CYM1" t="s">
        <v>4585</v>
      </c>
      <c r="CYN1" t="s">
        <v>4586</v>
      </c>
      <c r="CYO1" t="s">
        <v>4587</v>
      </c>
      <c r="CYP1" t="s">
        <v>4588</v>
      </c>
      <c r="CYQ1" t="s">
        <v>4589</v>
      </c>
      <c r="CYR1" t="s">
        <v>4590</v>
      </c>
      <c r="CYS1" t="s">
        <v>4591</v>
      </c>
      <c r="CYT1" t="s">
        <v>4592</v>
      </c>
      <c r="CYU1" t="s">
        <v>4593</v>
      </c>
      <c r="CYV1" t="s">
        <v>4594</v>
      </c>
      <c r="CYW1" t="s">
        <v>4595</v>
      </c>
      <c r="CYX1" t="s">
        <v>4596</v>
      </c>
      <c r="CYY1" t="s">
        <v>4597</v>
      </c>
      <c r="CYZ1" t="s">
        <v>4598</v>
      </c>
      <c r="CZA1" t="s">
        <v>4599</v>
      </c>
      <c r="CZB1" t="s">
        <v>4600</v>
      </c>
      <c r="CZC1" t="s">
        <v>4601</v>
      </c>
      <c r="CZD1" t="s">
        <v>4602</v>
      </c>
      <c r="CZE1" t="s">
        <v>4603</v>
      </c>
      <c r="CZF1" t="s">
        <v>4604</v>
      </c>
      <c r="CZG1" t="s">
        <v>4605</v>
      </c>
      <c r="CZH1" t="s">
        <v>4606</v>
      </c>
      <c r="CZI1" t="s">
        <v>4607</v>
      </c>
      <c r="CZJ1" t="s">
        <v>4608</v>
      </c>
      <c r="CZK1" t="s">
        <v>4609</v>
      </c>
      <c r="CZL1" t="s">
        <v>4610</v>
      </c>
      <c r="CZM1" t="s">
        <v>4611</v>
      </c>
      <c r="CZN1" t="s">
        <v>4612</v>
      </c>
      <c r="CZO1" t="s">
        <v>4613</v>
      </c>
      <c r="CZP1" t="s">
        <v>4614</v>
      </c>
      <c r="CZQ1" t="s">
        <v>4615</v>
      </c>
      <c r="CZR1" t="s">
        <v>4616</v>
      </c>
      <c r="CZS1" t="s">
        <v>4617</v>
      </c>
      <c r="CZT1" t="s">
        <v>4618</v>
      </c>
      <c r="CZU1" t="s">
        <v>4619</v>
      </c>
      <c r="CZV1" t="s">
        <v>4620</v>
      </c>
      <c r="CZW1" t="s">
        <v>4621</v>
      </c>
      <c r="CZX1" t="s">
        <v>4622</v>
      </c>
      <c r="CZY1" t="s">
        <v>4623</v>
      </c>
      <c r="CZZ1" t="s">
        <v>4624</v>
      </c>
      <c r="DAA1" t="s">
        <v>4625</v>
      </c>
      <c r="DAB1" t="s">
        <v>4626</v>
      </c>
      <c r="DAC1" t="s">
        <v>4627</v>
      </c>
      <c r="DAD1" t="s">
        <v>4628</v>
      </c>
      <c r="DAE1" t="s">
        <v>4629</v>
      </c>
      <c r="DAF1" t="s">
        <v>4630</v>
      </c>
      <c r="DAG1" t="s">
        <v>4631</v>
      </c>
      <c r="DAH1" t="s">
        <v>4632</v>
      </c>
      <c r="DAI1" t="s">
        <v>4633</v>
      </c>
      <c r="DAJ1" t="s">
        <v>4634</v>
      </c>
      <c r="DAK1" t="s">
        <v>4635</v>
      </c>
      <c r="DAL1" t="s">
        <v>4636</v>
      </c>
      <c r="DAM1" t="s">
        <v>4637</v>
      </c>
      <c r="DAN1" t="s">
        <v>4638</v>
      </c>
      <c r="DAO1" t="s">
        <v>4639</v>
      </c>
      <c r="DAP1" t="s">
        <v>4640</v>
      </c>
      <c r="DAQ1" t="s">
        <v>4641</v>
      </c>
      <c r="DAR1" t="s">
        <v>4642</v>
      </c>
      <c r="DAS1" t="s">
        <v>4643</v>
      </c>
      <c r="DAT1" t="s">
        <v>4644</v>
      </c>
      <c r="DAU1" t="s">
        <v>4645</v>
      </c>
      <c r="DAV1" t="s">
        <v>4646</v>
      </c>
      <c r="DAW1" t="s">
        <v>4647</v>
      </c>
      <c r="DAX1" t="s">
        <v>4648</v>
      </c>
      <c r="DAY1" t="s">
        <v>4649</v>
      </c>
      <c r="DAZ1" t="s">
        <v>4650</v>
      </c>
      <c r="DBA1" t="s">
        <v>4651</v>
      </c>
      <c r="DBB1" t="s">
        <v>4652</v>
      </c>
      <c r="DBC1" t="s">
        <v>4653</v>
      </c>
      <c r="DBD1" t="s">
        <v>4654</v>
      </c>
      <c r="DBE1" t="s">
        <v>4655</v>
      </c>
      <c r="DBF1" t="s">
        <v>4656</v>
      </c>
      <c r="DBG1" t="s">
        <v>4657</v>
      </c>
      <c r="DBH1" t="s">
        <v>4658</v>
      </c>
      <c r="DBI1" t="s">
        <v>4659</v>
      </c>
      <c r="DBJ1" t="s">
        <v>4660</v>
      </c>
      <c r="DBK1" t="s">
        <v>4661</v>
      </c>
      <c r="DBL1" t="s">
        <v>4662</v>
      </c>
      <c r="DBM1" t="s">
        <v>4663</v>
      </c>
      <c r="DBN1" t="s">
        <v>4664</v>
      </c>
      <c r="DBO1" t="s">
        <v>4665</v>
      </c>
      <c r="DBP1" t="s">
        <v>4666</v>
      </c>
      <c r="DBQ1" t="s">
        <v>4667</v>
      </c>
      <c r="DBR1" t="s">
        <v>4668</v>
      </c>
      <c r="DBS1" t="s">
        <v>4669</v>
      </c>
      <c r="DBT1" t="s">
        <v>4670</v>
      </c>
      <c r="DBU1" t="s">
        <v>4671</v>
      </c>
      <c r="DBV1" t="s">
        <v>4672</v>
      </c>
      <c r="DBW1" t="s">
        <v>4673</v>
      </c>
      <c r="DBX1" t="s">
        <v>4674</v>
      </c>
      <c r="DBY1" t="s">
        <v>4675</v>
      </c>
      <c r="DBZ1" t="s">
        <v>4676</v>
      </c>
      <c r="DCA1" t="s">
        <v>4677</v>
      </c>
      <c r="DCB1" t="s">
        <v>4678</v>
      </c>
      <c r="DCC1" t="s">
        <v>4679</v>
      </c>
      <c r="DCD1" t="s">
        <v>4680</v>
      </c>
      <c r="DCE1" t="s">
        <v>4681</v>
      </c>
      <c r="DCF1" t="s">
        <v>4682</v>
      </c>
      <c r="DCG1" t="s">
        <v>4683</v>
      </c>
      <c r="DCH1" t="s">
        <v>4684</v>
      </c>
      <c r="DCI1" t="s">
        <v>4685</v>
      </c>
      <c r="DCJ1" t="s">
        <v>4686</v>
      </c>
      <c r="DCK1" t="s">
        <v>4687</v>
      </c>
      <c r="DCL1" t="s">
        <v>4688</v>
      </c>
      <c r="DCM1" t="s">
        <v>4689</v>
      </c>
      <c r="DCN1" t="s">
        <v>4690</v>
      </c>
      <c r="DCO1" t="s">
        <v>4691</v>
      </c>
      <c r="DCP1" t="s">
        <v>4692</v>
      </c>
      <c r="DCQ1" t="s">
        <v>4693</v>
      </c>
      <c r="DCR1" t="s">
        <v>4694</v>
      </c>
      <c r="DCS1" t="s">
        <v>4695</v>
      </c>
      <c r="DCT1" t="s">
        <v>4696</v>
      </c>
      <c r="DCU1" t="s">
        <v>4697</v>
      </c>
      <c r="DCV1" t="s">
        <v>4698</v>
      </c>
      <c r="DCW1" t="s">
        <v>4699</v>
      </c>
      <c r="DCX1" t="s">
        <v>4700</v>
      </c>
      <c r="DCY1" t="s">
        <v>4701</v>
      </c>
      <c r="DCZ1" t="s">
        <v>4702</v>
      </c>
      <c r="DDA1" t="s">
        <v>4703</v>
      </c>
      <c r="DDB1" t="s">
        <v>4704</v>
      </c>
      <c r="DDC1" t="s">
        <v>4705</v>
      </c>
      <c r="DDD1" t="s">
        <v>4706</v>
      </c>
      <c r="DDE1" t="s">
        <v>4707</v>
      </c>
      <c r="DDF1" t="s">
        <v>4708</v>
      </c>
      <c r="DDG1" t="s">
        <v>4709</v>
      </c>
      <c r="DDH1" t="s">
        <v>4710</v>
      </c>
      <c r="DDI1" t="s">
        <v>4711</v>
      </c>
      <c r="DDJ1" t="s">
        <v>4712</v>
      </c>
      <c r="DDK1" t="s">
        <v>4713</v>
      </c>
      <c r="DDL1" t="s">
        <v>4714</v>
      </c>
      <c r="DDM1" t="s">
        <v>4715</v>
      </c>
      <c r="DDN1" t="s">
        <v>4716</v>
      </c>
      <c r="DDO1" t="s">
        <v>4717</v>
      </c>
      <c r="DDP1" t="s">
        <v>4718</v>
      </c>
      <c r="DDQ1" t="s">
        <v>4719</v>
      </c>
      <c r="DDR1" t="s">
        <v>4720</v>
      </c>
      <c r="DDS1" t="s">
        <v>4721</v>
      </c>
      <c r="DDT1" t="s">
        <v>4722</v>
      </c>
      <c r="DDU1" t="s">
        <v>4723</v>
      </c>
      <c r="DDV1" t="s">
        <v>4724</v>
      </c>
      <c r="DDW1" t="s">
        <v>4725</v>
      </c>
      <c r="DDX1" t="s">
        <v>4726</v>
      </c>
      <c r="DDY1" t="s">
        <v>4727</v>
      </c>
      <c r="DDZ1" t="s">
        <v>4728</v>
      </c>
      <c r="DEA1" t="s">
        <v>4729</v>
      </c>
      <c r="DEB1" t="s">
        <v>4730</v>
      </c>
      <c r="DEC1" t="s">
        <v>4731</v>
      </c>
      <c r="DED1" t="s">
        <v>4732</v>
      </c>
      <c r="DEE1" t="s">
        <v>4733</v>
      </c>
      <c r="DEF1" t="s">
        <v>4734</v>
      </c>
      <c r="DEG1" t="s">
        <v>4735</v>
      </c>
      <c r="DEH1" t="s">
        <v>4736</v>
      </c>
      <c r="DEI1" t="s">
        <v>4737</v>
      </c>
      <c r="DEJ1" t="s">
        <v>4738</v>
      </c>
      <c r="DEK1" t="s">
        <v>4739</v>
      </c>
      <c r="DEL1" t="s">
        <v>4740</v>
      </c>
      <c r="DEM1" t="s">
        <v>4741</v>
      </c>
      <c r="DEN1" t="s">
        <v>4742</v>
      </c>
      <c r="DEO1" t="s">
        <v>4743</v>
      </c>
      <c r="DEP1" t="s">
        <v>4744</v>
      </c>
      <c r="DEQ1" t="s">
        <v>4745</v>
      </c>
      <c r="DER1" t="s">
        <v>4746</v>
      </c>
      <c r="DES1" t="s">
        <v>4747</v>
      </c>
      <c r="DET1" t="s">
        <v>4748</v>
      </c>
      <c r="DEU1" t="s">
        <v>4749</v>
      </c>
      <c r="DEV1" t="s">
        <v>4750</v>
      </c>
      <c r="DEW1" t="s">
        <v>4751</v>
      </c>
      <c r="DEX1" t="s">
        <v>4752</v>
      </c>
      <c r="DEY1" t="s">
        <v>4753</v>
      </c>
      <c r="DEZ1" t="s">
        <v>4754</v>
      </c>
      <c r="DFA1" t="s">
        <v>4755</v>
      </c>
      <c r="DFB1" t="s">
        <v>4756</v>
      </c>
      <c r="DFC1" t="s">
        <v>4757</v>
      </c>
      <c r="DFD1" t="s">
        <v>4758</v>
      </c>
      <c r="DFE1" t="s">
        <v>4759</v>
      </c>
      <c r="DFF1" t="s">
        <v>4760</v>
      </c>
      <c r="DFG1" t="s">
        <v>4761</v>
      </c>
      <c r="DFH1" t="s">
        <v>4762</v>
      </c>
      <c r="DFI1" t="s">
        <v>4763</v>
      </c>
      <c r="DFJ1" t="s">
        <v>4764</v>
      </c>
      <c r="DFK1" t="s">
        <v>4765</v>
      </c>
      <c r="DFL1" t="s">
        <v>4766</v>
      </c>
      <c r="DFM1" t="s">
        <v>4767</v>
      </c>
      <c r="DFN1" t="s">
        <v>4768</v>
      </c>
      <c r="DFO1" t="s">
        <v>4769</v>
      </c>
      <c r="DFP1" t="s">
        <v>4770</v>
      </c>
      <c r="DFQ1" t="s">
        <v>4771</v>
      </c>
      <c r="DFR1" t="s">
        <v>4772</v>
      </c>
      <c r="DFS1" t="s">
        <v>4773</v>
      </c>
      <c r="DFT1" t="s">
        <v>4774</v>
      </c>
      <c r="DFU1" t="s">
        <v>4775</v>
      </c>
      <c r="DFV1" t="s">
        <v>4776</v>
      </c>
      <c r="DFW1" t="s">
        <v>4777</v>
      </c>
      <c r="DFX1" t="s">
        <v>4778</v>
      </c>
      <c r="DFY1" t="s">
        <v>4779</v>
      </c>
      <c r="DFZ1" t="s">
        <v>4780</v>
      </c>
      <c r="DGA1" t="s">
        <v>4781</v>
      </c>
      <c r="DGB1" t="s">
        <v>4782</v>
      </c>
      <c r="DGC1" t="s">
        <v>4783</v>
      </c>
      <c r="DGD1" t="s">
        <v>4784</v>
      </c>
      <c r="DGE1" t="s">
        <v>4785</v>
      </c>
      <c r="DGF1" t="s">
        <v>4786</v>
      </c>
      <c r="DGG1" t="s">
        <v>4787</v>
      </c>
      <c r="DGH1" t="s">
        <v>4788</v>
      </c>
      <c r="DGI1" t="s">
        <v>4789</v>
      </c>
      <c r="DGJ1" t="s">
        <v>4790</v>
      </c>
      <c r="DGK1" t="s">
        <v>4791</v>
      </c>
      <c r="DGL1" t="s">
        <v>4792</v>
      </c>
      <c r="DGM1" t="s">
        <v>4793</v>
      </c>
      <c r="DGN1" t="s">
        <v>4794</v>
      </c>
      <c r="DGO1" t="s">
        <v>4795</v>
      </c>
      <c r="DGP1" t="s">
        <v>4796</v>
      </c>
      <c r="DGQ1" t="s">
        <v>4797</v>
      </c>
      <c r="DGR1" t="s">
        <v>4798</v>
      </c>
      <c r="DGS1" t="s">
        <v>4799</v>
      </c>
      <c r="DGT1" t="s">
        <v>4800</v>
      </c>
      <c r="DGU1" t="s">
        <v>4801</v>
      </c>
      <c r="DGV1" t="s">
        <v>4802</v>
      </c>
      <c r="DGW1" t="s">
        <v>4803</v>
      </c>
      <c r="DGX1" t="s">
        <v>4804</v>
      </c>
      <c r="DGY1" t="s">
        <v>4805</v>
      </c>
      <c r="DGZ1" t="s">
        <v>4806</v>
      </c>
      <c r="DHA1" t="s">
        <v>4807</v>
      </c>
      <c r="DHB1" t="s">
        <v>4808</v>
      </c>
      <c r="DHC1" t="s">
        <v>4809</v>
      </c>
      <c r="DHD1" t="s">
        <v>4810</v>
      </c>
      <c r="DHE1" t="s">
        <v>4811</v>
      </c>
      <c r="DHF1" t="s">
        <v>4812</v>
      </c>
      <c r="DHG1" t="s">
        <v>4813</v>
      </c>
      <c r="DHH1" t="s">
        <v>4814</v>
      </c>
      <c r="DHI1" t="s">
        <v>4815</v>
      </c>
      <c r="DHJ1" t="s">
        <v>4816</v>
      </c>
      <c r="DHK1" t="s">
        <v>4817</v>
      </c>
      <c r="DHL1" t="s">
        <v>4818</v>
      </c>
      <c r="DHM1" t="s">
        <v>4819</v>
      </c>
      <c r="DHN1" t="s">
        <v>4820</v>
      </c>
      <c r="DHO1" t="s">
        <v>4821</v>
      </c>
      <c r="DHP1" t="s">
        <v>4822</v>
      </c>
      <c r="DHQ1" t="s">
        <v>4823</v>
      </c>
      <c r="DHR1" t="s">
        <v>4824</v>
      </c>
      <c r="DHS1" t="s">
        <v>4825</v>
      </c>
      <c r="DHT1" t="s">
        <v>4826</v>
      </c>
      <c r="DHU1" t="s">
        <v>4827</v>
      </c>
      <c r="DHV1" t="s">
        <v>4828</v>
      </c>
      <c r="DHW1" t="s">
        <v>4829</v>
      </c>
      <c r="DHX1" t="s">
        <v>4830</v>
      </c>
      <c r="DHY1" t="s">
        <v>4831</v>
      </c>
      <c r="DHZ1" t="s">
        <v>4832</v>
      </c>
      <c r="DIA1" t="s">
        <v>4833</v>
      </c>
      <c r="DIB1" t="s">
        <v>4834</v>
      </c>
      <c r="DIC1" t="s">
        <v>4835</v>
      </c>
      <c r="DID1" t="s">
        <v>4836</v>
      </c>
      <c r="DIE1" t="s">
        <v>4837</v>
      </c>
      <c r="DIF1" t="s">
        <v>4838</v>
      </c>
      <c r="DIG1" t="s">
        <v>4839</v>
      </c>
      <c r="DIH1" t="s">
        <v>4840</v>
      </c>
      <c r="DII1" t="s">
        <v>4841</v>
      </c>
      <c r="DIJ1" t="s">
        <v>4842</v>
      </c>
      <c r="DIK1" t="s">
        <v>4843</v>
      </c>
      <c r="DIL1" t="s">
        <v>4844</v>
      </c>
      <c r="DIM1" t="s">
        <v>4845</v>
      </c>
      <c r="DIN1" t="s">
        <v>4846</v>
      </c>
      <c r="DIO1" t="s">
        <v>4847</v>
      </c>
      <c r="DIP1" t="s">
        <v>4848</v>
      </c>
      <c r="DIQ1" t="s">
        <v>4849</v>
      </c>
      <c r="DIR1" t="s">
        <v>4850</v>
      </c>
      <c r="DIS1" t="s">
        <v>4851</v>
      </c>
      <c r="DIT1" t="s">
        <v>4852</v>
      </c>
      <c r="DIU1" t="s">
        <v>4853</v>
      </c>
      <c r="DIV1" t="s">
        <v>4854</v>
      </c>
      <c r="DIW1" t="s">
        <v>4855</v>
      </c>
      <c r="DIX1" t="s">
        <v>4856</v>
      </c>
      <c r="DIY1" t="s">
        <v>4857</v>
      </c>
      <c r="DIZ1" t="s">
        <v>4858</v>
      </c>
      <c r="DJA1" t="s">
        <v>4859</v>
      </c>
      <c r="DJB1" t="s">
        <v>4860</v>
      </c>
      <c r="DJC1" t="s">
        <v>4861</v>
      </c>
      <c r="DJD1" t="s">
        <v>4862</v>
      </c>
      <c r="DJE1" t="s">
        <v>4863</v>
      </c>
      <c r="DJF1" t="s">
        <v>4864</v>
      </c>
      <c r="DJG1" t="s">
        <v>4865</v>
      </c>
      <c r="DJH1" t="s">
        <v>4866</v>
      </c>
      <c r="DJI1" t="s">
        <v>4867</v>
      </c>
      <c r="DJJ1" t="s">
        <v>4868</v>
      </c>
      <c r="DJK1" t="s">
        <v>4869</v>
      </c>
      <c r="DJL1" t="s">
        <v>4870</v>
      </c>
      <c r="DJM1" t="s">
        <v>4871</v>
      </c>
      <c r="DJN1" t="s">
        <v>4872</v>
      </c>
      <c r="DJO1" t="s">
        <v>4873</v>
      </c>
      <c r="DJP1" t="s">
        <v>4874</v>
      </c>
      <c r="DJQ1" t="s">
        <v>4875</v>
      </c>
      <c r="DJR1" t="s">
        <v>4876</v>
      </c>
      <c r="DJS1" t="s">
        <v>4877</v>
      </c>
      <c r="DJT1" t="s">
        <v>4878</v>
      </c>
      <c r="DJU1" t="s">
        <v>4879</v>
      </c>
      <c r="DJV1" t="s">
        <v>4880</v>
      </c>
      <c r="DJW1" t="s">
        <v>4881</v>
      </c>
      <c r="DJX1" t="s">
        <v>4882</v>
      </c>
      <c r="DJY1" t="s">
        <v>4883</v>
      </c>
      <c r="DJZ1" t="s">
        <v>4884</v>
      </c>
      <c r="DKA1" t="s">
        <v>4885</v>
      </c>
      <c r="DKB1" t="s">
        <v>4886</v>
      </c>
      <c r="DKC1" t="s">
        <v>4887</v>
      </c>
      <c r="DKD1" t="s">
        <v>4888</v>
      </c>
      <c r="DKE1" t="s">
        <v>4889</v>
      </c>
      <c r="DKF1" t="s">
        <v>4890</v>
      </c>
      <c r="DKG1" t="s">
        <v>4891</v>
      </c>
      <c r="DKH1" t="s">
        <v>4892</v>
      </c>
      <c r="DKI1" t="s">
        <v>4893</v>
      </c>
      <c r="DKJ1" t="s">
        <v>4894</v>
      </c>
      <c r="DKK1" t="s">
        <v>4895</v>
      </c>
      <c r="DKL1" t="s">
        <v>4896</v>
      </c>
      <c r="DKM1" t="s">
        <v>4897</v>
      </c>
      <c r="DKN1" t="s">
        <v>4898</v>
      </c>
      <c r="DKO1" t="s">
        <v>4899</v>
      </c>
      <c r="DKP1" t="s">
        <v>4900</v>
      </c>
      <c r="DKQ1" t="s">
        <v>4901</v>
      </c>
      <c r="DKR1" t="s">
        <v>4902</v>
      </c>
      <c r="DKS1" t="s">
        <v>4903</v>
      </c>
      <c r="DKT1" t="s">
        <v>4904</v>
      </c>
      <c r="DKU1" t="s">
        <v>4905</v>
      </c>
      <c r="DKV1" t="s">
        <v>4906</v>
      </c>
      <c r="DKW1" t="s">
        <v>4907</v>
      </c>
      <c r="DKX1" t="s">
        <v>4908</v>
      </c>
      <c r="DKY1" t="s">
        <v>4909</v>
      </c>
      <c r="DKZ1" t="s">
        <v>4910</v>
      </c>
      <c r="DLA1" t="s">
        <v>4911</v>
      </c>
      <c r="DLB1" t="s">
        <v>4912</v>
      </c>
      <c r="DLC1" t="s">
        <v>4913</v>
      </c>
      <c r="DLD1" t="s">
        <v>4914</v>
      </c>
      <c r="DLE1" t="s">
        <v>4915</v>
      </c>
      <c r="DLF1" t="s">
        <v>4916</v>
      </c>
      <c r="DLG1" t="s">
        <v>4917</v>
      </c>
      <c r="DLH1" t="s">
        <v>4918</v>
      </c>
      <c r="DLI1" t="s">
        <v>4919</v>
      </c>
      <c r="DLJ1" t="s">
        <v>4920</v>
      </c>
      <c r="DLK1" t="s">
        <v>4921</v>
      </c>
      <c r="DLL1" t="s">
        <v>4922</v>
      </c>
      <c r="DLM1" t="s">
        <v>4923</v>
      </c>
      <c r="DLN1" t="s">
        <v>4924</v>
      </c>
      <c r="DLO1" t="s">
        <v>4925</v>
      </c>
      <c r="DLP1" t="s">
        <v>4926</v>
      </c>
      <c r="DLQ1" t="s">
        <v>4927</v>
      </c>
      <c r="DLR1" t="s">
        <v>4928</v>
      </c>
      <c r="DLS1" t="s">
        <v>4929</v>
      </c>
      <c r="DLT1" t="s">
        <v>4930</v>
      </c>
      <c r="DLU1" t="s">
        <v>4931</v>
      </c>
      <c r="DLV1" t="s">
        <v>4932</v>
      </c>
      <c r="DLW1" t="s">
        <v>4933</v>
      </c>
      <c r="DLX1" t="s">
        <v>4934</v>
      </c>
      <c r="DLY1" t="s">
        <v>4935</v>
      </c>
      <c r="DLZ1" t="s">
        <v>4936</v>
      </c>
      <c r="DMA1" t="s">
        <v>4937</v>
      </c>
      <c r="DMB1" t="s">
        <v>4938</v>
      </c>
      <c r="DMC1" t="s">
        <v>4939</v>
      </c>
      <c r="DMD1" t="s">
        <v>4940</v>
      </c>
      <c r="DME1" t="s">
        <v>4941</v>
      </c>
      <c r="DMF1" t="s">
        <v>4942</v>
      </c>
      <c r="DMG1" t="s">
        <v>4943</v>
      </c>
      <c r="DMH1" t="s">
        <v>4944</v>
      </c>
      <c r="DMI1" t="s">
        <v>4945</v>
      </c>
      <c r="DMJ1" t="s">
        <v>4946</v>
      </c>
      <c r="DMK1" t="s">
        <v>4947</v>
      </c>
      <c r="DML1" t="s">
        <v>4948</v>
      </c>
      <c r="DMM1" t="s">
        <v>4949</v>
      </c>
      <c r="DMN1" t="s">
        <v>4950</v>
      </c>
      <c r="DMO1" t="s">
        <v>4951</v>
      </c>
      <c r="DMP1" t="s">
        <v>4952</v>
      </c>
      <c r="DMQ1" t="s">
        <v>4953</v>
      </c>
      <c r="DMR1" t="s">
        <v>4954</v>
      </c>
      <c r="DMS1" t="s">
        <v>4955</v>
      </c>
      <c r="DMT1" t="s">
        <v>4956</v>
      </c>
      <c r="DMU1" t="s">
        <v>4957</v>
      </c>
      <c r="DMV1" t="s">
        <v>4958</v>
      </c>
      <c r="DMW1" t="s">
        <v>4959</v>
      </c>
      <c r="DMX1" t="s">
        <v>4960</v>
      </c>
      <c r="DMY1" t="s">
        <v>4961</v>
      </c>
      <c r="DMZ1" t="s">
        <v>4962</v>
      </c>
      <c r="DNA1" t="s">
        <v>4963</v>
      </c>
      <c r="DNB1" t="s">
        <v>4964</v>
      </c>
      <c r="DNC1" t="s">
        <v>4965</v>
      </c>
      <c r="DND1" t="s">
        <v>4966</v>
      </c>
      <c r="DNE1" t="s">
        <v>4967</v>
      </c>
      <c r="DNF1" t="s">
        <v>4968</v>
      </c>
      <c r="DNG1" t="s">
        <v>4969</v>
      </c>
      <c r="DNH1" t="s">
        <v>4970</v>
      </c>
      <c r="DNI1" t="s">
        <v>4971</v>
      </c>
      <c r="DNJ1" t="s">
        <v>4972</v>
      </c>
      <c r="DNK1" t="s">
        <v>4973</v>
      </c>
      <c r="DNL1" t="s">
        <v>4974</v>
      </c>
      <c r="DNM1" t="s">
        <v>4975</v>
      </c>
      <c r="DNN1" t="s">
        <v>4976</v>
      </c>
      <c r="DNO1" t="s">
        <v>4977</v>
      </c>
      <c r="DNP1" t="s">
        <v>4978</v>
      </c>
      <c r="DNQ1" t="s">
        <v>4979</v>
      </c>
      <c r="DNR1" t="s">
        <v>4980</v>
      </c>
      <c r="DNS1" t="s">
        <v>4981</v>
      </c>
      <c r="DNT1" t="s">
        <v>4982</v>
      </c>
      <c r="DNU1" t="s">
        <v>4983</v>
      </c>
      <c r="DNV1" t="s">
        <v>4984</v>
      </c>
      <c r="DNW1" t="s">
        <v>4985</v>
      </c>
      <c r="DNX1" t="s">
        <v>4986</v>
      </c>
      <c r="DNY1" t="s">
        <v>4987</v>
      </c>
      <c r="DNZ1" t="s">
        <v>4988</v>
      </c>
      <c r="DOA1" t="s">
        <v>4989</v>
      </c>
      <c r="DOB1" t="s">
        <v>4990</v>
      </c>
      <c r="DOC1" t="s">
        <v>4991</v>
      </c>
      <c r="DOD1" t="s">
        <v>4992</v>
      </c>
      <c r="DOE1" t="s">
        <v>4993</v>
      </c>
      <c r="DOF1" t="s">
        <v>4994</v>
      </c>
      <c r="DOG1" t="s">
        <v>4995</v>
      </c>
      <c r="DOH1" t="s">
        <v>4996</v>
      </c>
      <c r="DOI1" t="s">
        <v>4997</v>
      </c>
      <c r="DOJ1" t="s">
        <v>4998</v>
      </c>
      <c r="DOK1" t="s">
        <v>4999</v>
      </c>
      <c r="DOL1" t="s">
        <v>5000</v>
      </c>
      <c r="DOM1" t="s">
        <v>5001</v>
      </c>
      <c r="DON1" t="s">
        <v>5002</v>
      </c>
      <c r="DOO1" t="s">
        <v>5003</v>
      </c>
      <c r="DOP1" t="s">
        <v>5004</v>
      </c>
      <c r="DOQ1" t="s">
        <v>5005</v>
      </c>
      <c r="DOR1" t="s">
        <v>5006</v>
      </c>
      <c r="DOS1" t="s">
        <v>5007</v>
      </c>
      <c r="DOT1" t="s">
        <v>5008</v>
      </c>
      <c r="DOU1" t="s">
        <v>5009</v>
      </c>
      <c r="DOV1" t="s">
        <v>5010</v>
      </c>
      <c r="DOW1" t="s">
        <v>5011</v>
      </c>
      <c r="DOX1" t="s">
        <v>5012</v>
      </c>
      <c r="DOY1" t="s">
        <v>5013</v>
      </c>
      <c r="DOZ1" t="s">
        <v>5014</v>
      </c>
      <c r="DPA1" t="s">
        <v>5015</v>
      </c>
      <c r="DPB1" t="s">
        <v>5016</v>
      </c>
      <c r="DPC1" t="s">
        <v>5017</v>
      </c>
      <c r="DPD1" t="s">
        <v>5018</v>
      </c>
      <c r="DPE1" t="s">
        <v>5019</v>
      </c>
      <c r="DPF1" t="s">
        <v>5020</v>
      </c>
      <c r="DPG1" t="s">
        <v>5021</v>
      </c>
      <c r="DPH1" t="s">
        <v>5022</v>
      </c>
      <c r="DPI1" t="s">
        <v>5023</v>
      </c>
      <c r="DPJ1" t="s">
        <v>5024</v>
      </c>
      <c r="DPK1" t="s">
        <v>5025</v>
      </c>
      <c r="DPL1" t="s">
        <v>5026</v>
      </c>
      <c r="DPM1" t="s">
        <v>5027</v>
      </c>
      <c r="DPN1" t="s">
        <v>5028</v>
      </c>
      <c r="DPO1" t="s">
        <v>5029</v>
      </c>
      <c r="DPP1" t="s">
        <v>5030</v>
      </c>
      <c r="DPQ1" t="s">
        <v>5031</v>
      </c>
      <c r="DPR1" t="s">
        <v>5032</v>
      </c>
      <c r="DPS1" t="s">
        <v>5033</v>
      </c>
      <c r="DPT1" t="s">
        <v>5034</v>
      </c>
      <c r="DPU1" t="s">
        <v>5035</v>
      </c>
      <c r="DPV1" t="s">
        <v>5036</v>
      </c>
      <c r="DPW1" t="s">
        <v>5037</v>
      </c>
      <c r="DPX1" t="s">
        <v>5038</v>
      </c>
      <c r="DPY1" t="s">
        <v>5039</v>
      </c>
      <c r="DPZ1" t="s">
        <v>5040</v>
      </c>
      <c r="DQA1" t="s">
        <v>5041</v>
      </c>
      <c r="DQB1" t="s">
        <v>5042</v>
      </c>
      <c r="DQC1" t="s">
        <v>5043</v>
      </c>
      <c r="DQD1" t="s">
        <v>5044</v>
      </c>
      <c r="DQE1" t="s">
        <v>5045</v>
      </c>
      <c r="DQF1" t="s">
        <v>5046</v>
      </c>
      <c r="DQG1" t="s">
        <v>5047</v>
      </c>
      <c r="DQH1" t="s">
        <v>5048</v>
      </c>
      <c r="DQI1" t="s">
        <v>5049</v>
      </c>
      <c r="DQJ1" t="s">
        <v>5050</v>
      </c>
      <c r="DQK1" t="s">
        <v>5051</v>
      </c>
      <c r="DQL1" t="s">
        <v>5052</v>
      </c>
      <c r="DQM1" t="s">
        <v>5053</v>
      </c>
      <c r="DQN1" t="s">
        <v>5054</v>
      </c>
      <c r="DQO1" t="s">
        <v>5055</v>
      </c>
      <c r="DQP1" t="s">
        <v>5056</v>
      </c>
      <c r="DQQ1" t="s">
        <v>5057</v>
      </c>
      <c r="DQR1" t="s">
        <v>5058</v>
      </c>
      <c r="DQS1" t="s">
        <v>5059</v>
      </c>
      <c r="DQT1" t="s">
        <v>5060</v>
      </c>
      <c r="DQU1" t="s">
        <v>5061</v>
      </c>
      <c r="DQV1" t="s">
        <v>5062</v>
      </c>
      <c r="DQW1" t="s">
        <v>5063</v>
      </c>
      <c r="DQX1" t="s">
        <v>5064</v>
      </c>
      <c r="DQY1" t="s">
        <v>5065</v>
      </c>
      <c r="DQZ1" t="s">
        <v>5066</v>
      </c>
      <c r="DRA1" t="s">
        <v>5067</v>
      </c>
      <c r="DRB1" t="s">
        <v>5068</v>
      </c>
      <c r="DRC1" t="s">
        <v>5069</v>
      </c>
      <c r="DRD1" t="s">
        <v>5070</v>
      </c>
      <c r="DRE1" t="s">
        <v>5071</v>
      </c>
      <c r="DRF1" t="s">
        <v>5072</v>
      </c>
      <c r="DRG1" t="s">
        <v>5073</v>
      </c>
      <c r="DRH1" t="s">
        <v>5074</v>
      </c>
      <c r="DRI1" t="s">
        <v>5075</v>
      </c>
      <c r="DRJ1" t="s">
        <v>5076</v>
      </c>
      <c r="DRK1" t="s">
        <v>5077</v>
      </c>
      <c r="DRL1" t="s">
        <v>5078</v>
      </c>
      <c r="DRM1" t="s">
        <v>5079</v>
      </c>
      <c r="DRN1" t="s">
        <v>5080</v>
      </c>
      <c r="DRO1" t="s">
        <v>5081</v>
      </c>
      <c r="DRP1" t="s">
        <v>5082</v>
      </c>
      <c r="DRQ1" t="s">
        <v>5083</v>
      </c>
      <c r="DRR1" t="s">
        <v>5084</v>
      </c>
      <c r="DRS1" t="s">
        <v>5085</v>
      </c>
      <c r="DRT1" t="s">
        <v>5086</v>
      </c>
      <c r="DRU1" t="s">
        <v>5087</v>
      </c>
      <c r="DRV1" t="s">
        <v>5088</v>
      </c>
      <c r="DRW1" t="s">
        <v>5089</v>
      </c>
      <c r="DRX1" t="s">
        <v>5090</v>
      </c>
      <c r="DRY1" t="s">
        <v>5091</v>
      </c>
      <c r="DRZ1" t="s">
        <v>5092</v>
      </c>
      <c r="DSA1" t="s">
        <v>5093</v>
      </c>
      <c r="DSB1" t="s">
        <v>5094</v>
      </c>
      <c r="DSC1" t="s">
        <v>5095</v>
      </c>
      <c r="DSD1" t="s">
        <v>5096</v>
      </c>
      <c r="DSE1" t="s">
        <v>5097</v>
      </c>
      <c r="DSF1" t="s">
        <v>5098</v>
      </c>
      <c r="DSG1" t="s">
        <v>5099</v>
      </c>
      <c r="DSH1" t="s">
        <v>5100</v>
      </c>
      <c r="DSI1" t="s">
        <v>5101</v>
      </c>
      <c r="DSJ1" t="s">
        <v>5102</v>
      </c>
      <c r="DSK1" t="s">
        <v>5103</v>
      </c>
      <c r="DSL1" t="s">
        <v>5104</v>
      </c>
      <c r="DSM1" t="s">
        <v>5105</v>
      </c>
      <c r="DSN1" t="s">
        <v>5106</v>
      </c>
      <c r="DSO1" t="s">
        <v>5107</v>
      </c>
      <c r="DSP1" t="s">
        <v>5108</v>
      </c>
      <c r="DSQ1" t="s">
        <v>5109</v>
      </c>
      <c r="DSR1" t="s">
        <v>5110</v>
      </c>
      <c r="DSS1" t="s">
        <v>5111</v>
      </c>
      <c r="DST1" t="s">
        <v>5112</v>
      </c>
      <c r="DSU1" t="s">
        <v>5113</v>
      </c>
      <c r="DSV1" t="s">
        <v>5114</v>
      </c>
      <c r="DSW1" t="s">
        <v>5115</v>
      </c>
      <c r="DSX1" t="s">
        <v>5116</v>
      </c>
      <c r="DSY1" t="s">
        <v>5117</v>
      </c>
      <c r="DSZ1" t="s">
        <v>5118</v>
      </c>
      <c r="DTA1" t="s">
        <v>5119</v>
      </c>
      <c r="DTB1" t="s">
        <v>5120</v>
      </c>
      <c r="DTC1" t="s">
        <v>5121</v>
      </c>
      <c r="DTD1" t="s">
        <v>5122</v>
      </c>
      <c r="DTE1" t="s">
        <v>5123</v>
      </c>
      <c r="DTF1" t="s">
        <v>5124</v>
      </c>
      <c r="DTG1" t="s">
        <v>5125</v>
      </c>
      <c r="DTH1" t="s">
        <v>5126</v>
      </c>
      <c r="DTI1" t="s">
        <v>5127</v>
      </c>
      <c r="DTJ1" t="s">
        <v>5128</v>
      </c>
      <c r="DTK1" t="s">
        <v>5129</v>
      </c>
      <c r="DTL1" t="s">
        <v>5130</v>
      </c>
      <c r="DTM1" t="s">
        <v>5131</v>
      </c>
      <c r="DTN1" t="s">
        <v>5132</v>
      </c>
      <c r="DTO1" t="s">
        <v>5133</v>
      </c>
      <c r="DTP1" t="s">
        <v>5134</v>
      </c>
      <c r="DTQ1" t="s">
        <v>5135</v>
      </c>
      <c r="DTR1" t="s">
        <v>5136</v>
      </c>
      <c r="DTS1" t="s">
        <v>5137</v>
      </c>
      <c r="DTT1" t="s">
        <v>5138</v>
      </c>
      <c r="DTU1" t="s">
        <v>5139</v>
      </c>
      <c r="DTV1" t="s">
        <v>5140</v>
      </c>
      <c r="DTW1" t="s">
        <v>5141</v>
      </c>
      <c r="DTX1" t="s">
        <v>5142</v>
      </c>
      <c r="DTY1" t="s">
        <v>5143</v>
      </c>
      <c r="DTZ1" t="s">
        <v>5144</v>
      </c>
      <c r="DUA1" t="s">
        <v>5145</v>
      </c>
      <c r="DUB1" t="s">
        <v>5146</v>
      </c>
      <c r="DUC1" t="s">
        <v>5147</v>
      </c>
      <c r="DUD1" t="s">
        <v>5148</v>
      </c>
      <c r="DUE1" t="s">
        <v>5149</v>
      </c>
      <c r="DUF1" t="s">
        <v>5150</v>
      </c>
      <c r="DUG1" t="s">
        <v>5151</v>
      </c>
      <c r="DUH1" t="s">
        <v>5152</v>
      </c>
      <c r="DUI1" t="s">
        <v>5153</v>
      </c>
      <c r="DUJ1" t="s">
        <v>5154</v>
      </c>
      <c r="DUK1" t="s">
        <v>5155</v>
      </c>
      <c r="DUL1" t="s">
        <v>5156</v>
      </c>
      <c r="DUM1" t="s">
        <v>5157</v>
      </c>
      <c r="DUN1" t="s">
        <v>5158</v>
      </c>
      <c r="DUO1" t="s">
        <v>5159</v>
      </c>
      <c r="DUP1" t="s">
        <v>5160</v>
      </c>
      <c r="DUQ1" t="s">
        <v>5161</v>
      </c>
      <c r="DUR1" t="s">
        <v>5162</v>
      </c>
      <c r="DUS1" t="s">
        <v>5163</v>
      </c>
      <c r="DUT1" t="s">
        <v>5164</v>
      </c>
      <c r="DUU1" t="s">
        <v>5165</v>
      </c>
      <c r="DUV1" t="s">
        <v>5166</v>
      </c>
      <c r="DUW1" t="s">
        <v>5167</v>
      </c>
      <c r="DUX1" t="s">
        <v>5168</v>
      </c>
      <c r="DUY1" t="s">
        <v>5169</v>
      </c>
      <c r="DUZ1" t="s">
        <v>5170</v>
      </c>
      <c r="DVA1" t="s">
        <v>5171</v>
      </c>
      <c r="DVB1" t="s">
        <v>5172</v>
      </c>
      <c r="DVC1" t="s">
        <v>5173</v>
      </c>
      <c r="DVD1" t="s">
        <v>5174</v>
      </c>
      <c r="DVE1" t="s">
        <v>5175</v>
      </c>
      <c r="DVF1" t="s">
        <v>5176</v>
      </c>
      <c r="DVG1" t="s">
        <v>5177</v>
      </c>
      <c r="DVH1" t="s">
        <v>5178</v>
      </c>
      <c r="DVI1" t="s">
        <v>5179</v>
      </c>
      <c r="DVJ1" t="s">
        <v>5180</v>
      </c>
      <c r="DVK1" t="s">
        <v>5181</v>
      </c>
      <c r="DVL1" t="s">
        <v>5182</v>
      </c>
      <c r="DVM1" t="s">
        <v>5183</v>
      </c>
      <c r="DVN1" t="s">
        <v>5184</v>
      </c>
      <c r="DVO1" t="s">
        <v>5185</v>
      </c>
      <c r="DVP1" t="s">
        <v>5186</v>
      </c>
      <c r="DVQ1" t="s">
        <v>5187</v>
      </c>
      <c r="DVR1" t="s">
        <v>5188</v>
      </c>
      <c r="DVS1" t="s">
        <v>5189</v>
      </c>
      <c r="DVT1" t="s">
        <v>5190</v>
      </c>
      <c r="DVU1" t="s">
        <v>5191</v>
      </c>
      <c r="DVV1" t="s">
        <v>5192</v>
      </c>
      <c r="DVW1" t="s">
        <v>5193</v>
      </c>
      <c r="DVX1" t="s">
        <v>5194</v>
      </c>
      <c r="DVY1" t="s">
        <v>5195</v>
      </c>
      <c r="DVZ1" t="s">
        <v>5196</v>
      </c>
      <c r="DWA1" t="s">
        <v>5197</v>
      </c>
      <c r="DWB1" t="s">
        <v>5198</v>
      </c>
      <c r="DWC1" t="s">
        <v>5199</v>
      </c>
      <c r="DWD1" t="s">
        <v>5200</v>
      </c>
      <c r="DWE1" t="s">
        <v>5201</v>
      </c>
      <c r="DWF1" t="s">
        <v>5202</v>
      </c>
      <c r="DWG1" t="s">
        <v>5203</v>
      </c>
      <c r="DWH1" t="s">
        <v>5204</v>
      </c>
      <c r="DWI1" t="s">
        <v>5205</v>
      </c>
      <c r="DWJ1" t="s">
        <v>5206</v>
      </c>
      <c r="DWK1" t="s">
        <v>5207</v>
      </c>
      <c r="DWL1" t="s">
        <v>5208</v>
      </c>
      <c r="DWM1" t="s">
        <v>5209</v>
      </c>
      <c r="DWN1" t="s">
        <v>5210</v>
      </c>
      <c r="DWO1" t="s">
        <v>5211</v>
      </c>
      <c r="DWP1" t="s">
        <v>5212</v>
      </c>
      <c r="DWQ1" t="s">
        <v>5213</v>
      </c>
      <c r="DWR1" t="s">
        <v>5214</v>
      </c>
      <c r="DWS1" t="s">
        <v>5215</v>
      </c>
      <c r="DWT1" t="s">
        <v>5216</v>
      </c>
      <c r="DWU1" t="s">
        <v>5217</v>
      </c>
      <c r="DWV1" t="s">
        <v>5218</v>
      </c>
      <c r="DWW1" t="s">
        <v>5219</v>
      </c>
      <c r="DWX1" t="s">
        <v>5220</v>
      </c>
      <c r="DWY1" t="s">
        <v>5221</v>
      </c>
      <c r="DWZ1" t="s">
        <v>5222</v>
      </c>
      <c r="DXA1" t="s">
        <v>5223</v>
      </c>
      <c r="DXB1" t="s">
        <v>5224</v>
      </c>
      <c r="DXC1" t="s">
        <v>5225</v>
      </c>
      <c r="DXD1" t="s">
        <v>5226</v>
      </c>
      <c r="DXE1" t="s">
        <v>5227</v>
      </c>
      <c r="DXF1" t="s">
        <v>5228</v>
      </c>
      <c r="DXG1" t="s">
        <v>5229</v>
      </c>
      <c r="DXH1" t="s">
        <v>5230</v>
      </c>
      <c r="DXI1" t="s">
        <v>5231</v>
      </c>
      <c r="DXJ1" t="s">
        <v>5232</v>
      </c>
      <c r="DXK1" t="s">
        <v>5233</v>
      </c>
      <c r="DXL1" t="s">
        <v>5234</v>
      </c>
      <c r="DXM1" t="s">
        <v>5235</v>
      </c>
      <c r="DXN1" t="s">
        <v>5236</v>
      </c>
      <c r="DXO1" t="s">
        <v>5237</v>
      </c>
      <c r="DXP1" t="s">
        <v>5238</v>
      </c>
      <c r="DXQ1" t="s">
        <v>5239</v>
      </c>
      <c r="DXR1" t="s">
        <v>5240</v>
      </c>
      <c r="DXS1" t="s">
        <v>5241</v>
      </c>
      <c r="DXT1" t="s">
        <v>5242</v>
      </c>
      <c r="DXU1" t="s">
        <v>5243</v>
      </c>
      <c r="DXV1" t="s">
        <v>5244</v>
      </c>
      <c r="DXW1" t="s">
        <v>5245</v>
      </c>
      <c r="DXX1" t="s">
        <v>5246</v>
      </c>
      <c r="DXY1" t="s">
        <v>5247</v>
      </c>
      <c r="DXZ1" t="s">
        <v>5248</v>
      </c>
      <c r="DYA1" t="s">
        <v>5249</v>
      </c>
      <c r="DYB1" t="s">
        <v>5250</v>
      </c>
      <c r="DYC1" t="s">
        <v>5251</v>
      </c>
      <c r="DYD1" t="s">
        <v>5252</v>
      </c>
      <c r="DYE1" t="s">
        <v>5253</v>
      </c>
      <c r="DYF1" t="s">
        <v>5254</v>
      </c>
      <c r="DYG1" t="s">
        <v>5255</v>
      </c>
      <c r="DYH1" t="s">
        <v>5256</v>
      </c>
      <c r="DYI1" t="s">
        <v>5257</v>
      </c>
      <c r="DYJ1" t="s">
        <v>5258</v>
      </c>
      <c r="DYK1" t="s">
        <v>5259</v>
      </c>
      <c r="DYL1" t="s">
        <v>5260</v>
      </c>
      <c r="DYM1" t="s">
        <v>5261</v>
      </c>
      <c r="DYN1" t="s">
        <v>5262</v>
      </c>
      <c r="DYO1" t="s">
        <v>5263</v>
      </c>
      <c r="DYP1" t="s">
        <v>5264</v>
      </c>
      <c r="DYQ1" t="s">
        <v>5265</v>
      </c>
      <c r="DYR1" t="s">
        <v>5266</v>
      </c>
      <c r="DYS1" t="s">
        <v>5267</v>
      </c>
      <c r="DYT1" t="s">
        <v>5268</v>
      </c>
      <c r="DYU1" t="s">
        <v>5269</v>
      </c>
      <c r="DYV1" t="s">
        <v>5270</v>
      </c>
      <c r="DYW1" t="s">
        <v>5271</v>
      </c>
      <c r="DYX1" t="s">
        <v>5272</v>
      </c>
      <c r="DYY1" t="s">
        <v>5273</v>
      </c>
      <c r="DYZ1" t="s">
        <v>5274</v>
      </c>
      <c r="DZA1" t="s">
        <v>5275</v>
      </c>
      <c r="DZB1" t="s">
        <v>5276</v>
      </c>
      <c r="DZC1" t="s">
        <v>5277</v>
      </c>
      <c r="DZD1" t="s">
        <v>5278</v>
      </c>
      <c r="DZE1" t="s">
        <v>5279</v>
      </c>
      <c r="DZF1" t="s">
        <v>5280</v>
      </c>
      <c r="DZG1" t="s">
        <v>5281</v>
      </c>
      <c r="DZH1" t="s">
        <v>5282</v>
      </c>
      <c r="DZI1" t="s">
        <v>5283</v>
      </c>
      <c r="DZJ1" t="s">
        <v>5284</v>
      </c>
      <c r="DZK1" t="s">
        <v>5285</v>
      </c>
      <c r="DZL1" t="s">
        <v>5286</v>
      </c>
      <c r="DZM1" t="s">
        <v>5287</v>
      </c>
      <c r="DZN1" t="s">
        <v>5288</v>
      </c>
      <c r="DZO1" t="s">
        <v>5289</v>
      </c>
      <c r="DZP1" t="s">
        <v>5290</v>
      </c>
      <c r="DZQ1" t="s">
        <v>5291</v>
      </c>
      <c r="DZR1" t="s">
        <v>5292</v>
      </c>
      <c r="DZS1" t="s">
        <v>5293</v>
      </c>
      <c r="DZT1" t="s">
        <v>5294</v>
      </c>
      <c r="DZU1" t="s">
        <v>5295</v>
      </c>
      <c r="DZV1" t="s">
        <v>5296</v>
      </c>
      <c r="DZW1" t="s">
        <v>5297</v>
      </c>
      <c r="DZX1" t="s">
        <v>5298</v>
      </c>
      <c r="DZY1" t="s">
        <v>5299</v>
      </c>
      <c r="DZZ1" t="s">
        <v>5300</v>
      </c>
      <c r="EAA1" t="s">
        <v>5301</v>
      </c>
      <c r="EAB1" t="s">
        <v>5302</v>
      </c>
      <c r="EAC1" t="s">
        <v>5303</v>
      </c>
      <c r="EAD1" t="s">
        <v>5304</v>
      </c>
      <c r="EAE1" t="s">
        <v>5305</v>
      </c>
      <c r="EAF1" t="s">
        <v>5306</v>
      </c>
      <c r="EAG1" t="s">
        <v>5307</v>
      </c>
      <c r="EAH1" t="s">
        <v>5308</v>
      </c>
      <c r="EAI1" t="s">
        <v>5309</v>
      </c>
      <c r="EAJ1" t="s">
        <v>5310</v>
      </c>
      <c r="EAK1" t="s">
        <v>5311</v>
      </c>
      <c r="EAL1" t="s">
        <v>5312</v>
      </c>
      <c r="EAM1" t="s">
        <v>5313</v>
      </c>
      <c r="EAN1" t="s">
        <v>5314</v>
      </c>
      <c r="EAO1" t="s">
        <v>5315</v>
      </c>
      <c r="EAP1" t="s">
        <v>5316</v>
      </c>
      <c r="EAQ1" t="s">
        <v>5317</v>
      </c>
      <c r="EAR1" t="s">
        <v>5318</v>
      </c>
      <c r="EAS1" t="s">
        <v>5319</v>
      </c>
      <c r="EAT1" t="s">
        <v>5320</v>
      </c>
      <c r="EAU1" t="s">
        <v>5321</v>
      </c>
      <c r="EAV1" t="s">
        <v>5322</v>
      </c>
      <c r="EAW1" t="s">
        <v>5323</v>
      </c>
      <c r="EAX1" t="s">
        <v>5324</v>
      </c>
      <c r="EAY1" t="s">
        <v>5325</v>
      </c>
      <c r="EAZ1" t="s">
        <v>5326</v>
      </c>
      <c r="EBA1" t="s">
        <v>5327</v>
      </c>
      <c r="EBB1" t="s">
        <v>5328</v>
      </c>
      <c r="EBC1" t="s">
        <v>5329</v>
      </c>
      <c r="EBD1" t="s">
        <v>5330</v>
      </c>
      <c r="EBE1" t="s">
        <v>5331</v>
      </c>
      <c r="EBF1" t="s">
        <v>5332</v>
      </c>
      <c r="EBG1" t="s">
        <v>5333</v>
      </c>
      <c r="EBH1" t="s">
        <v>5334</v>
      </c>
      <c r="EBI1" t="s">
        <v>5335</v>
      </c>
      <c r="EBJ1" t="s">
        <v>5336</v>
      </c>
      <c r="EBK1" t="s">
        <v>5337</v>
      </c>
      <c r="EBL1" t="s">
        <v>5338</v>
      </c>
      <c r="EBM1" t="s">
        <v>5339</v>
      </c>
      <c r="EBN1" t="s">
        <v>5340</v>
      </c>
      <c r="EBO1" t="s">
        <v>5341</v>
      </c>
      <c r="EBP1" t="s">
        <v>5342</v>
      </c>
      <c r="EBQ1" t="s">
        <v>5343</v>
      </c>
      <c r="EBR1" t="s">
        <v>5344</v>
      </c>
      <c r="EBS1" t="s">
        <v>5345</v>
      </c>
      <c r="EBT1" t="s">
        <v>5346</v>
      </c>
      <c r="EBU1" t="s">
        <v>5347</v>
      </c>
      <c r="EBV1" t="s">
        <v>5348</v>
      </c>
      <c r="EBW1" t="s">
        <v>5349</v>
      </c>
      <c r="EBX1" t="s">
        <v>5350</v>
      </c>
      <c r="EBY1" t="s">
        <v>5351</v>
      </c>
      <c r="EBZ1" t="s">
        <v>5352</v>
      </c>
      <c r="ECA1" t="s">
        <v>5353</v>
      </c>
      <c r="ECB1" t="s">
        <v>5354</v>
      </c>
      <c r="ECC1" t="s">
        <v>5355</v>
      </c>
      <c r="ECD1" t="s">
        <v>5356</v>
      </c>
      <c r="ECE1" t="s">
        <v>5357</v>
      </c>
      <c r="ECF1" t="s">
        <v>5358</v>
      </c>
      <c r="ECG1" t="s">
        <v>5359</v>
      </c>
      <c r="ECH1" t="s">
        <v>5360</v>
      </c>
      <c r="ECI1" t="s">
        <v>5361</v>
      </c>
      <c r="ECJ1" t="s">
        <v>5362</v>
      </c>
      <c r="ECK1" t="s">
        <v>5363</v>
      </c>
      <c r="ECL1" t="s">
        <v>5364</v>
      </c>
      <c r="ECM1" t="s">
        <v>5365</v>
      </c>
      <c r="ECN1" t="s">
        <v>5366</v>
      </c>
      <c r="ECO1" t="s">
        <v>5367</v>
      </c>
      <c r="ECP1" t="s">
        <v>5368</v>
      </c>
      <c r="ECQ1" t="s">
        <v>5369</v>
      </c>
      <c r="ECR1" t="s">
        <v>5370</v>
      </c>
      <c r="ECS1" t="s">
        <v>5371</v>
      </c>
      <c r="ECT1" t="s">
        <v>5372</v>
      </c>
      <c r="ECU1" t="s">
        <v>5373</v>
      </c>
      <c r="ECV1" t="s">
        <v>5374</v>
      </c>
      <c r="ECW1" t="s">
        <v>5375</v>
      </c>
      <c r="ECX1" t="s">
        <v>5376</v>
      </c>
      <c r="ECY1" t="s">
        <v>5377</v>
      </c>
      <c r="ECZ1" t="s">
        <v>5378</v>
      </c>
      <c r="EDA1" t="s">
        <v>5379</v>
      </c>
      <c r="EDB1" t="s">
        <v>5380</v>
      </c>
      <c r="EDC1" t="s">
        <v>5381</v>
      </c>
      <c r="EDD1" t="s">
        <v>5382</v>
      </c>
      <c r="EDE1" t="s">
        <v>5383</v>
      </c>
      <c r="EDF1" t="s">
        <v>5384</v>
      </c>
      <c r="EDG1" t="s">
        <v>5385</v>
      </c>
      <c r="EDH1" t="s">
        <v>5386</v>
      </c>
      <c r="EDI1" t="s">
        <v>5387</v>
      </c>
      <c r="EDJ1" t="s">
        <v>5388</v>
      </c>
      <c r="EDK1" t="s">
        <v>5389</v>
      </c>
      <c r="EDL1" t="s">
        <v>5390</v>
      </c>
      <c r="EDM1" t="s">
        <v>5391</v>
      </c>
      <c r="EDN1" t="s">
        <v>5392</v>
      </c>
      <c r="EDO1" t="s">
        <v>5393</v>
      </c>
      <c r="EDP1" t="s">
        <v>5394</v>
      </c>
      <c r="EDQ1" t="s">
        <v>5395</v>
      </c>
      <c r="EDR1" t="s">
        <v>5396</v>
      </c>
      <c r="EDS1" t="s">
        <v>5397</v>
      </c>
      <c r="EDT1" t="s">
        <v>5398</v>
      </c>
      <c r="EDU1" t="s">
        <v>5399</v>
      </c>
      <c r="EDV1" t="s">
        <v>5400</v>
      </c>
      <c r="EDW1" t="s">
        <v>5401</v>
      </c>
      <c r="EDX1" t="s">
        <v>5402</v>
      </c>
      <c r="EDY1" t="s">
        <v>5403</v>
      </c>
      <c r="EDZ1" t="s">
        <v>5404</v>
      </c>
      <c r="EEA1" t="s">
        <v>5405</v>
      </c>
      <c r="EEB1" t="s">
        <v>5406</v>
      </c>
      <c r="EEC1" t="s">
        <v>5407</v>
      </c>
      <c r="EED1" t="s">
        <v>5408</v>
      </c>
      <c r="EEE1" t="s">
        <v>5409</v>
      </c>
      <c r="EEF1" t="s">
        <v>5410</v>
      </c>
      <c r="EEG1" t="s">
        <v>5411</v>
      </c>
      <c r="EEH1" t="s">
        <v>5412</v>
      </c>
      <c r="EEI1" t="s">
        <v>5413</v>
      </c>
      <c r="EEJ1" t="s">
        <v>5414</v>
      </c>
      <c r="EEK1" t="s">
        <v>5415</v>
      </c>
      <c r="EEL1" t="s">
        <v>5416</v>
      </c>
      <c r="EEM1" t="s">
        <v>5417</v>
      </c>
      <c r="EEN1" t="s">
        <v>5418</v>
      </c>
      <c r="EEO1" t="s">
        <v>5419</v>
      </c>
      <c r="EEP1" t="s">
        <v>5420</v>
      </c>
      <c r="EEQ1" t="s">
        <v>5421</v>
      </c>
      <c r="EER1" t="s">
        <v>5422</v>
      </c>
      <c r="EES1" t="s">
        <v>5423</v>
      </c>
      <c r="EET1" t="s">
        <v>5424</v>
      </c>
      <c r="EEU1" t="s">
        <v>5425</v>
      </c>
      <c r="EEV1" t="s">
        <v>5426</v>
      </c>
      <c r="EEW1" t="s">
        <v>5427</v>
      </c>
      <c r="EEX1" t="s">
        <v>5428</v>
      </c>
      <c r="EEY1" t="s">
        <v>5429</v>
      </c>
      <c r="EEZ1" t="s">
        <v>5430</v>
      </c>
      <c r="EFA1" t="s">
        <v>5431</v>
      </c>
      <c r="EFB1" t="s">
        <v>5432</v>
      </c>
      <c r="EFC1" t="s">
        <v>5433</v>
      </c>
      <c r="EFD1" t="s">
        <v>5434</v>
      </c>
      <c r="EFE1" t="s">
        <v>5435</v>
      </c>
      <c r="EFF1" t="s">
        <v>5436</v>
      </c>
      <c r="EFG1" t="s">
        <v>5437</v>
      </c>
      <c r="EFH1" t="s">
        <v>5438</v>
      </c>
      <c r="EFI1" t="s">
        <v>5439</v>
      </c>
      <c r="EFJ1" t="s">
        <v>5440</v>
      </c>
      <c r="EFK1" t="s">
        <v>5441</v>
      </c>
      <c r="EFL1" t="s">
        <v>5442</v>
      </c>
      <c r="EFM1" t="s">
        <v>5443</v>
      </c>
      <c r="EFN1" t="s">
        <v>5444</v>
      </c>
      <c r="EFO1" t="s">
        <v>5445</v>
      </c>
      <c r="EFP1" t="s">
        <v>5446</v>
      </c>
      <c r="EFQ1" t="s">
        <v>5447</v>
      </c>
      <c r="EFR1" t="s">
        <v>5448</v>
      </c>
      <c r="EFS1" t="s">
        <v>5449</v>
      </c>
      <c r="EFT1" t="s">
        <v>5450</v>
      </c>
      <c r="EFU1" t="s">
        <v>5451</v>
      </c>
      <c r="EFV1" t="s">
        <v>5452</v>
      </c>
      <c r="EFW1" t="s">
        <v>5453</v>
      </c>
      <c r="EFX1" t="s">
        <v>5454</v>
      </c>
      <c r="EFY1" t="s">
        <v>5455</v>
      </c>
      <c r="EFZ1" t="s">
        <v>5456</v>
      </c>
      <c r="EGA1" t="s">
        <v>5457</v>
      </c>
      <c r="EGB1" t="s">
        <v>5458</v>
      </c>
      <c r="EGC1" t="s">
        <v>5459</v>
      </c>
      <c r="EGD1" t="s">
        <v>5460</v>
      </c>
      <c r="EGE1" t="s">
        <v>5461</v>
      </c>
      <c r="EGF1" t="s">
        <v>5462</v>
      </c>
      <c r="EGG1" t="s">
        <v>5463</v>
      </c>
      <c r="EGH1" t="s">
        <v>5464</v>
      </c>
      <c r="EGI1" t="s">
        <v>5465</v>
      </c>
      <c r="EGJ1" t="s">
        <v>5466</v>
      </c>
      <c r="EGK1" t="s">
        <v>5467</v>
      </c>
      <c r="EGL1" t="s">
        <v>5468</v>
      </c>
      <c r="EGM1" t="s">
        <v>5469</v>
      </c>
      <c r="EGN1" t="s">
        <v>5470</v>
      </c>
      <c r="EGO1" t="s">
        <v>5471</v>
      </c>
      <c r="EGP1" t="s">
        <v>5472</v>
      </c>
      <c r="EGQ1" t="s">
        <v>5473</v>
      </c>
      <c r="EGR1" t="s">
        <v>5474</v>
      </c>
      <c r="EGS1" t="s">
        <v>5475</v>
      </c>
      <c r="EGT1" t="s">
        <v>5476</v>
      </c>
      <c r="EGU1" t="s">
        <v>5477</v>
      </c>
      <c r="EGV1" t="s">
        <v>5478</v>
      </c>
      <c r="EGW1" t="s">
        <v>5479</v>
      </c>
      <c r="EGX1" t="s">
        <v>5480</v>
      </c>
      <c r="EGY1" t="s">
        <v>5481</v>
      </c>
      <c r="EGZ1" t="s">
        <v>5482</v>
      </c>
      <c r="EHA1" t="s">
        <v>5483</v>
      </c>
      <c r="EHB1" t="s">
        <v>5484</v>
      </c>
      <c r="EHC1" t="s">
        <v>5485</v>
      </c>
      <c r="EHD1" t="s">
        <v>5486</v>
      </c>
      <c r="EHE1" t="s">
        <v>5487</v>
      </c>
      <c r="EHF1" t="s">
        <v>5488</v>
      </c>
      <c r="EHG1" t="s">
        <v>5489</v>
      </c>
      <c r="EHH1" t="s">
        <v>5490</v>
      </c>
      <c r="EHI1" t="s">
        <v>5491</v>
      </c>
      <c r="EHJ1" t="s">
        <v>5492</v>
      </c>
      <c r="EHK1" t="s">
        <v>5493</v>
      </c>
      <c r="EHL1" t="s">
        <v>5494</v>
      </c>
      <c r="EHM1" t="s">
        <v>5495</v>
      </c>
      <c r="EHN1" t="s">
        <v>5496</v>
      </c>
      <c r="EHO1" t="s">
        <v>5497</v>
      </c>
      <c r="EHP1" t="s">
        <v>5498</v>
      </c>
      <c r="EHQ1" t="s">
        <v>5499</v>
      </c>
      <c r="EHR1" t="s">
        <v>5500</v>
      </c>
      <c r="EHS1" t="s">
        <v>5501</v>
      </c>
      <c r="EHT1" t="s">
        <v>5502</v>
      </c>
      <c r="EHU1" t="s">
        <v>5503</v>
      </c>
      <c r="EHV1" t="s">
        <v>5504</v>
      </c>
      <c r="EHW1" t="s">
        <v>5505</v>
      </c>
      <c r="EHX1" t="s">
        <v>5506</v>
      </c>
      <c r="EHY1" t="s">
        <v>5507</v>
      </c>
      <c r="EHZ1" t="s">
        <v>5508</v>
      </c>
      <c r="EIA1" t="s">
        <v>5509</v>
      </c>
      <c r="EIB1" t="s">
        <v>5510</v>
      </c>
      <c r="EIC1" t="s">
        <v>5511</v>
      </c>
      <c r="EID1" t="s">
        <v>5512</v>
      </c>
      <c r="EIE1" t="s">
        <v>5513</v>
      </c>
      <c r="EIF1" t="s">
        <v>5514</v>
      </c>
      <c r="EIG1" t="s">
        <v>5515</v>
      </c>
      <c r="EIH1" t="s">
        <v>5516</v>
      </c>
      <c r="EII1" t="s">
        <v>5517</v>
      </c>
      <c r="EIJ1" t="s">
        <v>5518</v>
      </c>
      <c r="EIK1" t="s">
        <v>5519</v>
      </c>
      <c r="EIL1" t="s">
        <v>5520</v>
      </c>
      <c r="EIM1" t="s">
        <v>5521</v>
      </c>
      <c r="EIN1" t="s">
        <v>5522</v>
      </c>
      <c r="EIO1" t="s">
        <v>5523</v>
      </c>
      <c r="EIP1" t="s">
        <v>5524</v>
      </c>
      <c r="EIQ1" t="s">
        <v>5525</v>
      </c>
      <c r="EIR1" t="s">
        <v>5526</v>
      </c>
      <c r="EIS1" t="s">
        <v>5527</v>
      </c>
      <c r="EIT1" t="s">
        <v>5528</v>
      </c>
      <c r="EIU1" t="s">
        <v>5529</v>
      </c>
      <c r="EIV1" t="s">
        <v>5530</v>
      </c>
      <c r="EIW1" t="s">
        <v>5531</v>
      </c>
      <c r="EIX1" t="s">
        <v>5532</v>
      </c>
      <c r="EIY1" t="s">
        <v>5533</v>
      </c>
      <c r="EIZ1" t="s">
        <v>5534</v>
      </c>
      <c r="EJA1" t="s">
        <v>5535</v>
      </c>
      <c r="EJB1" t="s">
        <v>5536</v>
      </c>
      <c r="EJC1" t="s">
        <v>5537</v>
      </c>
      <c r="EJD1" t="s">
        <v>5538</v>
      </c>
      <c r="EJE1" t="s">
        <v>5539</v>
      </c>
      <c r="EJF1" t="s">
        <v>5540</v>
      </c>
      <c r="EJG1" t="s">
        <v>5541</v>
      </c>
      <c r="EJH1" t="s">
        <v>5542</v>
      </c>
      <c r="EJI1" t="s">
        <v>5543</v>
      </c>
      <c r="EJJ1" t="s">
        <v>5544</v>
      </c>
      <c r="EJK1" t="s">
        <v>5545</v>
      </c>
      <c r="EJL1" t="s">
        <v>5546</v>
      </c>
      <c r="EJM1" t="s">
        <v>5547</v>
      </c>
      <c r="EJN1" t="s">
        <v>5548</v>
      </c>
      <c r="EJO1" t="s">
        <v>5549</v>
      </c>
      <c r="EJP1" t="s">
        <v>5550</v>
      </c>
      <c r="EJQ1" t="s">
        <v>5551</v>
      </c>
      <c r="EJR1" t="s">
        <v>5552</v>
      </c>
      <c r="EJS1" t="s">
        <v>5553</v>
      </c>
      <c r="EJT1" t="s">
        <v>5554</v>
      </c>
      <c r="EJU1" t="s">
        <v>5555</v>
      </c>
      <c r="EJV1" t="s">
        <v>5556</v>
      </c>
      <c r="EJW1" t="s">
        <v>5557</v>
      </c>
      <c r="EJX1" t="s">
        <v>5558</v>
      </c>
      <c r="EJY1" t="s">
        <v>5559</v>
      </c>
      <c r="EJZ1" t="s">
        <v>5560</v>
      </c>
      <c r="EKA1" t="s">
        <v>5561</v>
      </c>
      <c r="EKB1" t="s">
        <v>5562</v>
      </c>
      <c r="EKC1" t="s">
        <v>5563</v>
      </c>
      <c r="EKD1" t="s">
        <v>5564</v>
      </c>
      <c r="EKE1" t="s">
        <v>5565</v>
      </c>
      <c r="EKF1" t="s">
        <v>5566</v>
      </c>
      <c r="EKG1" t="s">
        <v>5567</v>
      </c>
      <c r="EKH1" t="s">
        <v>5568</v>
      </c>
      <c r="EKI1" t="s">
        <v>5569</v>
      </c>
      <c r="EKJ1" t="s">
        <v>5570</v>
      </c>
      <c r="EKK1" t="s">
        <v>5571</v>
      </c>
      <c r="EKL1" t="s">
        <v>5572</v>
      </c>
      <c r="EKM1" t="s">
        <v>5573</v>
      </c>
      <c r="EKN1" t="s">
        <v>5574</v>
      </c>
      <c r="EKO1" t="s">
        <v>5575</v>
      </c>
      <c r="EKP1" t="s">
        <v>5576</v>
      </c>
      <c r="EKQ1" t="s">
        <v>5577</v>
      </c>
      <c r="EKR1" t="s">
        <v>5578</v>
      </c>
      <c r="EKS1" t="s">
        <v>5579</v>
      </c>
      <c r="EKT1" t="s">
        <v>5580</v>
      </c>
      <c r="EKU1" t="s">
        <v>5581</v>
      </c>
      <c r="EKV1" t="s">
        <v>5582</v>
      </c>
      <c r="EKW1" t="s">
        <v>5583</v>
      </c>
      <c r="EKX1" t="s">
        <v>5584</v>
      </c>
      <c r="EKY1" t="s">
        <v>5585</v>
      </c>
      <c r="EKZ1" t="s">
        <v>5586</v>
      </c>
      <c r="ELA1" t="s">
        <v>5587</v>
      </c>
      <c r="ELB1" t="s">
        <v>5588</v>
      </c>
      <c r="ELC1" t="s">
        <v>5589</v>
      </c>
      <c r="ELD1" t="s">
        <v>5590</v>
      </c>
      <c r="ELE1" t="s">
        <v>5591</v>
      </c>
      <c r="ELF1" t="s">
        <v>5592</v>
      </c>
      <c r="ELG1" t="s">
        <v>5593</v>
      </c>
      <c r="ELH1" t="s">
        <v>5594</v>
      </c>
      <c r="ELI1" t="s">
        <v>5595</v>
      </c>
      <c r="ELJ1" t="s">
        <v>5596</v>
      </c>
      <c r="ELK1" t="s">
        <v>5597</v>
      </c>
      <c r="ELL1" t="s">
        <v>5598</v>
      </c>
      <c r="ELM1" t="s">
        <v>5599</v>
      </c>
      <c r="ELN1" t="s">
        <v>5600</v>
      </c>
      <c r="ELO1" t="s">
        <v>5601</v>
      </c>
      <c r="ELP1" t="s">
        <v>5602</v>
      </c>
      <c r="ELQ1" t="s">
        <v>5603</v>
      </c>
      <c r="ELR1" t="s">
        <v>5604</v>
      </c>
      <c r="ELS1" t="s">
        <v>5605</v>
      </c>
      <c r="ELT1" t="s">
        <v>5606</v>
      </c>
      <c r="ELU1" t="s">
        <v>5607</v>
      </c>
      <c r="ELV1" t="s">
        <v>5608</v>
      </c>
      <c r="ELW1" t="s">
        <v>5609</v>
      </c>
      <c r="ELX1" t="s">
        <v>5610</v>
      </c>
      <c r="ELY1" t="s">
        <v>5611</v>
      </c>
      <c r="ELZ1" t="s">
        <v>5612</v>
      </c>
      <c r="EMA1" t="s">
        <v>5613</v>
      </c>
      <c r="EMB1" t="s">
        <v>5614</v>
      </c>
      <c r="EMC1" t="s">
        <v>5615</v>
      </c>
      <c r="EMD1" t="s">
        <v>5616</v>
      </c>
      <c r="EME1" t="s">
        <v>5617</v>
      </c>
      <c r="EMF1" t="s">
        <v>5618</v>
      </c>
      <c r="EMG1" t="s">
        <v>5619</v>
      </c>
      <c r="EMH1" t="s">
        <v>5620</v>
      </c>
      <c r="EMI1" t="s">
        <v>5621</v>
      </c>
      <c r="EMJ1" t="s">
        <v>5622</v>
      </c>
      <c r="EMK1" t="s">
        <v>5623</v>
      </c>
      <c r="EML1" t="s">
        <v>5624</v>
      </c>
      <c r="EMM1" t="s">
        <v>5625</v>
      </c>
      <c r="EMN1" t="s">
        <v>5626</v>
      </c>
      <c r="EMO1" t="s">
        <v>5627</v>
      </c>
      <c r="EMP1" t="s">
        <v>5628</v>
      </c>
      <c r="EMQ1" t="s">
        <v>5629</v>
      </c>
      <c r="EMR1" t="s">
        <v>5630</v>
      </c>
      <c r="EMS1" t="s">
        <v>5631</v>
      </c>
      <c r="EMT1" t="s">
        <v>5632</v>
      </c>
      <c r="EMU1" t="s">
        <v>5633</v>
      </c>
      <c r="EMV1" t="s">
        <v>5634</v>
      </c>
      <c r="EMW1" t="s">
        <v>5635</v>
      </c>
      <c r="EMX1" t="s">
        <v>5636</v>
      </c>
      <c r="EMY1" t="s">
        <v>5637</v>
      </c>
      <c r="EMZ1" t="s">
        <v>5638</v>
      </c>
      <c r="ENA1" t="s">
        <v>5639</v>
      </c>
      <c r="ENB1" t="s">
        <v>5640</v>
      </c>
      <c r="ENC1" t="s">
        <v>5641</v>
      </c>
      <c r="END1" t="s">
        <v>5642</v>
      </c>
      <c r="ENE1" t="s">
        <v>5643</v>
      </c>
      <c r="ENF1" t="s">
        <v>5644</v>
      </c>
      <c r="ENG1" t="s">
        <v>5645</v>
      </c>
      <c r="ENH1" t="s">
        <v>5646</v>
      </c>
      <c r="ENI1" t="s">
        <v>5647</v>
      </c>
      <c r="ENJ1" t="s">
        <v>5648</v>
      </c>
      <c r="ENK1" t="s">
        <v>5649</v>
      </c>
      <c r="ENL1" t="s">
        <v>5650</v>
      </c>
      <c r="ENM1" t="s">
        <v>5651</v>
      </c>
      <c r="ENN1" t="s">
        <v>5652</v>
      </c>
      <c r="ENO1" t="s">
        <v>5653</v>
      </c>
      <c r="ENP1" t="s">
        <v>5654</v>
      </c>
      <c r="ENQ1" t="s">
        <v>5655</v>
      </c>
      <c r="ENR1" t="s">
        <v>5656</v>
      </c>
      <c r="ENS1" t="s">
        <v>5657</v>
      </c>
      <c r="ENT1" t="s">
        <v>5658</v>
      </c>
      <c r="ENU1" t="s">
        <v>5659</v>
      </c>
      <c r="ENV1" t="s">
        <v>5660</v>
      </c>
      <c r="ENW1" t="s">
        <v>5661</v>
      </c>
      <c r="ENX1" t="s">
        <v>5662</v>
      </c>
      <c r="ENY1" t="s">
        <v>5663</v>
      </c>
      <c r="ENZ1" t="s">
        <v>5664</v>
      </c>
      <c r="EOA1" t="s">
        <v>5665</v>
      </c>
      <c r="EOB1" t="s">
        <v>5666</v>
      </c>
      <c r="EOC1" t="s">
        <v>5667</v>
      </c>
      <c r="EOD1" t="s">
        <v>5668</v>
      </c>
      <c r="EOE1" t="s">
        <v>5669</v>
      </c>
      <c r="EOF1" t="s">
        <v>5670</v>
      </c>
      <c r="EOG1" t="s">
        <v>5671</v>
      </c>
      <c r="EOH1" t="s">
        <v>5672</v>
      </c>
      <c r="EOI1" t="s">
        <v>5673</v>
      </c>
      <c r="EOJ1" t="s">
        <v>5674</v>
      </c>
      <c r="EOK1" t="s">
        <v>5675</v>
      </c>
      <c r="EOL1" t="s">
        <v>5676</v>
      </c>
      <c r="EOM1" t="s">
        <v>5677</v>
      </c>
      <c r="EON1" t="s">
        <v>5678</v>
      </c>
      <c r="EOO1" t="s">
        <v>5679</v>
      </c>
      <c r="EOP1" t="s">
        <v>5680</v>
      </c>
      <c r="EOQ1" t="s">
        <v>5681</v>
      </c>
      <c r="EOR1" t="s">
        <v>5682</v>
      </c>
      <c r="EOS1" t="s">
        <v>5683</v>
      </c>
      <c r="EOT1" t="s">
        <v>5684</v>
      </c>
      <c r="EOU1" t="s">
        <v>5685</v>
      </c>
      <c r="EOV1" t="s">
        <v>5686</v>
      </c>
      <c r="EOW1" t="s">
        <v>5687</v>
      </c>
      <c r="EOX1" t="s">
        <v>5688</v>
      </c>
      <c r="EOY1" t="s">
        <v>5689</v>
      </c>
      <c r="EOZ1" t="s">
        <v>5690</v>
      </c>
      <c r="EPA1" t="s">
        <v>5691</v>
      </c>
      <c r="EPB1" t="s">
        <v>5692</v>
      </c>
      <c r="EPC1" t="s">
        <v>5693</v>
      </c>
      <c r="EPD1" t="s">
        <v>5694</v>
      </c>
      <c r="EPE1" t="s">
        <v>5695</v>
      </c>
      <c r="EPF1" t="s">
        <v>5696</v>
      </c>
      <c r="EPG1" t="s">
        <v>5697</v>
      </c>
      <c r="EPH1" t="s">
        <v>5698</v>
      </c>
      <c r="EPI1" t="s">
        <v>5699</v>
      </c>
      <c r="EPJ1" t="s">
        <v>5700</v>
      </c>
      <c r="EPK1" t="s">
        <v>5701</v>
      </c>
      <c r="EPL1" t="s">
        <v>5702</v>
      </c>
      <c r="EPM1" t="s">
        <v>5703</v>
      </c>
      <c r="EPN1" t="s">
        <v>5704</v>
      </c>
      <c r="EPO1" t="s">
        <v>5705</v>
      </c>
      <c r="EPP1" t="s">
        <v>5706</v>
      </c>
      <c r="EPQ1" t="s">
        <v>5707</v>
      </c>
      <c r="EPR1" t="s">
        <v>5708</v>
      </c>
      <c r="EPS1" t="s">
        <v>5709</v>
      </c>
      <c r="EPT1" t="s">
        <v>5710</v>
      </c>
      <c r="EPU1" t="s">
        <v>5711</v>
      </c>
      <c r="EPV1" t="s">
        <v>5712</v>
      </c>
      <c r="EPW1" t="s">
        <v>5713</v>
      </c>
      <c r="EPX1" t="s">
        <v>5714</v>
      </c>
      <c r="EPY1" t="s">
        <v>5715</v>
      </c>
      <c r="EPZ1" t="s">
        <v>5716</v>
      </c>
      <c r="EQA1" t="s">
        <v>5717</v>
      </c>
      <c r="EQB1" t="s">
        <v>5718</v>
      </c>
      <c r="EQC1" t="s">
        <v>5719</v>
      </c>
      <c r="EQD1" t="s">
        <v>5720</v>
      </c>
      <c r="EQE1" t="s">
        <v>5721</v>
      </c>
      <c r="EQF1" t="s">
        <v>5722</v>
      </c>
      <c r="EQG1" t="s">
        <v>5723</v>
      </c>
      <c r="EQH1" t="s">
        <v>5724</v>
      </c>
      <c r="EQI1" t="s">
        <v>5725</v>
      </c>
      <c r="EQJ1" t="s">
        <v>5726</v>
      </c>
      <c r="EQK1" t="s">
        <v>5727</v>
      </c>
      <c r="EQL1" t="s">
        <v>5728</v>
      </c>
      <c r="EQM1" t="s">
        <v>5729</v>
      </c>
      <c r="EQN1" t="s">
        <v>5730</v>
      </c>
      <c r="EQO1" t="s">
        <v>5731</v>
      </c>
      <c r="EQP1" t="s">
        <v>5732</v>
      </c>
      <c r="EQQ1" t="s">
        <v>5733</v>
      </c>
      <c r="EQR1" t="s">
        <v>5734</v>
      </c>
      <c r="EQS1" t="s">
        <v>5735</v>
      </c>
      <c r="EQT1" t="s">
        <v>5736</v>
      </c>
      <c r="EQU1" t="s">
        <v>5737</v>
      </c>
      <c r="EQV1" t="s">
        <v>5738</v>
      </c>
      <c r="EQW1" t="s">
        <v>5739</v>
      </c>
      <c r="EQX1" t="s">
        <v>5740</v>
      </c>
      <c r="EQY1" t="s">
        <v>5741</v>
      </c>
      <c r="EQZ1" t="s">
        <v>5742</v>
      </c>
      <c r="ERA1" t="s">
        <v>5743</v>
      </c>
      <c r="ERB1" t="s">
        <v>5744</v>
      </c>
      <c r="ERC1" t="s">
        <v>5745</v>
      </c>
      <c r="ERD1" t="s">
        <v>5746</v>
      </c>
      <c r="ERE1" t="s">
        <v>5747</v>
      </c>
      <c r="ERF1" t="s">
        <v>5748</v>
      </c>
      <c r="ERG1" t="s">
        <v>5749</v>
      </c>
      <c r="ERH1" t="s">
        <v>5750</v>
      </c>
      <c r="ERI1" t="s">
        <v>5751</v>
      </c>
      <c r="ERJ1" t="s">
        <v>5752</v>
      </c>
      <c r="ERK1" t="s">
        <v>5753</v>
      </c>
      <c r="ERL1" t="s">
        <v>5754</v>
      </c>
      <c r="ERM1" t="s">
        <v>5755</v>
      </c>
      <c r="ERN1" t="s">
        <v>5756</v>
      </c>
      <c r="ERO1" t="s">
        <v>5757</v>
      </c>
      <c r="ERP1" t="s">
        <v>5758</v>
      </c>
      <c r="ERQ1" t="s">
        <v>5759</v>
      </c>
      <c r="ERR1" t="s">
        <v>5760</v>
      </c>
      <c r="ERS1" t="s">
        <v>5761</v>
      </c>
      <c r="ERT1" t="s">
        <v>5762</v>
      </c>
      <c r="ERU1" t="s">
        <v>5763</v>
      </c>
      <c r="ERV1" t="s">
        <v>5764</v>
      </c>
      <c r="ERW1" t="s">
        <v>5765</v>
      </c>
      <c r="ERX1" t="s">
        <v>5766</v>
      </c>
      <c r="ERY1" t="s">
        <v>5767</v>
      </c>
      <c r="ERZ1" t="s">
        <v>5768</v>
      </c>
      <c r="ESA1" t="s">
        <v>5769</v>
      </c>
      <c r="ESB1" t="s">
        <v>5770</v>
      </c>
      <c r="ESC1" t="s">
        <v>5771</v>
      </c>
      <c r="ESD1" t="s">
        <v>5772</v>
      </c>
      <c r="ESE1" t="s">
        <v>5773</v>
      </c>
      <c r="ESF1" t="s">
        <v>5774</v>
      </c>
      <c r="ESG1" t="s">
        <v>5775</v>
      </c>
      <c r="ESH1" t="s">
        <v>5776</v>
      </c>
      <c r="ESI1" t="s">
        <v>5777</v>
      </c>
      <c r="ESJ1" t="s">
        <v>5778</v>
      </c>
      <c r="ESK1" t="s">
        <v>5779</v>
      </c>
      <c r="ESL1" t="s">
        <v>5780</v>
      </c>
      <c r="ESM1" t="s">
        <v>5781</v>
      </c>
      <c r="ESN1" t="s">
        <v>5782</v>
      </c>
      <c r="ESO1" t="s">
        <v>5783</v>
      </c>
      <c r="ESP1" t="s">
        <v>5784</v>
      </c>
      <c r="ESQ1" t="s">
        <v>5785</v>
      </c>
      <c r="ESR1" t="s">
        <v>5786</v>
      </c>
      <c r="ESS1" t="s">
        <v>5787</v>
      </c>
      <c r="EST1" t="s">
        <v>5788</v>
      </c>
      <c r="ESU1" t="s">
        <v>5789</v>
      </c>
      <c r="ESV1" t="s">
        <v>5790</v>
      </c>
      <c r="ESW1" t="s">
        <v>5791</v>
      </c>
      <c r="ESX1" t="s">
        <v>5792</v>
      </c>
      <c r="ESY1" t="s">
        <v>5793</v>
      </c>
      <c r="ESZ1" t="s">
        <v>5794</v>
      </c>
      <c r="ETA1" t="s">
        <v>5795</v>
      </c>
      <c r="ETB1" t="s">
        <v>5796</v>
      </c>
      <c r="ETC1" t="s">
        <v>5797</v>
      </c>
      <c r="ETD1" t="s">
        <v>5798</v>
      </c>
      <c r="ETE1" t="s">
        <v>5799</v>
      </c>
      <c r="ETF1" t="s">
        <v>5800</v>
      </c>
      <c r="ETG1" t="s">
        <v>5801</v>
      </c>
      <c r="ETH1" t="s">
        <v>5802</v>
      </c>
      <c r="ETI1" t="s">
        <v>5803</v>
      </c>
      <c r="ETJ1" t="s">
        <v>5804</v>
      </c>
      <c r="ETK1" t="s">
        <v>5805</v>
      </c>
      <c r="ETL1" t="s">
        <v>5806</v>
      </c>
      <c r="ETM1" t="s">
        <v>5807</v>
      </c>
      <c r="ETN1" t="s">
        <v>5808</v>
      </c>
      <c r="ETO1" t="s">
        <v>5809</v>
      </c>
      <c r="ETP1" t="s">
        <v>5810</v>
      </c>
      <c r="ETQ1" t="s">
        <v>5811</v>
      </c>
      <c r="ETR1" t="s">
        <v>5812</v>
      </c>
      <c r="ETS1" t="s">
        <v>5813</v>
      </c>
      <c r="ETT1" t="s">
        <v>5814</v>
      </c>
      <c r="ETU1" t="s">
        <v>5815</v>
      </c>
      <c r="ETV1" t="s">
        <v>5816</v>
      </c>
      <c r="ETW1" t="s">
        <v>5817</v>
      </c>
      <c r="ETX1" t="s">
        <v>5818</v>
      </c>
      <c r="ETY1" t="s">
        <v>5819</v>
      </c>
      <c r="ETZ1" t="s">
        <v>5820</v>
      </c>
      <c r="EUA1" t="s">
        <v>5821</v>
      </c>
      <c r="EUB1" t="s">
        <v>5822</v>
      </c>
      <c r="EUC1" t="s">
        <v>5823</v>
      </c>
      <c r="EUD1" t="s">
        <v>5824</v>
      </c>
      <c r="EUE1" t="s">
        <v>5825</v>
      </c>
      <c r="EUF1" t="s">
        <v>5826</v>
      </c>
      <c r="EUG1" t="s">
        <v>5827</v>
      </c>
      <c r="EUH1" t="s">
        <v>5828</v>
      </c>
      <c r="EUI1" t="s">
        <v>5829</v>
      </c>
      <c r="EUJ1" t="s">
        <v>5830</v>
      </c>
      <c r="EUK1" t="s">
        <v>5831</v>
      </c>
      <c r="EUL1" t="s">
        <v>5832</v>
      </c>
      <c r="EUM1" t="s">
        <v>5833</v>
      </c>
      <c r="EUN1" t="s">
        <v>5834</v>
      </c>
      <c r="EUO1" t="s">
        <v>5835</v>
      </c>
      <c r="EUP1" t="s">
        <v>5836</v>
      </c>
      <c r="EUQ1" t="s">
        <v>5837</v>
      </c>
      <c r="EUR1" t="s">
        <v>5838</v>
      </c>
      <c r="EUS1" t="s">
        <v>5839</v>
      </c>
      <c r="EUT1" t="s">
        <v>5840</v>
      </c>
      <c r="EUU1" t="s">
        <v>5841</v>
      </c>
      <c r="EUV1" t="s">
        <v>5842</v>
      </c>
      <c r="EUW1" t="s">
        <v>5843</v>
      </c>
      <c r="EUX1" t="s">
        <v>5844</v>
      </c>
      <c r="EUY1" t="s">
        <v>5845</v>
      </c>
      <c r="EUZ1" t="s">
        <v>5846</v>
      </c>
      <c r="EVA1" t="s">
        <v>5847</v>
      </c>
      <c r="EVB1" t="s">
        <v>5848</v>
      </c>
      <c r="EVC1" t="s">
        <v>5849</v>
      </c>
      <c r="EVD1" t="s">
        <v>5850</v>
      </c>
      <c r="EVE1" t="s">
        <v>5851</v>
      </c>
      <c r="EVF1" t="s">
        <v>5852</v>
      </c>
      <c r="EVG1" t="s">
        <v>5853</v>
      </c>
      <c r="EVH1" t="s">
        <v>5854</v>
      </c>
      <c r="EVI1" t="s">
        <v>5855</v>
      </c>
      <c r="EVJ1" t="s">
        <v>5856</v>
      </c>
      <c r="EVK1" t="s">
        <v>5857</v>
      </c>
      <c r="EVL1" t="s">
        <v>5858</v>
      </c>
      <c r="EVM1" t="s">
        <v>5859</v>
      </c>
      <c r="EVN1" t="s">
        <v>5860</v>
      </c>
      <c r="EVO1" t="s">
        <v>5861</v>
      </c>
      <c r="EVP1" t="s">
        <v>5862</v>
      </c>
      <c r="EVQ1" t="s">
        <v>5863</v>
      </c>
      <c r="EVR1" t="s">
        <v>5864</v>
      </c>
      <c r="EVS1" t="s">
        <v>5865</v>
      </c>
      <c r="EVT1" t="s">
        <v>5866</v>
      </c>
      <c r="EVU1" t="s">
        <v>5867</v>
      </c>
      <c r="EVV1" t="s">
        <v>5868</v>
      </c>
      <c r="EVW1" t="s">
        <v>5869</v>
      </c>
      <c r="EVX1" t="s">
        <v>5870</v>
      </c>
      <c r="EVY1" t="s">
        <v>5871</v>
      </c>
      <c r="EVZ1" t="s">
        <v>5872</v>
      </c>
      <c r="EWA1" t="s">
        <v>5873</v>
      </c>
      <c r="EWB1" t="s">
        <v>5874</v>
      </c>
      <c r="EWC1" t="s">
        <v>5875</v>
      </c>
      <c r="EWD1" t="s">
        <v>5876</v>
      </c>
      <c r="EWE1" t="s">
        <v>5877</v>
      </c>
      <c r="EWF1" t="s">
        <v>5878</v>
      </c>
      <c r="EWG1" t="s">
        <v>5879</v>
      </c>
      <c r="EWH1" t="s">
        <v>5880</v>
      </c>
      <c r="EWI1" t="s">
        <v>5881</v>
      </c>
      <c r="EWJ1" t="s">
        <v>5882</v>
      </c>
      <c r="EWK1" t="s">
        <v>5883</v>
      </c>
      <c r="EWL1" t="s">
        <v>5884</v>
      </c>
      <c r="EWM1" t="s">
        <v>5885</v>
      </c>
      <c r="EWN1" t="s">
        <v>5886</v>
      </c>
      <c r="EWO1" t="s">
        <v>5887</v>
      </c>
      <c r="EWP1" t="s">
        <v>5888</v>
      </c>
      <c r="EWQ1" t="s">
        <v>5889</v>
      </c>
      <c r="EWR1" t="s">
        <v>5890</v>
      </c>
      <c r="EWS1" t="s">
        <v>5891</v>
      </c>
      <c r="EWT1" t="s">
        <v>5892</v>
      </c>
      <c r="EWU1" t="s">
        <v>5893</v>
      </c>
      <c r="EWV1" t="s">
        <v>5894</v>
      </c>
      <c r="EWW1" t="s">
        <v>5895</v>
      </c>
      <c r="EWX1" t="s">
        <v>5896</v>
      </c>
      <c r="EWY1" t="s">
        <v>5897</v>
      </c>
      <c r="EWZ1" t="s">
        <v>5898</v>
      </c>
      <c r="EXA1" t="s">
        <v>5899</v>
      </c>
      <c r="EXB1" t="s">
        <v>5900</v>
      </c>
      <c r="EXC1" t="s">
        <v>5901</v>
      </c>
      <c r="EXD1" t="s">
        <v>5902</v>
      </c>
      <c r="EXE1" t="s">
        <v>5903</v>
      </c>
      <c r="EXF1" t="s">
        <v>5904</v>
      </c>
      <c r="EXG1" t="s">
        <v>5905</v>
      </c>
      <c r="EXH1" t="s">
        <v>5906</v>
      </c>
      <c r="EXI1" t="s">
        <v>5907</v>
      </c>
      <c r="EXJ1" t="s">
        <v>5908</v>
      </c>
      <c r="EXK1" t="s">
        <v>5909</v>
      </c>
      <c r="EXL1" t="s">
        <v>5910</v>
      </c>
      <c r="EXM1" t="s">
        <v>5911</v>
      </c>
      <c r="EXN1" t="s">
        <v>5912</v>
      </c>
      <c r="EXO1" t="s">
        <v>5913</v>
      </c>
      <c r="EXP1" t="s">
        <v>5914</v>
      </c>
      <c r="EXQ1" t="s">
        <v>5915</v>
      </c>
      <c r="EXR1" t="s">
        <v>5916</v>
      </c>
      <c r="EXS1" t="s">
        <v>5917</v>
      </c>
      <c r="EXT1" t="s">
        <v>5918</v>
      </c>
      <c r="EXU1" t="s">
        <v>5919</v>
      </c>
      <c r="EXV1" t="s">
        <v>5920</v>
      </c>
      <c r="EXW1" t="s">
        <v>5921</v>
      </c>
      <c r="EXX1" t="s">
        <v>5922</v>
      </c>
      <c r="EXY1" t="s">
        <v>5923</v>
      </c>
      <c r="EXZ1" t="s">
        <v>5924</v>
      </c>
      <c r="EYA1" t="s">
        <v>5925</v>
      </c>
      <c r="EYB1" t="s">
        <v>5926</v>
      </c>
      <c r="EYC1" t="s">
        <v>5927</v>
      </c>
      <c r="EYD1" t="s">
        <v>5928</v>
      </c>
      <c r="EYE1" t="s">
        <v>5929</v>
      </c>
      <c r="EYF1" t="s">
        <v>5930</v>
      </c>
      <c r="EYG1" t="s">
        <v>5931</v>
      </c>
      <c r="EYH1" t="s">
        <v>5932</v>
      </c>
      <c r="EYI1" t="s">
        <v>5933</v>
      </c>
      <c r="EYJ1" t="s">
        <v>5934</v>
      </c>
      <c r="EYK1" t="s">
        <v>5935</v>
      </c>
      <c r="EYL1" t="s">
        <v>5936</v>
      </c>
      <c r="EYM1" t="s">
        <v>5937</v>
      </c>
      <c r="EYN1" t="s">
        <v>5938</v>
      </c>
      <c r="EYO1" t="s">
        <v>5939</v>
      </c>
      <c r="EYP1" t="s">
        <v>5940</v>
      </c>
      <c r="EYQ1" t="s">
        <v>5941</v>
      </c>
      <c r="EYR1" t="s">
        <v>5942</v>
      </c>
      <c r="EYS1" t="s">
        <v>5943</v>
      </c>
      <c r="EYT1" t="s">
        <v>5944</v>
      </c>
      <c r="EYU1" t="s">
        <v>5945</v>
      </c>
      <c r="EYV1" t="s">
        <v>5946</v>
      </c>
      <c r="EYW1" t="s">
        <v>5947</v>
      </c>
      <c r="EYX1" t="s">
        <v>5948</v>
      </c>
      <c r="EYY1" t="s">
        <v>5949</v>
      </c>
      <c r="EYZ1" t="s">
        <v>5950</v>
      </c>
      <c r="EZA1" t="s">
        <v>5951</v>
      </c>
      <c r="EZB1" t="s">
        <v>5952</v>
      </c>
      <c r="EZC1" t="s">
        <v>5953</v>
      </c>
      <c r="EZD1" t="s">
        <v>5954</v>
      </c>
      <c r="EZE1" t="s">
        <v>5955</v>
      </c>
      <c r="EZF1" t="s">
        <v>5956</v>
      </c>
      <c r="EZG1" t="s">
        <v>5957</v>
      </c>
      <c r="EZH1" t="s">
        <v>5958</v>
      </c>
      <c r="EZI1" t="s">
        <v>5959</v>
      </c>
      <c r="EZJ1" t="s">
        <v>5960</v>
      </c>
      <c r="EZK1" t="s">
        <v>5961</v>
      </c>
      <c r="EZL1" t="s">
        <v>5962</v>
      </c>
      <c r="EZM1" t="s">
        <v>5963</v>
      </c>
      <c r="EZN1" t="s">
        <v>5964</v>
      </c>
      <c r="EZO1" t="s">
        <v>5965</v>
      </c>
      <c r="EZP1" t="s">
        <v>5966</v>
      </c>
      <c r="EZQ1" t="s">
        <v>5967</v>
      </c>
      <c r="EZR1" t="s">
        <v>5968</v>
      </c>
      <c r="EZS1" t="s">
        <v>5969</v>
      </c>
      <c r="EZT1" t="s">
        <v>5970</v>
      </c>
      <c r="EZU1" t="s">
        <v>5971</v>
      </c>
      <c r="EZV1" t="s">
        <v>5972</v>
      </c>
      <c r="EZW1" t="s">
        <v>5973</v>
      </c>
      <c r="EZX1" t="s">
        <v>5974</v>
      </c>
      <c r="EZY1" t="s">
        <v>5975</v>
      </c>
      <c r="EZZ1" t="s">
        <v>5976</v>
      </c>
      <c r="FAA1" t="s">
        <v>5977</v>
      </c>
      <c r="FAB1" t="s">
        <v>5978</v>
      </c>
      <c r="FAC1" t="s">
        <v>5979</v>
      </c>
      <c r="FAD1" t="s">
        <v>5980</v>
      </c>
      <c r="FAE1" t="s">
        <v>5981</v>
      </c>
      <c r="FAF1" t="s">
        <v>5982</v>
      </c>
      <c r="FAG1" t="s">
        <v>5983</v>
      </c>
      <c r="FAH1" t="s">
        <v>5984</v>
      </c>
      <c r="FAI1" t="s">
        <v>5985</v>
      </c>
      <c r="FAJ1" t="s">
        <v>5986</v>
      </c>
      <c r="FAK1" t="s">
        <v>5987</v>
      </c>
      <c r="FAL1" t="s">
        <v>5988</v>
      </c>
      <c r="FAM1" t="s">
        <v>5989</v>
      </c>
      <c r="FAN1" t="s">
        <v>5990</v>
      </c>
      <c r="FAO1" t="s">
        <v>5991</v>
      </c>
      <c r="FAP1" t="s">
        <v>5992</v>
      </c>
      <c r="FAQ1" t="s">
        <v>5993</v>
      </c>
      <c r="FAR1" t="s">
        <v>5994</v>
      </c>
      <c r="FAS1" t="s">
        <v>5995</v>
      </c>
      <c r="FAT1" t="s">
        <v>5996</v>
      </c>
      <c r="FAU1" t="s">
        <v>5997</v>
      </c>
      <c r="FAV1" t="s">
        <v>5998</v>
      </c>
      <c r="FAW1" t="s">
        <v>5999</v>
      </c>
      <c r="FAX1" t="s">
        <v>6000</v>
      </c>
      <c r="FAY1" t="s">
        <v>6001</v>
      </c>
      <c r="FAZ1" t="s">
        <v>6002</v>
      </c>
      <c r="FBA1" t="s">
        <v>6003</v>
      </c>
      <c r="FBB1" t="s">
        <v>6004</v>
      </c>
      <c r="FBC1" t="s">
        <v>6005</v>
      </c>
      <c r="FBD1" t="s">
        <v>6006</v>
      </c>
      <c r="FBE1" t="s">
        <v>6007</v>
      </c>
      <c r="FBF1" t="s">
        <v>6008</v>
      </c>
      <c r="FBG1" t="s">
        <v>6009</v>
      </c>
      <c r="FBH1" t="s">
        <v>6010</v>
      </c>
      <c r="FBI1" t="s">
        <v>6011</v>
      </c>
      <c r="FBJ1" t="s">
        <v>6012</v>
      </c>
      <c r="FBK1" t="s">
        <v>6013</v>
      </c>
      <c r="FBL1" t="s">
        <v>6014</v>
      </c>
      <c r="FBM1" t="s">
        <v>6015</v>
      </c>
      <c r="FBN1" t="s">
        <v>6016</v>
      </c>
      <c r="FBO1" t="s">
        <v>6017</v>
      </c>
      <c r="FBP1" t="s">
        <v>6018</v>
      </c>
      <c r="FBQ1" t="s">
        <v>6019</v>
      </c>
      <c r="FBR1" t="s">
        <v>6020</v>
      </c>
      <c r="FBS1" t="s">
        <v>6021</v>
      </c>
      <c r="FBT1" t="s">
        <v>6022</v>
      </c>
      <c r="FBU1" t="s">
        <v>6023</v>
      </c>
      <c r="FBV1" t="s">
        <v>6024</v>
      </c>
      <c r="FBW1" t="s">
        <v>6025</v>
      </c>
      <c r="FBX1" t="s">
        <v>6026</v>
      </c>
      <c r="FBY1" t="s">
        <v>6027</v>
      </c>
      <c r="FBZ1" t="s">
        <v>6028</v>
      </c>
      <c r="FCA1" t="s">
        <v>6029</v>
      </c>
      <c r="FCB1" t="s">
        <v>6030</v>
      </c>
      <c r="FCC1" t="s">
        <v>6031</v>
      </c>
      <c r="FCD1" t="s">
        <v>6032</v>
      </c>
      <c r="FCE1" t="s">
        <v>6033</v>
      </c>
      <c r="FCF1" t="s">
        <v>6034</v>
      </c>
      <c r="FCG1" t="s">
        <v>6035</v>
      </c>
      <c r="FCH1" t="s">
        <v>6036</v>
      </c>
      <c r="FCI1" t="s">
        <v>6037</v>
      </c>
      <c r="FCJ1" t="s">
        <v>6038</v>
      </c>
      <c r="FCK1" t="s">
        <v>6039</v>
      </c>
      <c r="FCL1" t="s">
        <v>6040</v>
      </c>
      <c r="FCM1" t="s">
        <v>6041</v>
      </c>
      <c r="FCN1" t="s">
        <v>6042</v>
      </c>
      <c r="FCO1" t="s">
        <v>6043</v>
      </c>
      <c r="FCP1" t="s">
        <v>6044</v>
      </c>
      <c r="FCQ1" t="s">
        <v>6045</v>
      </c>
      <c r="FCR1" t="s">
        <v>6046</v>
      </c>
      <c r="FCS1" t="s">
        <v>6047</v>
      </c>
      <c r="FCT1" t="s">
        <v>6048</v>
      </c>
      <c r="FCU1" t="s">
        <v>6049</v>
      </c>
      <c r="FCV1" t="s">
        <v>6050</v>
      </c>
      <c r="FCW1" t="s">
        <v>6051</v>
      </c>
      <c r="FCX1" t="s">
        <v>6052</v>
      </c>
      <c r="FCY1" t="s">
        <v>6053</v>
      </c>
      <c r="FCZ1" t="s">
        <v>6054</v>
      </c>
      <c r="FDA1" t="s">
        <v>6055</v>
      </c>
      <c r="FDB1" t="s">
        <v>6056</v>
      </c>
      <c r="FDC1" t="s">
        <v>6057</v>
      </c>
      <c r="FDD1" t="s">
        <v>6058</v>
      </c>
      <c r="FDE1" t="s">
        <v>6059</v>
      </c>
      <c r="FDF1" t="s">
        <v>6060</v>
      </c>
      <c r="FDG1" t="s">
        <v>6061</v>
      </c>
      <c r="FDH1" t="s">
        <v>6062</v>
      </c>
      <c r="FDI1" t="s">
        <v>6063</v>
      </c>
      <c r="FDJ1" t="s">
        <v>6064</v>
      </c>
      <c r="FDK1" t="s">
        <v>6065</v>
      </c>
      <c r="FDL1" t="s">
        <v>6066</v>
      </c>
      <c r="FDM1" t="s">
        <v>6067</v>
      </c>
      <c r="FDN1" t="s">
        <v>6068</v>
      </c>
      <c r="FDO1" t="s">
        <v>6069</v>
      </c>
      <c r="FDP1" t="s">
        <v>6070</v>
      </c>
      <c r="FDQ1" t="s">
        <v>6071</v>
      </c>
      <c r="FDR1" t="s">
        <v>6072</v>
      </c>
      <c r="FDS1" t="s">
        <v>6073</v>
      </c>
      <c r="FDT1" t="s">
        <v>6074</v>
      </c>
      <c r="FDU1" t="s">
        <v>6075</v>
      </c>
      <c r="FDV1" t="s">
        <v>6076</v>
      </c>
      <c r="FDW1" t="s">
        <v>6077</v>
      </c>
      <c r="FDX1" t="s">
        <v>6078</v>
      </c>
      <c r="FDY1" t="s">
        <v>6079</v>
      </c>
      <c r="FDZ1" t="s">
        <v>6080</v>
      </c>
      <c r="FEA1" t="s">
        <v>6081</v>
      </c>
      <c r="FEB1" t="s">
        <v>6082</v>
      </c>
      <c r="FEC1" t="s">
        <v>6083</v>
      </c>
      <c r="FED1" t="s">
        <v>6084</v>
      </c>
      <c r="FEE1" t="s">
        <v>6085</v>
      </c>
      <c r="FEF1" t="s">
        <v>6086</v>
      </c>
      <c r="FEG1" t="s">
        <v>6087</v>
      </c>
      <c r="FEH1" t="s">
        <v>6088</v>
      </c>
      <c r="FEI1" t="s">
        <v>6089</v>
      </c>
      <c r="FEJ1" t="s">
        <v>6090</v>
      </c>
      <c r="FEK1" t="s">
        <v>6091</v>
      </c>
      <c r="FEL1" t="s">
        <v>6092</v>
      </c>
      <c r="FEM1" t="s">
        <v>6093</v>
      </c>
      <c r="FEN1" t="s">
        <v>6094</v>
      </c>
      <c r="FEO1" t="s">
        <v>6095</v>
      </c>
      <c r="FEP1" t="s">
        <v>6096</v>
      </c>
      <c r="FEQ1" t="s">
        <v>6097</v>
      </c>
      <c r="FER1" t="s">
        <v>6098</v>
      </c>
      <c r="FES1" t="s">
        <v>6099</v>
      </c>
      <c r="FET1" t="s">
        <v>6100</v>
      </c>
      <c r="FEU1" t="s">
        <v>6101</v>
      </c>
      <c r="FEV1" t="s">
        <v>6102</v>
      </c>
      <c r="FEW1" t="s">
        <v>6103</v>
      </c>
      <c r="FEX1" t="s">
        <v>6104</v>
      </c>
      <c r="FEY1" t="s">
        <v>6105</v>
      </c>
      <c r="FEZ1" t="s">
        <v>6106</v>
      </c>
      <c r="FFA1" t="s">
        <v>6107</v>
      </c>
      <c r="FFB1" t="s">
        <v>6108</v>
      </c>
      <c r="FFC1" t="s">
        <v>6109</v>
      </c>
      <c r="FFD1" t="s">
        <v>6110</v>
      </c>
      <c r="FFE1" t="s">
        <v>6111</v>
      </c>
      <c r="FFF1" t="s">
        <v>6112</v>
      </c>
      <c r="FFG1" t="s">
        <v>6113</v>
      </c>
      <c r="FFH1" t="s">
        <v>6114</v>
      </c>
      <c r="FFI1" t="s">
        <v>6115</v>
      </c>
      <c r="FFJ1" t="s">
        <v>6116</v>
      </c>
      <c r="FFK1" t="s">
        <v>6117</v>
      </c>
      <c r="FFL1" t="s">
        <v>6118</v>
      </c>
      <c r="FFM1" t="s">
        <v>6119</v>
      </c>
      <c r="FFN1" t="s">
        <v>6120</v>
      </c>
      <c r="FFO1" t="s">
        <v>6121</v>
      </c>
      <c r="FFP1" t="s">
        <v>6122</v>
      </c>
      <c r="FFQ1" t="s">
        <v>6123</v>
      </c>
      <c r="FFR1" t="s">
        <v>6124</v>
      </c>
      <c r="FFS1" t="s">
        <v>6125</v>
      </c>
      <c r="FFT1" t="s">
        <v>6126</v>
      </c>
      <c r="FFU1" t="s">
        <v>6127</v>
      </c>
      <c r="FFV1" t="s">
        <v>6128</v>
      </c>
      <c r="FFW1" t="s">
        <v>6129</v>
      </c>
      <c r="FFX1" t="s">
        <v>6130</v>
      </c>
      <c r="FFY1" t="s">
        <v>6131</v>
      </c>
      <c r="FFZ1" t="s">
        <v>6132</v>
      </c>
      <c r="FGA1" t="s">
        <v>6133</v>
      </c>
      <c r="FGB1" t="s">
        <v>6134</v>
      </c>
      <c r="FGC1" t="s">
        <v>6135</v>
      </c>
      <c r="FGD1" t="s">
        <v>6136</v>
      </c>
      <c r="FGE1" t="s">
        <v>6137</v>
      </c>
      <c r="FGF1" t="s">
        <v>6138</v>
      </c>
      <c r="FGG1" t="s">
        <v>6139</v>
      </c>
      <c r="FGH1" t="s">
        <v>6140</v>
      </c>
      <c r="FGI1" t="s">
        <v>6141</v>
      </c>
      <c r="FGJ1" t="s">
        <v>6142</v>
      </c>
      <c r="FGK1" t="s">
        <v>6143</v>
      </c>
      <c r="FGL1" t="s">
        <v>6144</v>
      </c>
      <c r="FGM1" t="s">
        <v>6145</v>
      </c>
      <c r="FGN1" t="s">
        <v>6146</v>
      </c>
      <c r="FGO1" t="s">
        <v>6147</v>
      </c>
      <c r="FGP1" t="s">
        <v>6148</v>
      </c>
      <c r="FGQ1" t="s">
        <v>6149</v>
      </c>
      <c r="FGR1" t="s">
        <v>6150</v>
      </c>
      <c r="FGS1" t="s">
        <v>6151</v>
      </c>
      <c r="FGT1" t="s">
        <v>6152</v>
      </c>
      <c r="FGU1" t="s">
        <v>6153</v>
      </c>
      <c r="FGV1" t="s">
        <v>6154</v>
      </c>
      <c r="FGW1" t="s">
        <v>6155</v>
      </c>
      <c r="FGX1" t="s">
        <v>6156</v>
      </c>
      <c r="FGY1" t="s">
        <v>6157</v>
      </c>
      <c r="FGZ1" t="s">
        <v>6158</v>
      </c>
      <c r="FHA1" t="s">
        <v>6159</v>
      </c>
      <c r="FHB1" t="s">
        <v>6160</v>
      </c>
      <c r="FHC1" t="s">
        <v>6161</v>
      </c>
      <c r="FHD1" t="s">
        <v>6162</v>
      </c>
      <c r="FHE1" t="s">
        <v>6163</v>
      </c>
      <c r="FHF1" t="s">
        <v>6164</v>
      </c>
      <c r="FHG1" t="s">
        <v>6165</v>
      </c>
      <c r="FHH1" t="s">
        <v>6166</v>
      </c>
      <c r="FHI1" t="s">
        <v>6167</v>
      </c>
      <c r="FHJ1" t="s">
        <v>6168</v>
      </c>
      <c r="FHK1" t="s">
        <v>6169</v>
      </c>
      <c r="FHL1" t="s">
        <v>6170</v>
      </c>
      <c r="FHM1" t="s">
        <v>6171</v>
      </c>
      <c r="FHN1" t="s">
        <v>6172</v>
      </c>
      <c r="FHO1" t="s">
        <v>6173</v>
      </c>
      <c r="FHP1" t="s">
        <v>6174</v>
      </c>
      <c r="FHQ1" t="s">
        <v>6175</v>
      </c>
      <c r="FHR1" t="s">
        <v>6176</v>
      </c>
      <c r="FHS1" t="s">
        <v>6177</v>
      </c>
      <c r="FHT1" t="s">
        <v>6178</v>
      </c>
      <c r="FHU1" t="s">
        <v>6179</v>
      </c>
      <c r="FHV1" t="s">
        <v>6180</v>
      </c>
      <c r="FHW1" t="s">
        <v>6181</v>
      </c>
      <c r="FHX1" t="s">
        <v>6182</v>
      </c>
      <c r="FHY1" t="s">
        <v>6183</v>
      </c>
      <c r="FHZ1" t="s">
        <v>6184</v>
      </c>
      <c r="FIA1" t="s">
        <v>6185</v>
      </c>
      <c r="FIB1" t="s">
        <v>6186</v>
      </c>
      <c r="FIC1" t="s">
        <v>6187</v>
      </c>
      <c r="FID1" t="s">
        <v>6188</v>
      </c>
      <c r="FIE1" t="s">
        <v>6189</v>
      </c>
      <c r="FIF1" t="s">
        <v>6190</v>
      </c>
      <c r="FIG1" t="s">
        <v>6191</v>
      </c>
      <c r="FIH1" t="s">
        <v>6192</v>
      </c>
      <c r="FII1" t="s">
        <v>6193</v>
      </c>
      <c r="FIJ1" t="s">
        <v>6194</v>
      </c>
      <c r="FIK1" t="s">
        <v>6195</v>
      </c>
      <c r="FIL1" t="s">
        <v>6196</v>
      </c>
      <c r="FIM1" t="s">
        <v>6197</v>
      </c>
      <c r="FIN1" t="s">
        <v>6198</v>
      </c>
      <c r="FIO1" t="s">
        <v>6199</v>
      </c>
      <c r="FIP1" t="s">
        <v>6200</v>
      </c>
      <c r="FIQ1" t="s">
        <v>6201</v>
      </c>
      <c r="FIR1" t="s">
        <v>6202</v>
      </c>
      <c r="FIS1" t="s">
        <v>6203</v>
      </c>
      <c r="FIT1" t="s">
        <v>6204</v>
      </c>
      <c r="FIU1" t="s">
        <v>6205</v>
      </c>
      <c r="FIV1" t="s">
        <v>6206</v>
      </c>
      <c r="FIW1" t="s">
        <v>6207</v>
      </c>
      <c r="FIX1" t="s">
        <v>6208</v>
      </c>
      <c r="FIY1" t="s">
        <v>6209</v>
      </c>
      <c r="FIZ1" t="s">
        <v>6210</v>
      </c>
      <c r="FJA1" t="s">
        <v>6211</v>
      </c>
      <c r="FJB1" t="s">
        <v>6212</v>
      </c>
      <c r="FJC1" t="s">
        <v>6213</v>
      </c>
      <c r="FJD1" t="s">
        <v>6214</v>
      </c>
      <c r="FJE1" t="s">
        <v>6215</v>
      </c>
      <c r="FJF1" t="s">
        <v>6216</v>
      </c>
      <c r="FJG1" t="s">
        <v>6217</v>
      </c>
      <c r="FJH1" t="s">
        <v>6218</v>
      </c>
      <c r="FJI1" t="s">
        <v>6219</v>
      </c>
      <c r="FJJ1" t="s">
        <v>6220</v>
      </c>
      <c r="FJK1" t="s">
        <v>6221</v>
      </c>
      <c r="FJL1" t="s">
        <v>6222</v>
      </c>
      <c r="FJM1" t="s">
        <v>6223</v>
      </c>
      <c r="FJN1" t="s">
        <v>6224</v>
      </c>
      <c r="FJO1" t="s">
        <v>6225</v>
      </c>
      <c r="FJP1" t="s">
        <v>6226</v>
      </c>
      <c r="FJQ1" t="s">
        <v>6227</v>
      </c>
      <c r="FJR1" t="s">
        <v>6228</v>
      </c>
      <c r="FJS1" t="s">
        <v>6229</v>
      </c>
      <c r="FJT1" t="s">
        <v>6230</v>
      </c>
      <c r="FJU1" t="s">
        <v>6231</v>
      </c>
      <c r="FJV1" t="s">
        <v>6232</v>
      </c>
      <c r="FJW1" t="s">
        <v>6233</v>
      </c>
      <c r="FJX1" t="s">
        <v>6234</v>
      </c>
      <c r="FJY1" t="s">
        <v>6235</v>
      </c>
      <c r="FJZ1" t="s">
        <v>6236</v>
      </c>
      <c r="FKA1" t="s">
        <v>6237</v>
      </c>
      <c r="FKB1" t="s">
        <v>6238</v>
      </c>
      <c r="FKC1" t="s">
        <v>6239</v>
      </c>
      <c r="FKD1" t="s">
        <v>6240</v>
      </c>
      <c r="FKE1" t="s">
        <v>6241</v>
      </c>
      <c r="FKF1" t="s">
        <v>6242</v>
      </c>
      <c r="FKG1" t="s">
        <v>6243</v>
      </c>
      <c r="FKH1" t="s">
        <v>6244</v>
      </c>
      <c r="FKI1" t="s">
        <v>6245</v>
      </c>
      <c r="FKJ1" t="s">
        <v>6246</v>
      </c>
      <c r="FKK1" t="s">
        <v>6247</v>
      </c>
      <c r="FKL1" t="s">
        <v>6248</v>
      </c>
      <c r="FKM1" t="s">
        <v>6249</v>
      </c>
      <c r="FKN1" t="s">
        <v>6250</v>
      </c>
      <c r="FKO1" t="s">
        <v>6251</v>
      </c>
      <c r="FKP1" t="s">
        <v>6252</v>
      </c>
      <c r="FKQ1" t="s">
        <v>6253</v>
      </c>
      <c r="FKR1" t="s">
        <v>6254</v>
      </c>
      <c r="FKS1" t="s">
        <v>6255</v>
      </c>
      <c r="FKT1" t="s">
        <v>6256</v>
      </c>
      <c r="FKU1" t="s">
        <v>6257</v>
      </c>
      <c r="FKV1" t="s">
        <v>6258</v>
      </c>
      <c r="FKW1" t="s">
        <v>6259</v>
      </c>
      <c r="FKX1" t="s">
        <v>6260</v>
      </c>
      <c r="FKY1" t="s">
        <v>6261</v>
      </c>
      <c r="FKZ1" t="s">
        <v>6262</v>
      </c>
      <c r="FLA1" t="s">
        <v>6263</v>
      </c>
      <c r="FLB1" t="s">
        <v>6264</v>
      </c>
      <c r="FLC1" t="s">
        <v>6265</v>
      </c>
      <c r="FLD1" t="s">
        <v>6266</v>
      </c>
      <c r="FLE1" t="s">
        <v>6267</v>
      </c>
      <c r="FLF1" t="s">
        <v>6268</v>
      </c>
      <c r="FLG1" t="s">
        <v>6269</v>
      </c>
      <c r="FLH1" t="s">
        <v>6270</v>
      </c>
      <c r="FLI1" t="s">
        <v>6271</v>
      </c>
      <c r="FLJ1" t="s">
        <v>6272</v>
      </c>
      <c r="FLK1" t="s">
        <v>6273</v>
      </c>
      <c r="FLL1" t="s">
        <v>6274</v>
      </c>
      <c r="FLM1" t="s">
        <v>6275</v>
      </c>
      <c r="FLN1" t="s">
        <v>6276</v>
      </c>
      <c r="FLO1" t="s">
        <v>6277</v>
      </c>
      <c r="FLP1" t="s">
        <v>6278</v>
      </c>
      <c r="FLQ1" t="s">
        <v>6279</v>
      </c>
      <c r="FLR1" t="s">
        <v>6280</v>
      </c>
      <c r="FLS1" t="s">
        <v>6281</v>
      </c>
      <c r="FLT1" t="s">
        <v>6282</v>
      </c>
      <c r="FLU1" t="s">
        <v>6283</v>
      </c>
      <c r="FLV1" t="s">
        <v>6284</v>
      </c>
      <c r="FLW1" t="s">
        <v>6285</v>
      </c>
      <c r="FLX1" t="s">
        <v>6286</v>
      </c>
      <c r="FLY1" t="s">
        <v>6287</v>
      </c>
      <c r="FLZ1" t="s">
        <v>6288</v>
      </c>
      <c r="FMA1" t="s">
        <v>6289</v>
      </c>
      <c r="FMB1" t="s">
        <v>6290</v>
      </c>
      <c r="FMC1" t="s">
        <v>6291</v>
      </c>
      <c r="FMD1" t="s">
        <v>6292</v>
      </c>
      <c r="FME1" t="s">
        <v>6293</v>
      </c>
      <c r="FMF1" t="s">
        <v>6294</v>
      </c>
      <c r="FMG1" t="s">
        <v>6295</v>
      </c>
      <c r="FMH1" t="s">
        <v>6296</v>
      </c>
      <c r="FMI1" t="s">
        <v>6297</v>
      </c>
      <c r="FMJ1" t="s">
        <v>6298</v>
      </c>
      <c r="FMK1" t="s">
        <v>6299</v>
      </c>
      <c r="FML1" t="s">
        <v>6300</v>
      </c>
      <c r="FMM1" t="s">
        <v>6301</v>
      </c>
      <c r="FMN1" t="s">
        <v>6302</v>
      </c>
      <c r="FMO1" t="s">
        <v>6303</v>
      </c>
      <c r="FMP1" t="s">
        <v>6304</v>
      </c>
      <c r="FMQ1" t="s">
        <v>6305</v>
      </c>
      <c r="FMR1" t="s">
        <v>6306</v>
      </c>
      <c r="FMS1" t="s">
        <v>6307</v>
      </c>
      <c r="FMT1" t="s">
        <v>6308</v>
      </c>
      <c r="FMU1" t="s">
        <v>6309</v>
      </c>
      <c r="FMV1" t="s">
        <v>6310</v>
      </c>
      <c r="FMW1" t="s">
        <v>6311</v>
      </c>
      <c r="FMX1" t="s">
        <v>6312</v>
      </c>
      <c r="FMY1" t="s">
        <v>6313</v>
      </c>
      <c r="FMZ1" t="s">
        <v>6314</v>
      </c>
      <c r="FNA1" t="s">
        <v>6315</v>
      </c>
      <c r="FNB1" t="s">
        <v>6316</v>
      </c>
      <c r="FNC1" t="s">
        <v>6317</v>
      </c>
      <c r="FND1" t="s">
        <v>6318</v>
      </c>
      <c r="FNE1" t="s">
        <v>6319</v>
      </c>
      <c r="FNF1" t="s">
        <v>6320</v>
      </c>
      <c r="FNG1" t="s">
        <v>6321</v>
      </c>
      <c r="FNH1" t="s">
        <v>6322</v>
      </c>
      <c r="FNI1" t="s">
        <v>6323</v>
      </c>
      <c r="FNJ1" t="s">
        <v>6324</v>
      </c>
      <c r="FNK1" t="s">
        <v>6325</v>
      </c>
      <c r="FNL1" t="s">
        <v>6326</v>
      </c>
      <c r="FNM1" t="s">
        <v>6327</v>
      </c>
      <c r="FNN1" t="s">
        <v>6328</v>
      </c>
      <c r="FNO1" t="s">
        <v>6329</v>
      </c>
      <c r="FNP1" t="s">
        <v>6330</v>
      </c>
      <c r="FNQ1" t="s">
        <v>6331</v>
      </c>
      <c r="FNR1" t="s">
        <v>6332</v>
      </c>
      <c r="FNS1" t="s">
        <v>6333</v>
      </c>
      <c r="FNT1" t="s">
        <v>6334</v>
      </c>
      <c r="FNU1" t="s">
        <v>6335</v>
      </c>
      <c r="FNV1" t="s">
        <v>6336</v>
      </c>
      <c r="FNW1" t="s">
        <v>6337</v>
      </c>
      <c r="FNX1" t="s">
        <v>6338</v>
      </c>
      <c r="FNY1" t="s">
        <v>6339</v>
      </c>
      <c r="FNZ1" t="s">
        <v>6340</v>
      </c>
      <c r="FOA1" t="s">
        <v>6341</v>
      </c>
      <c r="FOB1" t="s">
        <v>6342</v>
      </c>
      <c r="FOC1" t="s">
        <v>6343</v>
      </c>
      <c r="FOD1" t="s">
        <v>6344</v>
      </c>
      <c r="FOE1" t="s">
        <v>6345</v>
      </c>
      <c r="FOF1" t="s">
        <v>6346</v>
      </c>
      <c r="FOG1" t="s">
        <v>6347</v>
      </c>
      <c r="FOH1" t="s">
        <v>6348</v>
      </c>
      <c r="FOI1" t="s">
        <v>6349</v>
      </c>
      <c r="FOJ1" t="s">
        <v>6350</v>
      </c>
      <c r="FOK1" t="s">
        <v>6351</v>
      </c>
      <c r="FOL1" t="s">
        <v>6352</v>
      </c>
      <c r="FOM1" t="s">
        <v>6353</v>
      </c>
      <c r="FON1" t="s">
        <v>6354</v>
      </c>
      <c r="FOO1" t="s">
        <v>6355</v>
      </c>
      <c r="FOP1" t="s">
        <v>6356</v>
      </c>
      <c r="FOQ1" t="s">
        <v>6357</v>
      </c>
      <c r="FOR1" t="s">
        <v>6358</v>
      </c>
      <c r="FOS1" t="s">
        <v>6359</v>
      </c>
      <c r="FOT1" t="s">
        <v>6360</v>
      </c>
      <c r="FOU1" t="s">
        <v>6361</v>
      </c>
      <c r="FOV1" t="s">
        <v>6362</v>
      </c>
      <c r="FOW1" t="s">
        <v>6363</v>
      </c>
      <c r="FOX1" t="s">
        <v>6364</v>
      </c>
      <c r="FOY1" t="s">
        <v>6365</v>
      </c>
      <c r="FOZ1" t="s">
        <v>6366</v>
      </c>
      <c r="FPA1" t="s">
        <v>6367</v>
      </c>
      <c r="FPB1" t="s">
        <v>6368</v>
      </c>
      <c r="FPC1" t="s">
        <v>6369</v>
      </c>
      <c r="FPD1" t="s">
        <v>6370</v>
      </c>
      <c r="FPE1" t="s">
        <v>6371</v>
      </c>
      <c r="FPF1" t="s">
        <v>6372</v>
      </c>
      <c r="FPG1" t="s">
        <v>6373</v>
      </c>
      <c r="FPH1" t="s">
        <v>6374</v>
      </c>
      <c r="FPI1" t="s">
        <v>6375</v>
      </c>
      <c r="FPJ1" t="s">
        <v>6376</v>
      </c>
      <c r="FPK1" t="s">
        <v>6377</v>
      </c>
      <c r="FPL1" t="s">
        <v>6378</v>
      </c>
      <c r="FPM1" t="s">
        <v>6379</v>
      </c>
      <c r="FPN1" t="s">
        <v>6380</v>
      </c>
      <c r="FPO1" t="s">
        <v>6381</v>
      </c>
      <c r="FPP1" t="s">
        <v>6382</v>
      </c>
      <c r="FPQ1" t="s">
        <v>6383</v>
      </c>
      <c r="FPR1" t="s">
        <v>6384</v>
      </c>
      <c r="FPS1" t="s">
        <v>6385</v>
      </c>
      <c r="FPT1" t="s">
        <v>6386</v>
      </c>
      <c r="FPU1" t="s">
        <v>6387</v>
      </c>
      <c r="FPV1" t="s">
        <v>6388</v>
      </c>
      <c r="FPW1" t="s">
        <v>6389</v>
      </c>
      <c r="FPX1" t="s">
        <v>6390</v>
      </c>
      <c r="FPY1" t="s">
        <v>6391</v>
      </c>
      <c r="FPZ1" t="s">
        <v>6392</v>
      </c>
      <c r="FQA1" t="s">
        <v>6393</v>
      </c>
      <c r="FQB1" t="s">
        <v>6394</v>
      </c>
      <c r="FQC1" t="s">
        <v>6395</v>
      </c>
      <c r="FQD1" t="s">
        <v>6396</v>
      </c>
      <c r="FQE1" t="s">
        <v>6397</v>
      </c>
      <c r="FQF1" t="s">
        <v>6398</v>
      </c>
      <c r="FQG1" t="s">
        <v>6399</v>
      </c>
      <c r="FQH1" t="s">
        <v>6400</v>
      </c>
      <c r="FQI1" t="s">
        <v>6401</v>
      </c>
      <c r="FQJ1" t="s">
        <v>6402</v>
      </c>
      <c r="FQK1" t="s">
        <v>6403</v>
      </c>
      <c r="FQL1" t="s">
        <v>6404</v>
      </c>
      <c r="FQM1" t="s">
        <v>6405</v>
      </c>
      <c r="FQN1" t="s">
        <v>6406</v>
      </c>
      <c r="FQO1" t="s">
        <v>6407</v>
      </c>
      <c r="FQP1" t="s">
        <v>6408</v>
      </c>
      <c r="FQQ1" t="s">
        <v>6409</v>
      </c>
      <c r="FQR1" t="s">
        <v>6410</v>
      </c>
      <c r="FQS1" t="s">
        <v>6411</v>
      </c>
      <c r="FQT1" t="s">
        <v>6412</v>
      </c>
      <c r="FQU1" t="s">
        <v>6413</v>
      </c>
      <c r="FQV1" t="s">
        <v>6414</v>
      </c>
      <c r="FQW1" t="s">
        <v>6415</v>
      </c>
      <c r="FQX1" t="s">
        <v>6416</v>
      </c>
      <c r="FQY1" t="s">
        <v>6417</v>
      </c>
      <c r="FQZ1" t="s">
        <v>6418</v>
      </c>
      <c r="FRA1" t="s">
        <v>6419</v>
      </c>
      <c r="FRB1" t="s">
        <v>6420</v>
      </c>
      <c r="FRC1" t="s">
        <v>6421</v>
      </c>
      <c r="FRD1" t="s">
        <v>6422</v>
      </c>
      <c r="FRE1" t="s">
        <v>6423</v>
      </c>
      <c r="FRF1" t="s">
        <v>6424</v>
      </c>
      <c r="FRG1" t="s">
        <v>6425</v>
      </c>
      <c r="FRH1" t="s">
        <v>6426</v>
      </c>
      <c r="FRI1" t="s">
        <v>6427</v>
      </c>
      <c r="FRJ1" t="s">
        <v>6428</v>
      </c>
      <c r="FRK1" t="s">
        <v>6429</v>
      </c>
      <c r="FRL1" t="s">
        <v>6430</v>
      </c>
      <c r="FRM1" t="s">
        <v>6431</v>
      </c>
      <c r="FRN1" t="s">
        <v>6432</v>
      </c>
      <c r="FRO1" t="s">
        <v>6433</v>
      </c>
      <c r="FRP1" t="s">
        <v>6434</v>
      </c>
      <c r="FRQ1" t="s">
        <v>6435</v>
      </c>
      <c r="FRR1" t="s">
        <v>6436</v>
      </c>
      <c r="FRS1" t="s">
        <v>6437</v>
      </c>
      <c r="FRT1" t="s">
        <v>6438</v>
      </c>
      <c r="FRU1" t="s">
        <v>6439</v>
      </c>
      <c r="FRV1" t="s">
        <v>6440</v>
      </c>
      <c r="FRW1" t="s">
        <v>6441</v>
      </c>
      <c r="FRX1" t="s">
        <v>6442</v>
      </c>
      <c r="FRY1" t="s">
        <v>6443</v>
      </c>
      <c r="FRZ1" t="s">
        <v>6444</v>
      </c>
      <c r="FSA1" t="s">
        <v>6445</v>
      </c>
      <c r="FSB1" t="s">
        <v>6446</v>
      </c>
      <c r="FSC1" t="s">
        <v>6447</v>
      </c>
      <c r="FSD1" t="s">
        <v>6448</v>
      </c>
      <c r="FSE1" t="s">
        <v>6449</v>
      </c>
      <c r="FSF1" t="s">
        <v>6450</v>
      </c>
      <c r="FSG1" t="s">
        <v>6451</v>
      </c>
      <c r="FSH1" t="s">
        <v>6452</v>
      </c>
      <c r="FSI1" t="s">
        <v>6453</v>
      </c>
      <c r="FSJ1" t="s">
        <v>6454</v>
      </c>
      <c r="FSK1" t="s">
        <v>6455</v>
      </c>
      <c r="FSL1" t="s">
        <v>6456</v>
      </c>
      <c r="FSM1" t="s">
        <v>6457</v>
      </c>
      <c r="FSN1" t="s">
        <v>6458</v>
      </c>
      <c r="FSO1" t="s">
        <v>6459</v>
      </c>
      <c r="FSP1" t="s">
        <v>6460</v>
      </c>
      <c r="FSQ1" t="s">
        <v>6461</v>
      </c>
      <c r="FSR1" t="s">
        <v>6462</v>
      </c>
      <c r="FSS1" t="s">
        <v>6463</v>
      </c>
      <c r="FST1" t="s">
        <v>6464</v>
      </c>
      <c r="FSU1" t="s">
        <v>6465</v>
      </c>
      <c r="FSV1" t="s">
        <v>6466</v>
      </c>
      <c r="FSW1" t="s">
        <v>6467</v>
      </c>
      <c r="FSX1" t="s">
        <v>6468</v>
      </c>
      <c r="FSY1" t="s">
        <v>6469</v>
      </c>
      <c r="FSZ1" t="s">
        <v>6470</v>
      </c>
      <c r="FTA1" t="s">
        <v>6471</v>
      </c>
      <c r="FTB1" t="s">
        <v>6472</v>
      </c>
      <c r="FTC1" t="s">
        <v>6473</v>
      </c>
      <c r="FTD1" t="s">
        <v>6474</v>
      </c>
      <c r="FTE1" t="s">
        <v>6475</v>
      </c>
      <c r="FTF1" t="s">
        <v>6476</v>
      </c>
      <c r="FTG1" t="s">
        <v>6477</v>
      </c>
      <c r="FTH1" t="s">
        <v>6478</v>
      </c>
      <c r="FTI1" t="s">
        <v>6479</v>
      </c>
      <c r="FTJ1" t="s">
        <v>6480</v>
      </c>
      <c r="FTK1" t="s">
        <v>6481</v>
      </c>
      <c r="FTL1" t="s">
        <v>6482</v>
      </c>
      <c r="FTM1" t="s">
        <v>6483</v>
      </c>
      <c r="FTN1" t="s">
        <v>6484</v>
      </c>
      <c r="FTO1" t="s">
        <v>6485</v>
      </c>
      <c r="FTP1" t="s">
        <v>6486</v>
      </c>
      <c r="FTQ1" t="s">
        <v>6487</v>
      </c>
      <c r="FTR1" t="s">
        <v>6488</v>
      </c>
      <c r="FTS1" t="s">
        <v>6489</v>
      </c>
      <c r="FTT1" t="s">
        <v>6490</v>
      </c>
      <c r="FTU1" t="s">
        <v>6491</v>
      </c>
      <c r="FTV1" t="s">
        <v>6492</v>
      </c>
      <c r="FTW1" t="s">
        <v>6493</v>
      </c>
      <c r="FTX1" t="s">
        <v>6494</v>
      </c>
      <c r="FTY1" t="s">
        <v>6495</v>
      </c>
      <c r="FTZ1" t="s">
        <v>6496</v>
      </c>
      <c r="FUA1" t="s">
        <v>6497</v>
      </c>
      <c r="FUB1" t="s">
        <v>6498</v>
      </c>
      <c r="FUC1" t="s">
        <v>6499</v>
      </c>
      <c r="FUD1" t="s">
        <v>6500</v>
      </c>
      <c r="FUE1" t="s">
        <v>6501</v>
      </c>
      <c r="FUF1" t="s">
        <v>6502</v>
      </c>
      <c r="FUG1" t="s">
        <v>6503</v>
      </c>
      <c r="FUH1" t="s">
        <v>6504</v>
      </c>
      <c r="FUI1" t="s">
        <v>6505</v>
      </c>
      <c r="FUJ1" t="s">
        <v>6506</v>
      </c>
      <c r="FUK1" t="s">
        <v>6507</v>
      </c>
      <c r="FUL1" t="s">
        <v>6508</v>
      </c>
      <c r="FUM1" t="s">
        <v>6509</v>
      </c>
      <c r="FUN1" t="s">
        <v>6510</v>
      </c>
      <c r="FUO1" t="s">
        <v>6511</v>
      </c>
      <c r="FUP1" t="s">
        <v>6512</v>
      </c>
      <c r="FUQ1" t="s">
        <v>6513</v>
      </c>
      <c r="FUR1" t="s">
        <v>6514</v>
      </c>
      <c r="FUS1" t="s">
        <v>6515</v>
      </c>
      <c r="FUT1" t="s">
        <v>6516</v>
      </c>
      <c r="FUU1" t="s">
        <v>6517</v>
      </c>
      <c r="FUV1" t="s">
        <v>6518</v>
      </c>
      <c r="FUW1" t="s">
        <v>6519</v>
      </c>
      <c r="FUX1" t="s">
        <v>6520</v>
      </c>
      <c r="FUY1" t="s">
        <v>6521</v>
      </c>
      <c r="FUZ1" t="s">
        <v>6522</v>
      </c>
      <c r="FVA1" t="s">
        <v>6523</v>
      </c>
      <c r="FVB1" t="s">
        <v>6524</v>
      </c>
      <c r="FVC1" t="s">
        <v>6525</v>
      </c>
      <c r="FVD1" t="s">
        <v>6526</v>
      </c>
      <c r="FVE1" t="s">
        <v>6527</v>
      </c>
      <c r="FVF1" t="s">
        <v>6528</v>
      </c>
      <c r="FVG1" t="s">
        <v>6529</v>
      </c>
      <c r="FVH1" t="s">
        <v>6530</v>
      </c>
      <c r="FVI1" t="s">
        <v>6531</v>
      </c>
      <c r="FVJ1" t="s">
        <v>6532</v>
      </c>
      <c r="FVK1" t="s">
        <v>6533</v>
      </c>
      <c r="FVL1" t="s">
        <v>6534</v>
      </c>
      <c r="FVM1" t="s">
        <v>6535</v>
      </c>
      <c r="FVN1" t="s">
        <v>6536</v>
      </c>
      <c r="FVO1" t="s">
        <v>6537</v>
      </c>
      <c r="FVP1" t="s">
        <v>6538</v>
      </c>
      <c r="FVQ1" t="s">
        <v>6539</v>
      </c>
      <c r="FVR1" t="s">
        <v>6540</v>
      </c>
      <c r="FVS1" t="s">
        <v>6541</v>
      </c>
      <c r="FVT1" t="s">
        <v>6542</v>
      </c>
      <c r="FVU1" t="s">
        <v>6543</v>
      </c>
      <c r="FVV1" t="s">
        <v>6544</v>
      </c>
      <c r="FVW1" t="s">
        <v>6545</v>
      </c>
      <c r="FVX1" t="s">
        <v>6546</v>
      </c>
      <c r="FVY1" t="s">
        <v>6547</v>
      </c>
      <c r="FVZ1" t="s">
        <v>6548</v>
      </c>
      <c r="FWA1" t="s">
        <v>6549</v>
      </c>
      <c r="FWB1" t="s">
        <v>6550</v>
      </c>
      <c r="FWC1" t="s">
        <v>6551</v>
      </c>
      <c r="FWD1" t="s">
        <v>6552</v>
      </c>
      <c r="FWE1" t="s">
        <v>6553</v>
      </c>
      <c r="FWF1" t="s">
        <v>6554</v>
      </c>
      <c r="FWG1" t="s">
        <v>6555</v>
      </c>
      <c r="FWH1" t="s">
        <v>6556</v>
      </c>
      <c r="FWI1" t="s">
        <v>6557</v>
      </c>
      <c r="FWJ1" t="s">
        <v>6558</v>
      </c>
      <c r="FWK1" t="s">
        <v>6559</v>
      </c>
      <c r="FWL1" t="s">
        <v>6560</v>
      </c>
      <c r="FWM1" t="s">
        <v>6561</v>
      </c>
      <c r="FWN1" t="s">
        <v>6562</v>
      </c>
      <c r="FWO1" t="s">
        <v>6563</v>
      </c>
      <c r="FWP1" t="s">
        <v>6564</v>
      </c>
      <c r="FWQ1" t="s">
        <v>6565</v>
      </c>
      <c r="FWR1" t="s">
        <v>6566</v>
      </c>
      <c r="FWS1" t="s">
        <v>6567</v>
      </c>
      <c r="FWT1" t="s">
        <v>6568</v>
      </c>
      <c r="FWU1" t="s">
        <v>6569</v>
      </c>
      <c r="FWV1" t="s">
        <v>6570</v>
      </c>
      <c r="FWW1" t="s">
        <v>6571</v>
      </c>
      <c r="FWX1" t="s">
        <v>6572</v>
      </c>
      <c r="FWY1" t="s">
        <v>6573</v>
      </c>
      <c r="FWZ1" t="s">
        <v>6574</v>
      </c>
      <c r="FXA1" t="s">
        <v>6575</v>
      </c>
      <c r="FXB1" t="s">
        <v>6576</v>
      </c>
      <c r="FXC1" t="s">
        <v>6577</v>
      </c>
      <c r="FXD1" t="s">
        <v>6578</v>
      </c>
      <c r="FXE1" t="s">
        <v>6579</v>
      </c>
      <c r="FXF1" t="s">
        <v>6580</v>
      </c>
      <c r="FXG1" t="s">
        <v>6581</v>
      </c>
      <c r="FXH1" t="s">
        <v>6582</v>
      </c>
      <c r="FXI1" t="s">
        <v>6583</v>
      </c>
      <c r="FXJ1" t="s">
        <v>6584</v>
      </c>
      <c r="FXK1" t="s">
        <v>6585</v>
      </c>
      <c r="FXL1" t="s">
        <v>6586</v>
      </c>
      <c r="FXM1" t="s">
        <v>6587</v>
      </c>
      <c r="FXN1" t="s">
        <v>6588</v>
      </c>
      <c r="FXO1" t="s">
        <v>6589</v>
      </c>
      <c r="FXP1" t="s">
        <v>6590</v>
      </c>
      <c r="FXQ1" t="s">
        <v>6591</v>
      </c>
      <c r="FXR1" t="s">
        <v>6592</v>
      </c>
      <c r="FXS1" t="s">
        <v>6593</v>
      </c>
      <c r="FXT1" t="s">
        <v>6594</v>
      </c>
      <c r="FXU1" t="s">
        <v>6595</v>
      </c>
      <c r="FXV1" t="s">
        <v>6596</v>
      </c>
      <c r="FXW1" t="s">
        <v>6597</v>
      </c>
      <c r="FXX1" t="s">
        <v>6598</v>
      </c>
      <c r="FXY1" t="s">
        <v>6599</v>
      </c>
      <c r="FXZ1" t="s">
        <v>6600</v>
      </c>
      <c r="FYA1" t="s">
        <v>6601</v>
      </c>
      <c r="FYB1" t="s">
        <v>6602</v>
      </c>
      <c r="FYC1" t="s">
        <v>6603</v>
      </c>
      <c r="FYD1" t="s">
        <v>6604</v>
      </c>
      <c r="FYE1" t="s">
        <v>6605</v>
      </c>
      <c r="FYF1" t="s">
        <v>6606</v>
      </c>
      <c r="FYG1" t="s">
        <v>6607</v>
      </c>
      <c r="FYH1" t="s">
        <v>6608</v>
      </c>
      <c r="FYI1" t="s">
        <v>6609</v>
      </c>
      <c r="FYJ1" t="s">
        <v>6610</v>
      </c>
      <c r="FYK1" t="s">
        <v>6611</v>
      </c>
      <c r="FYL1" t="s">
        <v>6612</v>
      </c>
      <c r="FYM1" t="s">
        <v>6613</v>
      </c>
      <c r="FYN1" t="s">
        <v>6614</v>
      </c>
      <c r="FYO1" t="s">
        <v>6615</v>
      </c>
      <c r="FYP1" t="s">
        <v>6616</v>
      </c>
      <c r="FYQ1" t="s">
        <v>6617</v>
      </c>
      <c r="FYR1" t="s">
        <v>6618</v>
      </c>
      <c r="FYS1" t="s">
        <v>6619</v>
      </c>
      <c r="FYT1" t="s">
        <v>6620</v>
      </c>
      <c r="FYU1" t="s">
        <v>6621</v>
      </c>
      <c r="FYV1" t="s">
        <v>6622</v>
      </c>
      <c r="FYW1" t="s">
        <v>6623</v>
      </c>
      <c r="FYX1" t="s">
        <v>6624</v>
      </c>
      <c r="FYY1" t="s">
        <v>6625</v>
      </c>
      <c r="FYZ1" t="s">
        <v>6626</v>
      </c>
      <c r="FZA1" t="s">
        <v>6627</v>
      </c>
      <c r="FZB1" t="s">
        <v>6628</v>
      </c>
      <c r="FZC1" t="s">
        <v>6629</v>
      </c>
      <c r="FZD1" t="s">
        <v>6630</v>
      </c>
      <c r="FZE1" t="s">
        <v>6631</v>
      </c>
      <c r="FZF1" t="s">
        <v>6632</v>
      </c>
      <c r="FZG1" t="s">
        <v>6633</v>
      </c>
      <c r="FZH1" t="s">
        <v>6634</v>
      </c>
      <c r="FZI1" t="s">
        <v>6635</v>
      </c>
      <c r="FZJ1" t="s">
        <v>6636</v>
      </c>
      <c r="FZK1" t="s">
        <v>6637</v>
      </c>
      <c r="FZL1" t="s">
        <v>6638</v>
      </c>
      <c r="FZM1" t="s">
        <v>6639</v>
      </c>
      <c r="FZN1" t="s">
        <v>6640</v>
      </c>
      <c r="FZO1" t="s">
        <v>6641</v>
      </c>
      <c r="FZP1" t="s">
        <v>6642</v>
      </c>
      <c r="FZQ1" t="s">
        <v>6643</v>
      </c>
      <c r="FZR1" t="s">
        <v>6644</v>
      </c>
      <c r="FZS1" t="s">
        <v>6645</v>
      </c>
      <c r="FZT1" t="s">
        <v>6646</v>
      </c>
      <c r="FZU1" t="s">
        <v>6647</v>
      </c>
      <c r="FZV1" t="s">
        <v>6648</v>
      </c>
      <c r="FZW1" t="s">
        <v>6649</v>
      </c>
      <c r="FZX1" t="s">
        <v>6650</v>
      </c>
      <c r="FZY1" t="s">
        <v>6651</v>
      </c>
      <c r="FZZ1" t="s">
        <v>6652</v>
      </c>
      <c r="GAA1" t="s">
        <v>6653</v>
      </c>
      <c r="GAB1" t="s">
        <v>6654</v>
      </c>
      <c r="GAC1" t="s">
        <v>6655</v>
      </c>
      <c r="GAD1" t="s">
        <v>6656</v>
      </c>
      <c r="GAE1" t="s">
        <v>6657</v>
      </c>
      <c r="GAF1" t="s">
        <v>6658</v>
      </c>
      <c r="GAG1" t="s">
        <v>6659</v>
      </c>
      <c r="GAH1" t="s">
        <v>6660</v>
      </c>
      <c r="GAI1" t="s">
        <v>6661</v>
      </c>
      <c r="GAJ1" t="s">
        <v>6662</v>
      </c>
      <c r="GAK1" t="s">
        <v>6663</v>
      </c>
      <c r="GAL1" t="s">
        <v>6664</v>
      </c>
      <c r="GAM1" t="s">
        <v>6665</v>
      </c>
      <c r="GAN1" t="s">
        <v>6666</v>
      </c>
      <c r="GAO1" t="s">
        <v>6667</v>
      </c>
      <c r="GAP1" t="s">
        <v>6668</v>
      </c>
      <c r="GAQ1" t="s">
        <v>6669</v>
      </c>
      <c r="GAR1" t="s">
        <v>6670</v>
      </c>
      <c r="GAS1" t="s">
        <v>6671</v>
      </c>
      <c r="GAT1" t="s">
        <v>6672</v>
      </c>
      <c r="GAU1" t="s">
        <v>6673</v>
      </c>
      <c r="GAV1" t="s">
        <v>6674</v>
      </c>
      <c r="GAW1" t="s">
        <v>6675</v>
      </c>
      <c r="GAX1" t="s">
        <v>6676</v>
      </c>
      <c r="GAY1" t="s">
        <v>6677</v>
      </c>
      <c r="GAZ1" t="s">
        <v>6678</v>
      </c>
      <c r="GBA1" t="s">
        <v>6679</v>
      </c>
      <c r="GBB1" t="s">
        <v>6680</v>
      </c>
      <c r="GBC1" t="s">
        <v>6681</v>
      </c>
      <c r="GBD1" t="s">
        <v>6682</v>
      </c>
      <c r="GBE1" t="s">
        <v>6683</v>
      </c>
      <c r="GBF1" t="s">
        <v>6684</v>
      </c>
      <c r="GBG1" t="s">
        <v>6685</v>
      </c>
      <c r="GBH1" t="s">
        <v>6686</v>
      </c>
      <c r="GBI1" t="s">
        <v>6687</v>
      </c>
      <c r="GBJ1" t="s">
        <v>6688</v>
      </c>
      <c r="GBK1" t="s">
        <v>6689</v>
      </c>
      <c r="GBL1" t="s">
        <v>6690</v>
      </c>
      <c r="GBM1" t="s">
        <v>6691</v>
      </c>
      <c r="GBN1" t="s">
        <v>6692</v>
      </c>
      <c r="GBO1" t="s">
        <v>6693</v>
      </c>
      <c r="GBP1" t="s">
        <v>6694</v>
      </c>
      <c r="GBQ1" t="s">
        <v>6695</v>
      </c>
      <c r="GBR1" t="s">
        <v>6696</v>
      </c>
      <c r="GBS1" t="s">
        <v>6697</v>
      </c>
      <c r="GBT1" t="s">
        <v>6698</v>
      </c>
      <c r="GBU1" t="s">
        <v>6699</v>
      </c>
      <c r="GBV1" t="s">
        <v>6700</v>
      </c>
      <c r="GBW1" t="s">
        <v>6701</v>
      </c>
      <c r="GBX1" t="s">
        <v>6702</v>
      </c>
      <c r="GBY1" t="s">
        <v>6703</v>
      </c>
      <c r="GBZ1" t="s">
        <v>6704</v>
      </c>
      <c r="GCA1" t="s">
        <v>6705</v>
      </c>
      <c r="GCB1" t="s">
        <v>6706</v>
      </c>
      <c r="GCC1" t="s">
        <v>6707</v>
      </c>
      <c r="GCD1" t="s">
        <v>6708</v>
      </c>
      <c r="GCE1" t="s">
        <v>6709</v>
      </c>
      <c r="GCF1" t="s">
        <v>6710</v>
      </c>
      <c r="GCG1" t="s">
        <v>6711</v>
      </c>
      <c r="GCH1" t="s">
        <v>6712</v>
      </c>
      <c r="GCI1" t="s">
        <v>6713</v>
      </c>
      <c r="GCJ1" t="s">
        <v>6714</v>
      </c>
      <c r="GCK1" t="s">
        <v>6715</v>
      </c>
      <c r="GCL1" t="s">
        <v>6716</v>
      </c>
      <c r="GCM1" t="s">
        <v>6717</v>
      </c>
      <c r="GCN1" t="s">
        <v>6718</v>
      </c>
      <c r="GCO1" t="s">
        <v>6719</v>
      </c>
      <c r="GCP1" t="s">
        <v>6720</v>
      </c>
      <c r="GCQ1" t="s">
        <v>6721</v>
      </c>
      <c r="GCR1" t="s">
        <v>6722</v>
      </c>
      <c r="GCS1" t="s">
        <v>6723</v>
      </c>
      <c r="GCT1" t="s">
        <v>6724</v>
      </c>
      <c r="GCU1" t="s">
        <v>6725</v>
      </c>
      <c r="GCV1" t="s">
        <v>6726</v>
      </c>
      <c r="GCW1" t="s">
        <v>6727</v>
      </c>
      <c r="GCX1" t="s">
        <v>6728</v>
      </c>
      <c r="GCY1" t="s">
        <v>6729</v>
      </c>
      <c r="GCZ1" t="s">
        <v>6730</v>
      </c>
      <c r="GDA1" t="s">
        <v>6731</v>
      </c>
      <c r="GDB1" t="s">
        <v>6732</v>
      </c>
      <c r="GDC1" t="s">
        <v>6733</v>
      </c>
      <c r="GDD1" t="s">
        <v>6734</v>
      </c>
      <c r="GDE1" t="s">
        <v>6735</v>
      </c>
      <c r="GDF1" t="s">
        <v>6736</v>
      </c>
      <c r="GDG1" t="s">
        <v>6737</v>
      </c>
      <c r="GDH1" t="s">
        <v>6738</v>
      </c>
      <c r="GDI1" t="s">
        <v>6739</v>
      </c>
      <c r="GDJ1" t="s">
        <v>6740</v>
      </c>
      <c r="GDK1" t="s">
        <v>6741</v>
      </c>
      <c r="GDL1" t="s">
        <v>6742</v>
      </c>
      <c r="GDM1" t="s">
        <v>6743</v>
      </c>
      <c r="GDN1" t="s">
        <v>6744</v>
      </c>
      <c r="GDO1" t="s">
        <v>6745</v>
      </c>
      <c r="GDP1" t="s">
        <v>6746</v>
      </c>
      <c r="GDQ1" t="s">
        <v>6747</v>
      </c>
      <c r="GDR1" t="s">
        <v>6748</v>
      </c>
      <c r="GDS1" t="s">
        <v>6749</v>
      </c>
      <c r="GDT1" t="s">
        <v>6750</v>
      </c>
      <c r="GDU1" t="s">
        <v>6751</v>
      </c>
      <c r="GDV1" t="s">
        <v>6752</v>
      </c>
      <c r="GDW1" t="s">
        <v>6753</v>
      </c>
      <c r="GDX1" t="s">
        <v>6754</v>
      </c>
      <c r="GDY1" t="s">
        <v>6755</v>
      </c>
      <c r="GDZ1" t="s">
        <v>6756</v>
      </c>
      <c r="GEA1" t="s">
        <v>6757</v>
      </c>
      <c r="GEB1" t="s">
        <v>6758</v>
      </c>
      <c r="GEC1" t="s">
        <v>6759</v>
      </c>
      <c r="GED1" t="s">
        <v>6760</v>
      </c>
      <c r="GEE1" t="s">
        <v>6761</v>
      </c>
      <c r="GEF1" t="s">
        <v>6762</v>
      </c>
      <c r="GEG1" t="s">
        <v>6763</v>
      </c>
      <c r="GEH1" t="s">
        <v>6764</v>
      </c>
      <c r="GEI1" t="s">
        <v>6765</v>
      </c>
      <c r="GEJ1" t="s">
        <v>6766</v>
      </c>
      <c r="GEK1" t="s">
        <v>6767</v>
      </c>
      <c r="GEL1" t="s">
        <v>6768</v>
      </c>
      <c r="GEM1" t="s">
        <v>6769</v>
      </c>
      <c r="GEN1" t="s">
        <v>6770</v>
      </c>
      <c r="GEO1" t="s">
        <v>6771</v>
      </c>
      <c r="GEP1" t="s">
        <v>6772</v>
      </c>
      <c r="GEQ1" t="s">
        <v>6773</v>
      </c>
      <c r="GER1" t="s">
        <v>6774</v>
      </c>
      <c r="GES1" t="s">
        <v>6775</v>
      </c>
      <c r="GET1" t="s">
        <v>6776</v>
      </c>
      <c r="GEU1" t="s">
        <v>6777</v>
      </c>
      <c r="GEV1" t="s">
        <v>6778</v>
      </c>
      <c r="GEW1" t="s">
        <v>6779</v>
      </c>
      <c r="GEX1" t="s">
        <v>6780</v>
      </c>
      <c r="GEY1" t="s">
        <v>6781</v>
      </c>
      <c r="GEZ1" t="s">
        <v>6782</v>
      </c>
      <c r="GFA1" t="s">
        <v>6783</v>
      </c>
      <c r="GFB1" t="s">
        <v>6784</v>
      </c>
      <c r="GFC1" t="s">
        <v>6785</v>
      </c>
      <c r="GFD1" t="s">
        <v>6786</v>
      </c>
      <c r="GFE1" t="s">
        <v>6787</v>
      </c>
      <c r="GFF1" t="s">
        <v>6788</v>
      </c>
      <c r="GFG1" t="s">
        <v>6789</v>
      </c>
      <c r="GFH1" t="s">
        <v>6790</v>
      </c>
      <c r="GFI1" t="s">
        <v>6791</v>
      </c>
      <c r="GFJ1" t="s">
        <v>6792</v>
      </c>
      <c r="GFK1" t="s">
        <v>6793</v>
      </c>
      <c r="GFL1" t="s">
        <v>6794</v>
      </c>
      <c r="GFM1" t="s">
        <v>6795</v>
      </c>
      <c r="GFN1" t="s">
        <v>6796</v>
      </c>
      <c r="GFO1" t="s">
        <v>6797</v>
      </c>
      <c r="GFP1" t="s">
        <v>6798</v>
      </c>
      <c r="GFQ1" t="s">
        <v>6799</v>
      </c>
      <c r="GFR1" t="s">
        <v>6800</v>
      </c>
      <c r="GFS1" t="s">
        <v>6801</v>
      </c>
      <c r="GFT1" t="s">
        <v>6802</v>
      </c>
      <c r="GFU1" t="s">
        <v>6803</v>
      </c>
      <c r="GFV1" t="s">
        <v>6804</v>
      </c>
      <c r="GFW1" t="s">
        <v>6805</v>
      </c>
      <c r="GFX1" t="s">
        <v>6806</v>
      </c>
      <c r="GFY1" t="s">
        <v>6807</v>
      </c>
      <c r="GFZ1" t="s">
        <v>6808</v>
      </c>
      <c r="GGA1" t="s">
        <v>6809</v>
      </c>
      <c r="GGB1" t="s">
        <v>6810</v>
      </c>
      <c r="GGC1" t="s">
        <v>6811</v>
      </c>
      <c r="GGD1" t="s">
        <v>6812</v>
      </c>
      <c r="GGE1" t="s">
        <v>6813</v>
      </c>
      <c r="GGF1" t="s">
        <v>6814</v>
      </c>
      <c r="GGG1" t="s">
        <v>6815</v>
      </c>
      <c r="GGH1" t="s">
        <v>6816</v>
      </c>
      <c r="GGI1" t="s">
        <v>6817</v>
      </c>
      <c r="GGJ1" t="s">
        <v>6818</v>
      </c>
      <c r="GGK1" t="s">
        <v>6819</v>
      </c>
      <c r="GGL1" t="s">
        <v>6820</v>
      </c>
      <c r="GGM1" t="s">
        <v>6821</v>
      </c>
      <c r="GGN1" t="s">
        <v>6822</v>
      </c>
      <c r="GGO1" t="s">
        <v>6823</v>
      </c>
      <c r="GGP1" t="s">
        <v>6824</v>
      </c>
      <c r="GGQ1" t="s">
        <v>6825</v>
      </c>
      <c r="GGR1" t="s">
        <v>6826</v>
      </c>
      <c r="GGS1" t="s">
        <v>6827</v>
      </c>
      <c r="GGT1" t="s">
        <v>6828</v>
      </c>
      <c r="GGU1" t="s">
        <v>6829</v>
      </c>
      <c r="GGV1" t="s">
        <v>6830</v>
      </c>
      <c r="GGW1" t="s">
        <v>6831</v>
      </c>
      <c r="GGX1" t="s">
        <v>6832</v>
      </c>
      <c r="GGY1" t="s">
        <v>6833</v>
      </c>
      <c r="GGZ1" t="s">
        <v>6834</v>
      </c>
      <c r="GHA1" t="s">
        <v>6835</v>
      </c>
      <c r="GHB1" t="s">
        <v>6836</v>
      </c>
      <c r="GHC1" t="s">
        <v>6837</v>
      </c>
      <c r="GHD1" t="s">
        <v>6838</v>
      </c>
      <c r="GHE1" t="s">
        <v>6839</v>
      </c>
      <c r="GHF1" t="s">
        <v>6840</v>
      </c>
      <c r="GHG1" t="s">
        <v>6841</v>
      </c>
      <c r="GHH1" t="s">
        <v>6842</v>
      </c>
      <c r="GHI1" t="s">
        <v>6843</v>
      </c>
      <c r="GHJ1" t="s">
        <v>6844</v>
      </c>
      <c r="GHK1" t="s">
        <v>6845</v>
      </c>
      <c r="GHL1" t="s">
        <v>6846</v>
      </c>
      <c r="GHM1" t="s">
        <v>6847</v>
      </c>
      <c r="GHN1" t="s">
        <v>6848</v>
      </c>
      <c r="GHO1" t="s">
        <v>6849</v>
      </c>
      <c r="GHP1" t="s">
        <v>6850</v>
      </c>
      <c r="GHQ1" t="s">
        <v>6851</v>
      </c>
      <c r="GHR1" t="s">
        <v>6852</v>
      </c>
      <c r="GHS1" t="s">
        <v>6853</v>
      </c>
      <c r="GHT1" t="s">
        <v>6854</v>
      </c>
      <c r="GHU1" t="s">
        <v>6855</v>
      </c>
      <c r="GHV1" t="s">
        <v>6856</v>
      </c>
      <c r="GHW1" t="s">
        <v>6857</v>
      </c>
      <c r="GHX1" t="s">
        <v>6858</v>
      </c>
      <c r="GHY1" t="s">
        <v>6859</v>
      </c>
      <c r="GHZ1" t="s">
        <v>6860</v>
      </c>
      <c r="GIA1" t="s">
        <v>6861</v>
      </c>
      <c r="GIB1" t="s">
        <v>6862</v>
      </c>
      <c r="GIC1" t="s">
        <v>6863</v>
      </c>
      <c r="GID1" t="s">
        <v>6864</v>
      </c>
      <c r="GIE1" t="s">
        <v>6865</v>
      </c>
      <c r="GIF1" t="s">
        <v>6866</v>
      </c>
      <c r="GIG1" t="s">
        <v>6867</v>
      </c>
      <c r="GIH1" t="s">
        <v>6868</v>
      </c>
      <c r="GII1" t="s">
        <v>6869</v>
      </c>
      <c r="GIJ1" t="s">
        <v>6870</v>
      </c>
      <c r="GIK1" t="s">
        <v>6871</v>
      </c>
      <c r="GIL1" t="s">
        <v>6872</v>
      </c>
      <c r="GIM1" t="s">
        <v>6873</v>
      </c>
      <c r="GIN1" t="s">
        <v>6874</v>
      </c>
      <c r="GIO1" t="s">
        <v>6875</v>
      </c>
      <c r="GIP1" t="s">
        <v>6876</v>
      </c>
      <c r="GIQ1" t="s">
        <v>6877</v>
      </c>
      <c r="GIR1" t="s">
        <v>6878</v>
      </c>
      <c r="GIS1" t="s">
        <v>6879</v>
      </c>
      <c r="GIT1" t="s">
        <v>6880</v>
      </c>
      <c r="GIU1" t="s">
        <v>6881</v>
      </c>
      <c r="GIV1" t="s">
        <v>6882</v>
      </c>
      <c r="GIW1" t="s">
        <v>6883</v>
      </c>
      <c r="GIX1" t="s">
        <v>6884</v>
      </c>
      <c r="GIY1" t="s">
        <v>6885</v>
      </c>
      <c r="GIZ1" t="s">
        <v>6886</v>
      </c>
      <c r="GJA1" t="s">
        <v>6887</v>
      </c>
      <c r="GJB1" t="s">
        <v>6888</v>
      </c>
      <c r="GJC1" t="s">
        <v>6889</v>
      </c>
      <c r="GJD1" t="s">
        <v>6890</v>
      </c>
      <c r="GJE1" t="s">
        <v>6891</v>
      </c>
      <c r="GJF1" t="s">
        <v>6892</v>
      </c>
      <c r="GJG1" t="s">
        <v>6893</v>
      </c>
      <c r="GJH1" t="s">
        <v>6894</v>
      </c>
      <c r="GJI1" t="s">
        <v>6895</v>
      </c>
      <c r="GJJ1" t="s">
        <v>6896</v>
      </c>
      <c r="GJK1" t="s">
        <v>6897</v>
      </c>
      <c r="GJL1" t="s">
        <v>6898</v>
      </c>
      <c r="GJM1" t="s">
        <v>6899</v>
      </c>
      <c r="GJN1" t="s">
        <v>6900</v>
      </c>
      <c r="GJO1" t="s">
        <v>6901</v>
      </c>
      <c r="GJP1" t="s">
        <v>6902</v>
      </c>
      <c r="GJQ1" t="s">
        <v>6903</v>
      </c>
      <c r="GJR1" t="s">
        <v>6904</v>
      </c>
      <c r="GJS1" t="s">
        <v>6905</v>
      </c>
      <c r="GJT1" t="s">
        <v>6906</v>
      </c>
      <c r="GJU1" t="s">
        <v>6907</v>
      </c>
      <c r="GJV1" t="s">
        <v>6908</v>
      </c>
      <c r="GJW1" t="s">
        <v>6909</v>
      </c>
      <c r="GJX1" t="s">
        <v>6910</v>
      </c>
      <c r="GJY1" t="s">
        <v>6911</v>
      </c>
      <c r="GJZ1" t="s">
        <v>6912</v>
      </c>
      <c r="GKA1" t="s">
        <v>6913</v>
      </c>
      <c r="GKB1" t="s">
        <v>6914</v>
      </c>
      <c r="GKC1" t="s">
        <v>6915</v>
      </c>
      <c r="GKD1" t="s">
        <v>6916</v>
      </c>
      <c r="GKE1" t="s">
        <v>6917</v>
      </c>
      <c r="GKF1" t="s">
        <v>6918</v>
      </c>
      <c r="GKG1" t="s">
        <v>6919</v>
      </c>
      <c r="GKH1" t="s">
        <v>6920</v>
      </c>
      <c r="GKI1" t="s">
        <v>6921</v>
      </c>
      <c r="GKJ1" t="s">
        <v>6922</v>
      </c>
      <c r="GKK1" t="s">
        <v>6923</v>
      </c>
      <c r="GKL1" t="s">
        <v>6924</v>
      </c>
      <c r="GKM1" t="s">
        <v>6925</v>
      </c>
      <c r="GKN1" t="s">
        <v>6926</v>
      </c>
      <c r="GKO1" t="s">
        <v>6927</v>
      </c>
      <c r="GKP1" t="s">
        <v>6928</v>
      </c>
      <c r="GKQ1" t="s">
        <v>6929</v>
      </c>
      <c r="GKR1" t="s">
        <v>6930</v>
      </c>
      <c r="GKS1" t="s">
        <v>6931</v>
      </c>
      <c r="GKT1" t="s">
        <v>6932</v>
      </c>
      <c r="GKU1" t="s">
        <v>6933</v>
      </c>
      <c r="GKV1" t="s">
        <v>6934</v>
      </c>
      <c r="GKW1" t="s">
        <v>6935</v>
      </c>
      <c r="GKX1" t="s">
        <v>6936</v>
      </c>
      <c r="GKY1" t="s">
        <v>6937</v>
      </c>
      <c r="GKZ1" t="s">
        <v>6938</v>
      </c>
      <c r="GLA1" t="s">
        <v>6939</v>
      </c>
      <c r="GLB1" t="s">
        <v>6940</v>
      </c>
      <c r="GLC1" t="s">
        <v>6941</v>
      </c>
      <c r="GLD1" t="s">
        <v>6942</v>
      </c>
      <c r="GLE1" t="s">
        <v>6943</v>
      </c>
      <c r="GLF1" t="s">
        <v>6944</v>
      </c>
      <c r="GLG1" t="s">
        <v>6945</v>
      </c>
      <c r="GLH1" t="s">
        <v>6946</v>
      </c>
      <c r="GLI1" t="s">
        <v>6947</v>
      </c>
      <c r="GLJ1" t="s">
        <v>6948</v>
      </c>
      <c r="GLK1" t="s">
        <v>6949</v>
      </c>
      <c r="GLL1" t="s">
        <v>6950</v>
      </c>
      <c r="GLM1" t="s">
        <v>6951</v>
      </c>
      <c r="GLN1" t="s">
        <v>6952</v>
      </c>
      <c r="GLO1" t="s">
        <v>6953</v>
      </c>
      <c r="GLP1" t="s">
        <v>6954</v>
      </c>
      <c r="GLQ1" t="s">
        <v>6955</v>
      </c>
      <c r="GLR1" t="s">
        <v>6956</v>
      </c>
      <c r="GLS1" t="s">
        <v>6957</v>
      </c>
      <c r="GLT1" t="s">
        <v>6958</v>
      </c>
      <c r="GLU1" t="s">
        <v>6959</v>
      </c>
      <c r="GLV1" t="s">
        <v>6960</v>
      </c>
      <c r="GLW1" t="s">
        <v>6961</v>
      </c>
      <c r="GLX1" t="s">
        <v>6962</v>
      </c>
      <c r="GLY1" t="s">
        <v>6963</v>
      </c>
      <c r="GLZ1" t="s">
        <v>6964</v>
      </c>
      <c r="GMA1" t="s">
        <v>6965</v>
      </c>
      <c r="GMB1" t="s">
        <v>6966</v>
      </c>
      <c r="GMC1" t="s">
        <v>6967</v>
      </c>
      <c r="GMD1" t="s">
        <v>6968</v>
      </c>
      <c r="GME1" t="s">
        <v>6969</v>
      </c>
      <c r="GMF1" t="s">
        <v>6970</v>
      </c>
      <c r="GMG1" t="s">
        <v>6971</v>
      </c>
      <c r="GMH1" t="s">
        <v>6972</v>
      </c>
      <c r="GMI1" t="s">
        <v>6973</v>
      </c>
      <c r="GMJ1" t="s">
        <v>6974</v>
      </c>
      <c r="GMK1" t="s">
        <v>6975</v>
      </c>
      <c r="GML1" t="s">
        <v>6976</v>
      </c>
      <c r="GMM1" t="s">
        <v>6977</v>
      </c>
      <c r="GMN1" t="s">
        <v>6978</v>
      </c>
      <c r="GMO1" t="s">
        <v>6979</v>
      </c>
      <c r="GMP1" t="s">
        <v>6980</v>
      </c>
      <c r="GMQ1" t="s">
        <v>6981</v>
      </c>
      <c r="GMR1" t="s">
        <v>6982</v>
      </c>
      <c r="GMS1" t="s">
        <v>6983</v>
      </c>
      <c r="GMT1" t="s">
        <v>6984</v>
      </c>
      <c r="GMU1" t="s">
        <v>6985</v>
      </c>
      <c r="GMV1" t="s">
        <v>6986</v>
      </c>
      <c r="GMW1" t="s">
        <v>6987</v>
      </c>
      <c r="GMX1" t="s">
        <v>6988</v>
      </c>
      <c r="GMY1" t="s">
        <v>6989</v>
      </c>
      <c r="GMZ1" t="s">
        <v>6990</v>
      </c>
      <c r="GNA1" t="s">
        <v>6991</v>
      </c>
      <c r="GNB1" t="s">
        <v>6992</v>
      </c>
      <c r="GNC1" t="s">
        <v>6993</v>
      </c>
      <c r="GND1" t="s">
        <v>6994</v>
      </c>
      <c r="GNE1" t="s">
        <v>6995</v>
      </c>
      <c r="GNF1" t="s">
        <v>6996</v>
      </c>
      <c r="GNG1" t="s">
        <v>6997</v>
      </c>
      <c r="GNH1" t="s">
        <v>6998</v>
      </c>
      <c r="GNI1" t="s">
        <v>6999</v>
      </c>
      <c r="GNJ1" t="s">
        <v>7000</v>
      </c>
      <c r="GNK1" t="s">
        <v>7001</v>
      </c>
      <c r="GNL1" t="s">
        <v>7002</v>
      </c>
      <c r="GNM1" t="s">
        <v>7003</v>
      </c>
      <c r="GNN1" t="s">
        <v>7004</v>
      </c>
      <c r="GNO1" t="s">
        <v>7005</v>
      </c>
      <c r="GNP1" t="s">
        <v>7006</v>
      </c>
      <c r="GNQ1" t="s">
        <v>7007</v>
      </c>
      <c r="GNR1" t="s">
        <v>7008</v>
      </c>
      <c r="GNS1" t="s">
        <v>7009</v>
      </c>
      <c r="GNT1" t="s">
        <v>7010</v>
      </c>
      <c r="GNU1" t="s">
        <v>7011</v>
      </c>
      <c r="GNV1" t="s">
        <v>7012</v>
      </c>
      <c r="GNW1" t="s">
        <v>7013</v>
      </c>
      <c r="GNX1" t="s">
        <v>7014</v>
      </c>
      <c r="GNY1" t="s">
        <v>7015</v>
      </c>
      <c r="GNZ1" t="s">
        <v>7016</v>
      </c>
      <c r="GOA1" t="s">
        <v>7017</v>
      </c>
      <c r="GOB1" t="s">
        <v>7018</v>
      </c>
      <c r="GOC1" t="s">
        <v>7019</v>
      </c>
      <c r="GOD1" t="s">
        <v>7020</v>
      </c>
      <c r="GOE1" t="s">
        <v>7021</v>
      </c>
      <c r="GOF1" t="s">
        <v>7022</v>
      </c>
      <c r="GOG1" t="s">
        <v>7023</v>
      </c>
      <c r="GOH1" t="s">
        <v>7024</v>
      </c>
      <c r="GOI1" t="s">
        <v>7025</v>
      </c>
      <c r="GOJ1" t="s">
        <v>7026</v>
      </c>
      <c r="GOK1" t="s">
        <v>7027</v>
      </c>
      <c r="GOL1" t="s">
        <v>7028</v>
      </c>
      <c r="GOM1" t="s">
        <v>7029</v>
      </c>
      <c r="GON1" t="s">
        <v>7030</v>
      </c>
      <c r="GOO1" t="s">
        <v>7031</v>
      </c>
      <c r="GOP1" t="s">
        <v>7032</v>
      </c>
      <c r="GOQ1" t="s">
        <v>7033</v>
      </c>
      <c r="GOR1" t="s">
        <v>7034</v>
      </c>
      <c r="GOS1" t="s">
        <v>7035</v>
      </c>
      <c r="GOT1" t="s">
        <v>7036</v>
      </c>
      <c r="GOU1" t="s">
        <v>7037</v>
      </c>
      <c r="GOV1" t="s">
        <v>7038</v>
      </c>
      <c r="GOW1" t="s">
        <v>7039</v>
      </c>
      <c r="GOX1" t="s">
        <v>7040</v>
      </c>
      <c r="GOY1" t="s">
        <v>7041</v>
      </c>
      <c r="GOZ1" t="s">
        <v>7042</v>
      </c>
      <c r="GPA1" t="s">
        <v>7043</v>
      </c>
      <c r="GPB1" t="s">
        <v>7044</v>
      </c>
      <c r="GPC1" t="s">
        <v>7045</v>
      </c>
      <c r="GPD1" t="s">
        <v>7046</v>
      </c>
      <c r="GPE1" t="s">
        <v>7047</v>
      </c>
      <c r="GPF1" t="s">
        <v>7048</v>
      </c>
      <c r="GPG1" t="s">
        <v>7049</v>
      </c>
      <c r="GPH1" t="s">
        <v>7050</v>
      </c>
      <c r="GPI1" t="s">
        <v>7051</v>
      </c>
      <c r="GPJ1" t="s">
        <v>7052</v>
      </c>
      <c r="GPK1" t="s">
        <v>7053</v>
      </c>
      <c r="GPL1" t="s">
        <v>7054</v>
      </c>
      <c r="GPM1" t="s">
        <v>7055</v>
      </c>
      <c r="GPN1" t="s">
        <v>7056</v>
      </c>
      <c r="GPO1" t="s">
        <v>7057</v>
      </c>
      <c r="GPP1" t="s">
        <v>7058</v>
      </c>
      <c r="GPQ1" t="s">
        <v>7059</v>
      </c>
      <c r="GPR1" t="s">
        <v>7060</v>
      </c>
      <c r="GPS1" t="s">
        <v>7061</v>
      </c>
      <c r="GPT1" t="s">
        <v>7062</v>
      </c>
      <c r="GPU1" t="s">
        <v>7063</v>
      </c>
      <c r="GPV1" t="s">
        <v>7064</v>
      </c>
      <c r="GPW1" t="s">
        <v>7065</v>
      </c>
      <c r="GPX1" t="s">
        <v>7066</v>
      </c>
      <c r="GPY1" t="s">
        <v>7067</v>
      </c>
      <c r="GPZ1" t="s">
        <v>7068</v>
      </c>
      <c r="GQA1" t="s">
        <v>7069</v>
      </c>
      <c r="GQB1" t="s">
        <v>7070</v>
      </c>
      <c r="GQC1" t="s">
        <v>7071</v>
      </c>
      <c r="GQD1" t="s">
        <v>7072</v>
      </c>
      <c r="GQE1" t="s">
        <v>7073</v>
      </c>
      <c r="GQF1" t="s">
        <v>7074</v>
      </c>
      <c r="GQG1" t="s">
        <v>7075</v>
      </c>
      <c r="GQH1" t="s">
        <v>7076</v>
      </c>
      <c r="GQI1" t="s">
        <v>7077</v>
      </c>
      <c r="GQJ1" t="s">
        <v>7078</v>
      </c>
      <c r="GQK1" t="s">
        <v>7079</v>
      </c>
      <c r="GQL1" t="s">
        <v>7080</v>
      </c>
      <c r="GQM1" t="s">
        <v>7081</v>
      </c>
      <c r="GQN1" t="s">
        <v>7082</v>
      </c>
      <c r="GQO1" t="s">
        <v>7083</v>
      </c>
      <c r="GQP1" t="s">
        <v>7084</v>
      </c>
      <c r="GQQ1" t="s">
        <v>7085</v>
      </c>
      <c r="GQR1" t="s">
        <v>7086</v>
      </c>
      <c r="GQS1" t="s">
        <v>7087</v>
      </c>
      <c r="GQT1" t="s">
        <v>7088</v>
      </c>
      <c r="GQU1" t="s">
        <v>7089</v>
      </c>
      <c r="GQV1" t="s">
        <v>7090</v>
      </c>
      <c r="GQW1" t="s">
        <v>7091</v>
      </c>
      <c r="GQX1" t="s">
        <v>7092</v>
      </c>
      <c r="GQY1" t="s">
        <v>7093</v>
      </c>
      <c r="GQZ1" t="s">
        <v>7094</v>
      </c>
      <c r="GRA1" t="s">
        <v>7095</v>
      </c>
      <c r="GRB1" t="s">
        <v>7096</v>
      </c>
      <c r="GRC1" t="s">
        <v>7097</v>
      </c>
      <c r="GRD1" t="s">
        <v>7098</v>
      </c>
      <c r="GRE1" t="s">
        <v>7099</v>
      </c>
      <c r="GRF1" t="s">
        <v>7100</v>
      </c>
      <c r="GRG1" t="s">
        <v>7101</v>
      </c>
      <c r="GRH1" t="s">
        <v>7102</v>
      </c>
      <c r="GRI1" t="s">
        <v>7103</v>
      </c>
      <c r="GRJ1" t="s">
        <v>7104</v>
      </c>
      <c r="GRK1" t="s">
        <v>7105</v>
      </c>
      <c r="GRL1" t="s">
        <v>7106</v>
      </c>
      <c r="GRM1" t="s">
        <v>7107</v>
      </c>
      <c r="GRN1" t="s">
        <v>7108</v>
      </c>
      <c r="GRO1" t="s">
        <v>7109</v>
      </c>
      <c r="GRP1" t="s">
        <v>7110</v>
      </c>
      <c r="GRQ1" t="s">
        <v>7111</v>
      </c>
      <c r="GRR1" t="s">
        <v>7112</v>
      </c>
      <c r="GRS1" t="s">
        <v>7113</v>
      </c>
      <c r="GRT1" t="s">
        <v>7114</v>
      </c>
      <c r="GRU1" t="s">
        <v>7115</v>
      </c>
      <c r="GRV1" t="s">
        <v>7116</v>
      </c>
      <c r="GRW1" t="s">
        <v>7117</v>
      </c>
      <c r="GRX1" t="s">
        <v>7118</v>
      </c>
      <c r="GRY1" t="s">
        <v>7119</v>
      </c>
      <c r="GRZ1" t="s">
        <v>7120</v>
      </c>
      <c r="GSA1" t="s">
        <v>7121</v>
      </c>
      <c r="GSB1" t="s">
        <v>7122</v>
      </c>
      <c r="GSC1" t="s">
        <v>7123</v>
      </c>
      <c r="GSD1" t="s">
        <v>7124</v>
      </c>
      <c r="GSE1" t="s">
        <v>7125</v>
      </c>
      <c r="GSF1" t="s">
        <v>7126</v>
      </c>
      <c r="GSG1" t="s">
        <v>7127</v>
      </c>
      <c r="GSH1" t="s">
        <v>7128</v>
      </c>
      <c r="GSI1" t="s">
        <v>7129</v>
      </c>
      <c r="GSJ1" t="s">
        <v>7130</v>
      </c>
      <c r="GSK1" t="s">
        <v>7131</v>
      </c>
      <c r="GSL1" t="s">
        <v>7132</v>
      </c>
      <c r="GSM1" t="s">
        <v>7133</v>
      </c>
      <c r="GSN1" t="s">
        <v>7134</v>
      </c>
      <c r="GSO1" t="s">
        <v>7135</v>
      </c>
      <c r="GSP1" t="s">
        <v>7136</v>
      </c>
      <c r="GSQ1" t="s">
        <v>7137</v>
      </c>
      <c r="GSR1" t="s">
        <v>7138</v>
      </c>
      <c r="GSS1" t="s">
        <v>7139</v>
      </c>
      <c r="GST1" t="s">
        <v>7140</v>
      </c>
      <c r="GSU1" t="s">
        <v>7141</v>
      </c>
      <c r="GSV1" t="s">
        <v>7142</v>
      </c>
      <c r="GSW1" t="s">
        <v>7143</v>
      </c>
      <c r="GSX1" t="s">
        <v>7144</v>
      </c>
      <c r="GSY1" t="s">
        <v>7145</v>
      </c>
      <c r="GSZ1" t="s">
        <v>7146</v>
      </c>
      <c r="GTA1" t="s">
        <v>7147</v>
      </c>
      <c r="GTB1" t="s">
        <v>7148</v>
      </c>
      <c r="GTC1" t="s">
        <v>7149</v>
      </c>
      <c r="GTD1" t="s">
        <v>7150</v>
      </c>
      <c r="GTE1" t="s">
        <v>7151</v>
      </c>
      <c r="GTF1" t="s">
        <v>7152</v>
      </c>
      <c r="GTG1" t="s">
        <v>7153</v>
      </c>
      <c r="GTH1" t="s">
        <v>7154</v>
      </c>
      <c r="GTI1" t="s">
        <v>7155</v>
      </c>
      <c r="GTJ1" t="s">
        <v>7156</v>
      </c>
      <c r="GTK1" t="s">
        <v>7157</v>
      </c>
      <c r="GTL1" t="s">
        <v>7158</v>
      </c>
      <c r="GTM1" t="s">
        <v>7159</v>
      </c>
      <c r="GTN1" t="s">
        <v>7160</v>
      </c>
      <c r="GTO1" t="s">
        <v>7161</v>
      </c>
      <c r="GTP1" t="s">
        <v>7162</v>
      </c>
      <c r="GTQ1" t="s">
        <v>7163</v>
      </c>
      <c r="GTR1" t="s">
        <v>7164</v>
      </c>
      <c r="GTS1" t="s">
        <v>7165</v>
      </c>
      <c r="GTT1" t="s">
        <v>7166</v>
      </c>
      <c r="GTU1" t="s">
        <v>7167</v>
      </c>
      <c r="GTV1" t="s">
        <v>7168</v>
      </c>
      <c r="GTW1" t="s">
        <v>7169</v>
      </c>
      <c r="GTX1" t="s">
        <v>7170</v>
      </c>
      <c r="GTY1" t="s">
        <v>7171</v>
      </c>
      <c r="GTZ1" t="s">
        <v>7172</v>
      </c>
      <c r="GUA1" t="s">
        <v>7173</v>
      </c>
      <c r="GUB1" t="s">
        <v>7174</v>
      </c>
      <c r="GUC1" t="s">
        <v>7175</v>
      </c>
      <c r="GUD1" t="s">
        <v>7176</v>
      </c>
      <c r="GUE1" t="s">
        <v>7177</v>
      </c>
      <c r="GUF1" t="s">
        <v>7178</v>
      </c>
      <c r="GUG1" t="s">
        <v>7179</v>
      </c>
      <c r="GUH1" t="s">
        <v>7180</v>
      </c>
      <c r="GUI1" t="s">
        <v>7181</v>
      </c>
      <c r="GUJ1" t="s">
        <v>7182</v>
      </c>
      <c r="GUK1" t="s">
        <v>7183</v>
      </c>
      <c r="GUL1" t="s">
        <v>7184</v>
      </c>
      <c r="GUM1" t="s">
        <v>7185</v>
      </c>
      <c r="GUN1" t="s">
        <v>7186</v>
      </c>
      <c r="GUO1" t="s">
        <v>7187</v>
      </c>
      <c r="GUP1" t="s">
        <v>7188</v>
      </c>
      <c r="GUQ1" t="s">
        <v>7189</v>
      </c>
      <c r="GUR1" t="s">
        <v>7190</v>
      </c>
      <c r="GUS1" t="s">
        <v>7191</v>
      </c>
      <c r="GUT1" t="s">
        <v>7192</v>
      </c>
      <c r="GUU1" t="s">
        <v>7193</v>
      </c>
      <c r="GUV1" t="s">
        <v>7194</v>
      </c>
      <c r="GUW1" t="s">
        <v>7195</v>
      </c>
      <c r="GUX1" t="s">
        <v>7196</v>
      </c>
      <c r="GUY1" t="s">
        <v>7197</v>
      </c>
      <c r="GUZ1" t="s">
        <v>7198</v>
      </c>
      <c r="GVA1" t="s">
        <v>7199</v>
      </c>
      <c r="GVB1" t="s">
        <v>7200</v>
      </c>
      <c r="GVC1" t="s">
        <v>7201</v>
      </c>
      <c r="GVD1" t="s">
        <v>7202</v>
      </c>
      <c r="GVE1" t="s">
        <v>7203</v>
      </c>
      <c r="GVF1" t="s">
        <v>7204</v>
      </c>
      <c r="GVG1" t="s">
        <v>7205</v>
      </c>
      <c r="GVH1" t="s">
        <v>7206</v>
      </c>
      <c r="GVI1" t="s">
        <v>7207</v>
      </c>
      <c r="GVJ1" t="s">
        <v>7208</v>
      </c>
      <c r="GVK1" t="s">
        <v>7209</v>
      </c>
      <c r="GVL1" t="s">
        <v>7210</v>
      </c>
      <c r="GVM1" t="s">
        <v>7211</v>
      </c>
      <c r="GVN1" t="s">
        <v>7212</v>
      </c>
      <c r="GVO1" t="s">
        <v>7213</v>
      </c>
      <c r="GVP1" t="s">
        <v>7214</v>
      </c>
      <c r="GVQ1" t="s">
        <v>7215</v>
      </c>
      <c r="GVR1" t="s">
        <v>7216</v>
      </c>
      <c r="GVS1" t="s">
        <v>7217</v>
      </c>
      <c r="GVT1" t="s">
        <v>7218</v>
      </c>
      <c r="GVU1" t="s">
        <v>7219</v>
      </c>
      <c r="GVV1" t="s">
        <v>7220</v>
      </c>
      <c r="GVW1" t="s">
        <v>7221</v>
      </c>
      <c r="GVX1" t="s">
        <v>7222</v>
      </c>
      <c r="GVY1" t="s">
        <v>7223</v>
      </c>
      <c r="GVZ1" t="s">
        <v>7224</v>
      </c>
      <c r="GWA1" t="s">
        <v>7225</v>
      </c>
      <c r="GWB1" t="s">
        <v>7226</v>
      </c>
      <c r="GWC1" t="s">
        <v>7227</v>
      </c>
      <c r="GWD1" t="s">
        <v>7228</v>
      </c>
      <c r="GWE1" t="s">
        <v>7229</v>
      </c>
      <c r="GWF1" t="s">
        <v>7230</v>
      </c>
      <c r="GWG1" t="s">
        <v>7231</v>
      </c>
      <c r="GWH1" t="s">
        <v>7232</v>
      </c>
      <c r="GWI1" t="s">
        <v>7233</v>
      </c>
      <c r="GWJ1" t="s">
        <v>7234</v>
      </c>
      <c r="GWK1" t="s">
        <v>7235</v>
      </c>
      <c r="GWL1" t="s">
        <v>7236</v>
      </c>
      <c r="GWM1" t="s">
        <v>7237</v>
      </c>
      <c r="GWN1" t="s">
        <v>7238</v>
      </c>
      <c r="GWO1" t="s">
        <v>7239</v>
      </c>
      <c r="GWP1" t="s">
        <v>7240</v>
      </c>
      <c r="GWQ1" t="s">
        <v>7241</v>
      </c>
      <c r="GWR1" t="s">
        <v>7242</v>
      </c>
      <c r="GWS1" t="s">
        <v>7243</v>
      </c>
      <c r="GWT1" t="s">
        <v>7244</v>
      </c>
      <c r="GWU1" t="s">
        <v>7245</v>
      </c>
      <c r="GWV1" t="s">
        <v>7246</v>
      </c>
      <c r="GWW1" t="s">
        <v>7247</v>
      </c>
      <c r="GWX1" t="s">
        <v>7248</v>
      </c>
      <c r="GWY1" t="s">
        <v>7249</v>
      </c>
      <c r="GWZ1" t="s">
        <v>7250</v>
      </c>
      <c r="GXA1" t="s">
        <v>7251</v>
      </c>
      <c r="GXB1" t="s">
        <v>7252</v>
      </c>
      <c r="GXC1" t="s">
        <v>7253</v>
      </c>
      <c r="GXD1" t="s">
        <v>7254</v>
      </c>
      <c r="GXE1" t="s">
        <v>7255</v>
      </c>
      <c r="GXF1" t="s">
        <v>7256</v>
      </c>
      <c r="GXG1" t="s">
        <v>7257</v>
      </c>
      <c r="GXH1" t="s">
        <v>7258</v>
      </c>
      <c r="GXI1" t="s">
        <v>7259</v>
      </c>
      <c r="GXJ1" t="s">
        <v>7260</v>
      </c>
      <c r="GXK1" t="s">
        <v>7261</v>
      </c>
      <c r="GXL1" t="s">
        <v>7262</v>
      </c>
      <c r="GXM1" t="s">
        <v>7263</v>
      </c>
      <c r="GXN1" t="s">
        <v>7264</v>
      </c>
      <c r="GXO1" t="s">
        <v>7265</v>
      </c>
      <c r="GXP1" t="s">
        <v>7266</v>
      </c>
      <c r="GXQ1" t="s">
        <v>7267</v>
      </c>
      <c r="GXR1" t="s">
        <v>7268</v>
      </c>
      <c r="GXS1" t="s">
        <v>7269</v>
      </c>
      <c r="GXT1" t="s">
        <v>7270</v>
      </c>
      <c r="GXU1" t="s">
        <v>7271</v>
      </c>
      <c r="GXV1" t="s">
        <v>7272</v>
      </c>
      <c r="GXW1" t="s">
        <v>7273</v>
      </c>
      <c r="GXX1" t="s">
        <v>7274</v>
      </c>
      <c r="GXY1" t="s">
        <v>7275</v>
      </c>
      <c r="GXZ1" t="s">
        <v>7276</v>
      </c>
      <c r="GYA1" t="s">
        <v>7277</v>
      </c>
      <c r="GYB1" t="s">
        <v>7278</v>
      </c>
      <c r="GYC1" t="s">
        <v>7279</v>
      </c>
      <c r="GYD1" t="s">
        <v>7280</v>
      </c>
      <c r="GYE1" t="s">
        <v>7281</v>
      </c>
      <c r="GYF1" t="s">
        <v>7282</v>
      </c>
      <c r="GYG1" t="s">
        <v>7283</v>
      </c>
      <c r="GYH1" t="s">
        <v>7284</v>
      </c>
      <c r="GYI1" t="s">
        <v>7285</v>
      </c>
      <c r="GYJ1" t="s">
        <v>7286</v>
      </c>
      <c r="GYK1" t="s">
        <v>7287</v>
      </c>
      <c r="GYL1" t="s">
        <v>7288</v>
      </c>
      <c r="GYM1" t="s">
        <v>7289</v>
      </c>
      <c r="GYN1" t="s">
        <v>7290</v>
      </c>
      <c r="GYO1" t="s">
        <v>7291</v>
      </c>
      <c r="GYP1" t="s">
        <v>7292</v>
      </c>
      <c r="GYQ1" t="s">
        <v>7293</v>
      </c>
      <c r="GYR1" t="s">
        <v>7294</v>
      </c>
      <c r="GYS1" t="s">
        <v>7295</v>
      </c>
      <c r="GYT1" t="s">
        <v>7296</v>
      </c>
      <c r="GYU1" t="s">
        <v>7297</v>
      </c>
      <c r="GYV1" t="s">
        <v>7298</v>
      </c>
      <c r="GYW1" t="s">
        <v>7299</v>
      </c>
      <c r="GYX1" t="s">
        <v>7300</v>
      </c>
      <c r="GYY1" t="s">
        <v>7301</v>
      </c>
      <c r="GYZ1" t="s">
        <v>7302</v>
      </c>
      <c r="GZA1" t="s">
        <v>7303</v>
      </c>
      <c r="GZB1" t="s">
        <v>7304</v>
      </c>
      <c r="GZC1" t="s">
        <v>7305</v>
      </c>
      <c r="GZD1" t="s">
        <v>7306</v>
      </c>
      <c r="GZE1" t="s">
        <v>7307</v>
      </c>
      <c r="GZF1" t="s">
        <v>7308</v>
      </c>
      <c r="GZG1" t="s">
        <v>7309</v>
      </c>
      <c r="GZH1" t="s">
        <v>7310</v>
      </c>
      <c r="GZI1" t="s">
        <v>7311</v>
      </c>
      <c r="GZJ1" t="s">
        <v>7312</v>
      </c>
      <c r="GZK1" t="s">
        <v>7313</v>
      </c>
      <c r="GZL1" t="s">
        <v>7314</v>
      </c>
      <c r="GZM1" t="s">
        <v>7315</v>
      </c>
      <c r="GZN1" t="s">
        <v>7316</v>
      </c>
      <c r="GZO1" t="s">
        <v>7317</v>
      </c>
      <c r="GZP1" t="s">
        <v>7318</v>
      </c>
      <c r="GZQ1" t="s">
        <v>7319</v>
      </c>
      <c r="GZR1" t="s">
        <v>7320</v>
      </c>
      <c r="GZS1" t="s">
        <v>7321</v>
      </c>
      <c r="GZT1" t="s">
        <v>7322</v>
      </c>
      <c r="GZU1" t="s">
        <v>7323</v>
      </c>
      <c r="GZV1" t="s">
        <v>7324</v>
      </c>
      <c r="GZW1" t="s">
        <v>7325</v>
      </c>
      <c r="GZX1" t="s">
        <v>7326</v>
      </c>
      <c r="GZY1" t="s">
        <v>7327</v>
      </c>
      <c r="GZZ1" t="s">
        <v>7328</v>
      </c>
      <c r="HAA1" t="s">
        <v>7329</v>
      </c>
      <c r="HAB1" t="s">
        <v>7330</v>
      </c>
      <c r="HAC1" t="s">
        <v>7331</v>
      </c>
      <c r="HAD1" t="s">
        <v>7332</v>
      </c>
      <c r="HAE1" t="s">
        <v>7333</v>
      </c>
      <c r="HAF1" t="s">
        <v>7334</v>
      </c>
      <c r="HAG1" t="s">
        <v>7335</v>
      </c>
      <c r="HAH1" t="s">
        <v>7336</v>
      </c>
      <c r="HAI1" t="s">
        <v>7337</v>
      </c>
      <c r="HAJ1" t="s">
        <v>7338</v>
      </c>
      <c r="HAK1" t="s">
        <v>7339</v>
      </c>
      <c r="HAL1" t="s">
        <v>7340</v>
      </c>
      <c r="HAM1" t="s">
        <v>7341</v>
      </c>
      <c r="HAN1" t="s">
        <v>7342</v>
      </c>
      <c r="HAO1" t="s">
        <v>7343</v>
      </c>
      <c r="HAP1" t="s">
        <v>7344</v>
      </c>
      <c r="HAQ1" t="s">
        <v>7345</v>
      </c>
      <c r="HAR1" t="s">
        <v>7346</v>
      </c>
      <c r="HAS1" t="s">
        <v>7347</v>
      </c>
      <c r="HAT1" t="s">
        <v>7348</v>
      </c>
      <c r="HAU1" t="s">
        <v>7349</v>
      </c>
      <c r="HAV1" t="s">
        <v>7350</v>
      </c>
      <c r="HAW1" t="s">
        <v>7351</v>
      </c>
      <c r="HAX1" t="s">
        <v>7352</v>
      </c>
      <c r="HAY1" t="s">
        <v>7353</v>
      </c>
      <c r="HAZ1" t="s">
        <v>7354</v>
      </c>
      <c r="HBA1" t="s">
        <v>7355</v>
      </c>
      <c r="HBB1" t="s">
        <v>7356</v>
      </c>
      <c r="HBC1" t="s">
        <v>7357</v>
      </c>
      <c r="HBD1" t="s">
        <v>7358</v>
      </c>
      <c r="HBE1" t="s">
        <v>7359</v>
      </c>
      <c r="HBF1" t="s">
        <v>7360</v>
      </c>
      <c r="HBG1" t="s">
        <v>7361</v>
      </c>
      <c r="HBH1" t="s">
        <v>7362</v>
      </c>
      <c r="HBI1" t="s">
        <v>7363</v>
      </c>
      <c r="HBJ1" t="s">
        <v>7364</v>
      </c>
      <c r="HBK1" t="s">
        <v>7365</v>
      </c>
      <c r="HBL1" t="s">
        <v>7366</v>
      </c>
      <c r="HBM1" t="s">
        <v>7367</v>
      </c>
      <c r="HBN1" t="s">
        <v>7368</v>
      </c>
      <c r="HBO1" t="s">
        <v>7369</v>
      </c>
      <c r="HBP1" t="s">
        <v>7370</v>
      </c>
      <c r="HBQ1" t="s">
        <v>7371</v>
      </c>
      <c r="HBR1" t="s">
        <v>7372</v>
      </c>
      <c r="HBS1" t="s">
        <v>7373</v>
      </c>
      <c r="HBT1" t="s">
        <v>7374</v>
      </c>
      <c r="HBU1" t="s">
        <v>7375</v>
      </c>
      <c r="HBV1" t="s">
        <v>7376</v>
      </c>
      <c r="HBW1" t="s">
        <v>7377</v>
      </c>
      <c r="HBX1" t="s">
        <v>7378</v>
      </c>
      <c r="HBY1" t="s">
        <v>7379</v>
      </c>
      <c r="HBZ1" t="s">
        <v>7380</v>
      </c>
      <c r="HCA1" t="s">
        <v>7381</v>
      </c>
      <c r="HCB1" t="s">
        <v>7382</v>
      </c>
      <c r="HCC1" t="s">
        <v>7383</v>
      </c>
      <c r="HCD1" t="s">
        <v>7384</v>
      </c>
      <c r="HCE1" t="s">
        <v>7385</v>
      </c>
      <c r="HCF1" t="s">
        <v>7386</v>
      </c>
      <c r="HCG1" t="s">
        <v>7387</v>
      </c>
      <c r="HCH1" t="s">
        <v>7388</v>
      </c>
      <c r="HCI1" t="s">
        <v>7389</v>
      </c>
      <c r="HCJ1" t="s">
        <v>7390</v>
      </c>
      <c r="HCK1" t="s">
        <v>7391</v>
      </c>
      <c r="HCL1" t="s">
        <v>7392</v>
      </c>
      <c r="HCM1" t="s">
        <v>7393</v>
      </c>
      <c r="HCN1" t="s">
        <v>7394</v>
      </c>
      <c r="HCO1" t="s">
        <v>7395</v>
      </c>
      <c r="HCP1" t="s">
        <v>7396</v>
      </c>
      <c r="HCQ1" t="s">
        <v>7397</v>
      </c>
      <c r="HCR1" t="s">
        <v>7398</v>
      </c>
      <c r="HCS1" t="s">
        <v>7399</v>
      </c>
      <c r="HCT1" t="s">
        <v>7400</v>
      </c>
      <c r="HCU1" t="s">
        <v>7401</v>
      </c>
      <c r="HCV1" t="s">
        <v>7402</v>
      </c>
      <c r="HCW1" t="s">
        <v>7403</v>
      </c>
      <c r="HCX1" t="s">
        <v>7404</v>
      </c>
      <c r="HCY1" t="s">
        <v>7405</v>
      </c>
      <c r="HCZ1" t="s">
        <v>7406</v>
      </c>
      <c r="HDA1" t="s">
        <v>7407</v>
      </c>
      <c r="HDB1" t="s">
        <v>7408</v>
      </c>
      <c r="HDC1" t="s">
        <v>7409</v>
      </c>
      <c r="HDD1" t="s">
        <v>7410</v>
      </c>
      <c r="HDE1" t="s">
        <v>7411</v>
      </c>
      <c r="HDF1" t="s">
        <v>7412</v>
      </c>
      <c r="HDG1" t="s">
        <v>7413</v>
      </c>
      <c r="HDH1" t="s">
        <v>7414</v>
      </c>
      <c r="HDI1" t="s">
        <v>7415</v>
      </c>
      <c r="HDJ1" t="s">
        <v>7416</v>
      </c>
      <c r="HDK1" t="s">
        <v>7417</v>
      </c>
      <c r="HDL1" t="s">
        <v>7418</v>
      </c>
      <c r="HDM1" t="s">
        <v>7419</v>
      </c>
      <c r="HDN1" t="s">
        <v>7420</v>
      </c>
      <c r="HDO1" t="s">
        <v>7421</v>
      </c>
      <c r="HDP1" t="s">
        <v>7422</v>
      </c>
      <c r="HDQ1" t="s">
        <v>7423</v>
      </c>
      <c r="HDR1" t="s">
        <v>7424</v>
      </c>
      <c r="HDS1" t="s">
        <v>7425</v>
      </c>
      <c r="HDT1" t="s">
        <v>7426</v>
      </c>
      <c r="HDU1" t="s">
        <v>7427</v>
      </c>
      <c r="HDV1" t="s">
        <v>7428</v>
      </c>
      <c r="HDW1" t="s">
        <v>7429</v>
      </c>
      <c r="HDX1" t="s">
        <v>7430</v>
      </c>
      <c r="HDY1" t="s">
        <v>7431</v>
      </c>
      <c r="HDZ1" t="s">
        <v>7432</v>
      </c>
      <c r="HEA1" t="s">
        <v>7433</v>
      </c>
      <c r="HEB1" t="s">
        <v>7434</v>
      </c>
      <c r="HEC1" t="s">
        <v>7435</v>
      </c>
      <c r="HED1" t="s">
        <v>7436</v>
      </c>
      <c r="HEE1" t="s">
        <v>7437</v>
      </c>
      <c r="HEF1" t="s">
        <v>7438</v>
      </c>
      <c r="HEG1" t="s">
        <v>7439</v>
      </c>
      <c r="HEH1" t="s">
        <v>7440</v>
      </c>
      <c r="HEI1" t="s">
        <v>7441</v>
      </c>
      <c r="HEJ1" t="s">
        <v>7442</v>
      </c>
      <c r="HEK1" t="s">
        <v>7443</v>
      </c>
      <c r="HEL1" t="s">
        <v>7444</v>
      </c>
      <c r="HEM1" t="s">
        <v>7445</v>
      </c>
      <c r="HEN1" t="s">
        <v>7446</v>
      </c>
      <c r="HEO1" t="s">
        <v>7447</v>
      </c>
      <c r="HEP1" t="s">
        <v>7448</v>
      </c>
      <c r="HEQ1" t="s">
        <v>7449</v>
      </c>
      <c r="HER1" t="s">
        <v>7450</v>
      </c>
      <c r="HES1" t="s">
        <v>7451</v>
      </c>
      <c r="HET1" t="s">
        <v>7452</v>
      </c>
      <c r="HEU1" t="s">
        <v>7453</v>
      </c>
      <c r="HEV1" t="s">
        <v>7454</v>
      </c>
      <c r="HEW1" t="s">
        <v>7455</v>
      </c>
      <c r="HEX1" t="s">
        <v>7456</v>
      </c>
      <c r="HEY1" t="s">
        <v>7457</v>
      </c>
      <c r="HEZ1" t="s">
        <v>7458</v>
      </c>
      <c r="HFA1" t="s">
        <v>7459</v>
      </c>
      <c r="HFB1" t="s">
        <v>7460</v>
      </c>
      <c r="HFC1" t="s">
        <v>7461</v>
      </c>
      <c r="HFD1" t="s">
        <v>7462</v>
      </c>
      <c r="HFE1" t="s">
        <v>7463</v>
      </c>
      <c r="HFF1" t="s">
        <v>7464</v>
      </c>
      <c r="HFG1" t="s">
        <v>7465</v>
      </c>
      <c r="HFH1" t="s">
        <v>7466</v>
      </c>
      <c r="HFI1" t="s">
        <v>7467</v>
      </c>
      <c r="HFJ1" t="s">
        <v>7468</v>
      </c>
      <c r="HFK1" t="s">
        <v>7469</v>
      </c>
      <c r="HFL1" t="s">
        <v>7470</v>
      </c>
      <c r="HFM1" t="s">
        <v>7471</v>
      </c>
      <c r="HFN1" t="s">
        <v>7472</v>
      </c>
      <c r="HFO1" t="s">
        <v>7473</v>
      </c>
      <c r="HFP1" t="s">
        <v>7474</v>
      </c>
      <c r="HFQ1" t="s">
        <v>7475</v>
      </c>
      <c r="HFR1" t="s">
        <v>7476</v>
      </c>
      <c r="HFS1" t="s">
        <v>7477</v>
      </c>
      <c r="HFT1" t="s">
        <v>7478</v>
      </c>
      <c r="HFU1" t="s">
        <v>7479</v>
      </c>
      <c r="HFV1" t="s">
        <v>7480</v>
      </c>
      <c r="HFW1" t="s">
        <v>7481</v>
      </c>
      <c r="HFX1" t="s">
        <v>7482</v>
      </c>
      <c r="HFY1" t="s">
        <v>7483</v>
      </c>
      <c r="HFZ1" t="s">
        <v>7484</v>
      </c>
      <c r="HGA1" t="s">
        <v>7485</v>
      </c>
      <c r="HGB1" t="s">
        <v>7486</v>
      </c>
      <c r="HGC1" t="s">
        <v>7487</v>
      </c>
      <c r="HGD1" t="s">
        <v>7488</v>
      </c>
      <c r="HGE1" t="s">
        <v>7489</v>
      </c>
      <c r="HGF1" t="s">
        <v>7490</v>
      </c>
      <c r="HGG1" t="s">
        <v>7491</v>
      </c>
      <c r="HGH1" t="s">
        <v>7492</v>
      </c>
      <c r="HGI1" t="s">
        <v>7493</v>
      </c>
      <c r="HGJ1" t="s">
        <v>7494</v>
      </c>
      <c r="HGK1" t="s">
        <v>7495</v>
      </c>
      <c r="HGL1" t="s">
        <v>7496</v>
      </c>
      <c r="HGM1" t="s">
        <v>7497</v>
      </c>
      <c r="HGN1" t="s">
        <v>7498</v>
      </c>
      <c r="HGO1" t="s">
        <v>7499</v>
      </c>
      <c r="HGP1" t="s">
        <v>7500</v>
      </c>
      <c r="HGQ1" t="s">
        <v>7501</v>
      </c>
      <c r="HGR1" t="s">
        <v>7502</v>
      </c>
      <c r="HGS1" t="s">
        <v>7503</v>
      </c>
      <c r="HGT1" t="s">
        <v>7504</v>
      </c>
      <c r="HGU1" t="s">
        <v>7505</v>
      </c>
      <c r="HGV1" t="s">
        <v>7506</v>
      </c>
      <c r="HGW1" t="s">
        <v>7507</v>
      </c>
      <c r="HGX1" t="s">
        <v>7508</v>
      </c>
      <c r="HGY1" t="s">
        <v>7509</v>
      </c>
      <c r="HGZ1" t="s">
        <v>7510</v>
      </c>
      <c r="HHA1" t="s">
        <v>7511</v>
      </c>
      <c r="HHB1" t="s">
        <v>7512</v>
      </c>
      <c r="HHC1" t="s">
        <v>7513</v>
      </c>
      <c r="HHD1" t="s">
        <v>7514</v>
      </c>
      <c r="HHE1" t="s">
        <v>7515</v>
      </c>
      <c r="HHF1" t="s">
        <v>7516</v>
      </c>
      <c r="HHG1" t="s">
        <v>7517</v>
      </c>
      <c r="HHH1" t="s">
        <v>7518</v>
      </c>
      <c r="HHI1" t="s">
        <v>7519</v>
      </c>
      <c r="HHJ1" t="s">
        <v>7520</v>
      </c>
      <c r="HHK1" t="s">
        <v>7521</v>
      </c>
      <c r="HHL1" t="s">
        <v>7522</v>
      </c>
      <c r="HHM1" t="s">
        <v>7523</v>
      </c>
      <c r="HHN1" t="s">
        <v>7524</v>
      </c>
      <c r="HHO1" t="s">
        <v>7525</v>
      </c>
      <c r="HHP1" t="s">
        <v>7526</v>
      </c>
      <c r="HHQ1" t="s">
        <v>7527</v>
      </c>
      <c r="HHR1" t="s">
        <v>7528</v>
      </c>
      <c r="HHS1" t="s">
        <v>7529</v>
      </c>
      <c r="HHT1" t="s">
        <v>7530</v>
      </c>
      <c r="HHU1" t="s">
        <v>7531</v>
      </c>
      <c r="HHV1" t="s">
        <v>7532</v>
      </c>
      <c r="HHW1" t="s">
        <v>7533</v>
      </c>
      <c r="HHX1" t="s">
        <v>7534</v>
      </c>
      <c r="HHY1" t="s">
        <v>7535</v>
      </c>
      <c r="HHZ1" t="s">
        <v>7536</v>
      </c>
      <c r="HIA1" t="s">
        <v>7537</v>
      </c>
      <c r="HIB1" t="s">
        <v>7538</v>
      </c>
      <c r="HIC1" t="s">
        <v>7539</v>
      </c>
      <c r="HID1" t="s">
        <v>7540</v>
      </c>
      <c r="HIE1" t="s">
        <v>7541</v>
      </c>
      <c r="HIF1" t="s">
        <v>7542</v>
      </c>
      <c r="HIG1" t="s">
        <v>7543</v>
      </c>
      <c r="HIH1" t="s">
        <v>7544</v>
      </c>
      <c r="HII1" t="s">
        <v>7545</v>
      </c>
      <c r="HIJ1" t="s">
        <v>7546</v>
      </c>
      <c r="HIK1" t="s">
        <v>7547</v>
      </c>
      <c r="HIL1" t="s">
        <v>7548</v>
      </c>
      <c r="HIM1" t="s">
        <v>7549</v>
      </c>
      <c r="HIN1" t="s">
        <v>7550</v>
      </c>
      <c r="HIO1" t="s">
        <v>7551</v>
      </c>
      <c r="HIP1" t="s">
        <v>7552</v>
      </c>
      <c r="HIQ1" t="s">
        <v>7553</v>
      </c>
      <c r="HIR1" t="s">
        <v>7554</v>
      </c>
      <c r="HIS1" t="s">
        <v>7555</v>
      </c>
      <c r="HIT1" t="s">
        <v>7556</v>
      </c>
      <c r="HIU1" t="s">
        <v>7557</v>
      </c>
      <c r="HIV1" t="s">
        <v>7558</v>
      </c>
      <c r="HIW1" t="s">
        <v>7559</v>
      </c>
      <c r="HIX1" t="s">
        <v>7560</v>
      </c>
      <c r="HIY1" t="s">
        <v>7561</v>
      </c>
      <c r="HIZ1" t="s">
        <v>7562</v>
      </c>
      <c r="HJA1" t="s">
        <v>7563</v>
      </c>
      <c r="HJB1" t="s">
        <v>7564</v>
      </c>
      <c r="HJC1" t="s">
        <v>7565</v>
      </c>
      <c r="HJD1" t="s">
        <v>7566</v>
      </c>
      <c r="HJE1" t="s">
        <v>7567</v>
      </c>
      <c r="HJF1" t="s">
        <v>7568</v>
      </c>
      <c r="HJG1" t="s">
        <v>7569</v>
      </c>
      <c r="HJH1" t="s">
        <v>7570</v>
      </c>
      <c r="HJI1" t="s">
        <v>7571</v>
      </c>
      <c r="HJJ1" t="s">
        <v>7572</v>
      </c>
      <c r="HJK1" t="s">
        <v>7573</v>
      </c>
      <c r="HJL1" t="s">
        <v>7574</v>
      </c>
      <c r="HJM1" t="s">
        <v>7575</v>
      </c>
      <c r="HJN1" t="s">
        <v>7576</v>
      </c>
      <c r="HJO1" t="s">
        <v>7577</v>
      </c>
      <c r="HJP1" t="s">
        <v>7578</v>
      </c>
      <c r="HJQ1" t="s">
        <v>7579</v>
      </c>
      <c r="HJR1" t="s">
        <v>7580</v>
      </c>
      <c r="HJS1" t="s">
        <v>7581</v>
      </c>
      <c r="HJT1" t="s">
        <v>7582</v>
      </c>
      <c r="HJU1" t="s">
        <v>7583</v>
      </c>
      <c r="HJV1" t="s">
        <v>7584</v>
      </c>
      <c r="HJW1" t="s">
        <v>7585</v>
      </c>
      <c r="HJX1" t="s">
        <v>7586</v>
      </c>
      <c r="HJY1" t="s">
        <v>7587</v>
      </c>
      <c r="HJZ1" t="s">
        <v>7588</v>
      </c>
      <c r="HKA1" t="s">
        <v>7589</v>
      </c>
      <c r="HKB1" t="s">
        <v>7590</v>
      </c>
      <c r="HKC1" t="s">
        <v>7591</v>
      </c>
      <c r="HKD1" t="s">
        <v>7592</v>
      </c>
      <c r="HKE1" t="s">
        <v>7593</v>
      </c>
      <c r="HKF1" t="s">
        <v>7594</v>
      </c>
      <c r="HKG1" t="s">
        <v>7595</v>
      </c>
      <c r="HKH1" t="s">
        <v>7596</v>
      </c>
      <c r="HKI1" t="s">
        <v>7597</v>
      </c>
      <c r="HKJ1" t="s">
        <v>7598</v>
      </c>
      <c r="HKK1" t="s">
        <v>7599</v>
      </c>
      <c r="HKL1" t="s">
        <v>7600</v>
      </c>
      <c r="HKM1" t="s">
        <v>7601</v>
      </c>
      <c r="HKN1" t="s">
        <v>7602</v>
      </c>
      <c r="HKO1" t="s">
        <v>7603</v>
      </c>
      <c r="HKP1" t="s">
        <v>7604</v>
      </c>
      <c r="HKQ1" t="s">
        <v>7605</v>
      </c>
      <c r="HKR1" t="s">
        <v>7606</v>
      </c>
      <c r="HKS1" t="s">
        <v>7607</v>
      </c>
      <c r="HKT1" t="s">
        <v>7608</v>
      </c>
      <c r="HKU1" t="s">
        <v>7609</v>
      </c>
      <c r="HKV1" t="s">
        <v>7610</v>
      </c>
      <c r="HKW1" t="s">
        <v>7611</v>
      </c>
      <c r="HKX1" t="s">
        <v>7612</v>
      </c>
      <c r="HKY1" t="s">
        <v>7613</v>
      </c>
      <c r="HKZ1" t="s">
        <v>7614</v>
      </c>
      <c r="HLA1" t="s">
        <v>7615</v>
      </c>
      <c r="HLB1" t="s">
        <v>7616</v>
      </c>
      <c r="HLC1" t="s">
        <v>7617</v>
      </c>
      <c r="HLD1" t="s">
        <v>7618</v>
      </c>
      <c r="HLE1" t="s">
        <v>7619</v>
      </c>
      <c r="HLF1" t="s">
        <v>7620</v>
      </c>
      <c r="HLG1" t="s">
        <v>7621</v>
      </c>
      <c r="HLH1" t="s">
        <v>7622</v>
      </c>
      <c r="HLI1" t="s">
        <v>7623</v>
      </c>
      <c r="HLJ1" t="s">
        <v>7624</v>
      </c>
      <c r="HLK1" t="s">
        <v>7625</v>
      </c>
      <c r="HLL1" t="s">
        <v>7626</v>
      </c>
      <c r="HLM1" t="s">
        <v>7627</v>
      </c>
      <c r="HLN1" t="s">
        <v>7628</v>
      </c>
      <c r="HLO1" t="s">
        <v>7629</v>
      </c>
      <c r="HLP1" t="s">
        <v>7630</v>
      </c>
      <c r="HLQ1" t="s">
        <v>7631</v>
      </c>
      <c r="HLR1" t="s">
        <v>7632</v>
      </c>
      <c r="HLS1" t="s">
        <v>7633</v>
      </c>
      <c r="HLT1" t="s">
        <v>7634</v>
      </c>
      <c r="HLU1" t="s">
        <v>7635</v>
      </c>
      <c r="HLV1" t="s">
        <v>7636</v>
      </c>
      <c r="HLW1" t="s">
        <v>7637</v>
      </c>
      <c r="HLX1" t="s">
        <v>7638</v>
      </c>
      <c r="HLY1" t="s">
        <v>7639</v>
      </c>
      <c r="HLZ1" t="s">
        <v>7640</v>
      </c>
      <c r="HMA1" t="s">
        <v>7641</v>
      </c>
      <c r="HMB1" t="s">
        <v>7642</v>
      </c>
      <c r="HMC1" t="s">
        <v>7643</v>
      </c>
      <c r="HMD1" t="s">
        <v>7644</v>
      </c>
      <c r="HME1" t="s">
        <v>7645</v>
      </c>
      <c r="HMF1" t="s">
        <v>7646</v>
      </c>
      <c r="HMG1" t="s">
        <v>7647</v>
      </c>
      <c r="HMH1" t="s">
        <v>7648</v>
      </c>
      <c r="HMI1" t="s">
        <v>7649</v>
      </c>
      <c r="HMJ1" t="s">
        <v>7650</v>
      </c>
      <c r="HMK1" t="s">
        <v>7651</v>
      </c>
      <c r="HML1" t="s">
        <v>7652</v>
      </c>
      <c r="HMM1" t="s">
        <v>7653</v>
      </c>
      <c r="HMN1" t="s">
        <v>7654</v>
      </c>
      <c r="HMO1" t="s">
        <v>7655</v>
      </c>
      <c r="HMP1" t="s">
        <v>7656</v>
      </c>
      <c r="HMQ1" t="s">
        <v>7657</v>
      </c>
      <c r="HMR1" t="s">
        <v>7658</v>
      </c>
      <c r="HMS1" t="s">
        <v>7659</v>
      </c>
      <c r="HMT1" t="s">
        <v>7660</v>
      </c>
      <c r="HMU1" t="s">
        <v>7661</v>
      </c>
      <c r="HMV1" t="s">
        <v>7662</v>
      </c>
      <c r="HMW1" t="s">
        <v>7663</v>
      </c>
      <c r="HMX1" t="s">
        <v>7664</v>
      </c>
      <c r="HMY1" t="s">
        <v>7665</v>
      </c>
      <c r="HMZ1" t="s">
        <v>7666</v>
      </c>
      <c r="HNA1" t="s">
        <v>7667</v>
      </c>
      <c r="HNB1" t="s">
        <v>7668</v>
      </c>
      <c r="HNC1" t="s">
        <v>7669</v>
      </c>
      <c r="HND1" t="s">
        <v>7670</v>
      </c>
      <c r="HNE1" t="s">
        <v>7671</v>
      </c>
      <c r="HNF1" t="s">
        <v>7672</v>
      </c>
      <c r="HNG1" t="s">
        <v>7673</v>
      </c>
      <c r="HNH1" t="s">
        <v>7674</v>
      </c>
      <c r="HNI1" t="s">
        <v>7675</v>
      </c>
      <c r="HNJ1" t="s">
        <v>7676</v>
      </c>
      <c r="HNK1" t="s">
        <v>7677</v>
      </c>
      <c r="HNL1" t="s">
        <v>7678</v>
      </c>
      <c r="HNM1" t="s">
        <v>7679</v>
      </c>
      <c r="HNN1" t="s">
        <v>7680</v>
      </c>
      <c r="HNO1" t="s">
        <v>7681</v>
      </c>
      <c r="HNP1" t="s">
        <v>7682</v>
      </c>
      <c r="HNQ1" t="s">
        <v>7683</v>
      </c>
      <c r="HNR1" t="s">
        <v>7684</v>
      </c>
      <c r="HNS1" t="s">
        <v>7685</v>
      </c>
      <c r="HNT1" t="s">
        <v>7686</v>
      </c>
      <c r="HNU1" t="s">
        <v>7687</v>
      </c>
      <c r="HNV1" t="s">
        <v>7688</v>
      </c>
      <c r="HNW1" t="s">
        <v>7689</v>
      </c>
      <c r="HNX1" t="s">
        <v>7690</v>
      </c>
      <c r="HNY1" t="s">
        <v>7691</v>
      </c>
      <c r="HNZ1" t="s">
        <v>7692</v>
      </c>
      <c r="HOA1" t="s">
        <v>7693</v>
      </c>
      <c r="HOB1" t="s">
        <v>7694</v>
      </c>
      <c r="HOC1" t="s">
        <v>7695</v>
      </c>
      <c r="HOD1" t="s">
        <v>7696</v>
      </c>
      <c r="HOE1" t="s">
        <v>7697</v>
      </c>
      <c r="HOF1" t="s">
        <v>7698</v>
      </c>
      <c r="HOG1" t="s">
        <v>7699</v>
      </c>
      <c r="HOH1" t="s">
        <v>7700</v>
      </c>
      <c r="HOI1" t="s">
        <v>7701</v>
      </c>
      <c r="HOJ1" t="s">
        <v>7702</v>
      </c>
      <c r="HOK1" t="s">
        <v>7703</v>
      </c>
      <c r="HOL1" t="s">
        <v>7704</v>
      </c>
      <c r="HOM1" t="s">
        <v>7705</v>
      </c>
      <c r="HON1" t="s">
        <v>7706</v>
      </c>
      <c r="HOO1" t="s">
        <v>7707</v>
      </c>
      <c r="HOP1" t="s">
        <v>7708</v>
      </c>
      <c r="HOQ1" t="s">
        <v>7709</v>
      </c>
      <c r="HOR1" t="s">
        <v>7710</v>
      </c>
      <c r="HOS1" t="s">
        <v>7711</v>
      </c>
      <c r="HOT1" t="s">
        <v>7712</v>
      </c>
      <c r="HOU1" t="s">
        <v>7713</v>
      </c>
      <c r="HOV1" t="s">
        <v>7714</v>
      </c>
      <c r="HOW1" t="s">
        <v>7715</v>
      </c>
      <c r="HOX1" t="s">
        <v>7716</v>
      </c>
      <c r="HOY1" t="s">
        <v>7717</v>
      </c>
      <c r="HOZ1" t="s">
        <v>7718</v>
      </c>
      <c r="HPA1" t="s">
        <v>7719</v>
      </c>
      <c r="HPB1" t="s">
        <v>7720</v>
      </c>
      <c r="HPC1" t="s">
        <v>7721</v>
      </c>
      <c r="HPD1" t="s">
        <v>7722</v>
      </c>
      <c r="HPE1" t="s">
        <v>7723</v>
      </c>
      <c r="HPF1" t="s">
        <v>7724</v>
      </c>
      <c r="HPG1" t="s">
        <v>7725</v>
      </c>
      <c r="HPH1" t="s">
        <v>7726</v>
      </c>
      <c r="HPI1" t="s">
        <v>7727</v>
      </c>
      <c r="HPJ1" t="s">
        <v>7728</v>
      </c>
      <c r="HPK1" t="s">
        <v>7729</v>
      </c>
      <c r="HPL1" t="s">
        <v>7730</v>
      </c>
      <c r="HPM1" t="s">
        <v>7731</v>
      </c>
      <c r="HPN1" t="s">
        <v>7732</v>
      </c>
      <c r="HPO1" t="s">
        <v>7733</v>
      </c>
      <c r="HPP1" t="s">
        <v>7734</v>
      </c>
      <c r="HPQ1" t="s">
        <v>7735</v>
      </c>
      <c r="HPR1" t="s">
        <v>7736</v>
      </c>
      <c r="HPS1" t="s">
        <v>7737</v>
      </c>
      <c r="HPT1" t="s">
        <v>7738</v>
      </c>
      <c r="HPU1" t="s">
        <v>7739</v>
      </c>
      <c r="HPV1" t="s">
        <v>7740</v>
      </c>
      <c r="HPW1" t="s">
        <v>7741</v>
      </c>
      <c r="HPX1" t="s">
        <v>7742</v>
      </c>
      <c r="HPY1" t="s">
        <v>7743</v>
      </c>
      <c r="HPZ1" t="s">
        <v>7744</v>
      </c>
      <c r="HQA1" t="s">
        <v>7745</v>
      </c>
      <c r="HQB1" t="s">
        <v>7746</v>
      </c>
      <c r="HQC1" t="s">
        <v>7747</v>
      </c>
      <c r="HQD1" t="s">
        <v>7748</v>
      </c>
      <c r="HQE1" t="s">
        <v>7749</v>
      </c>
      <c r="HQF1" t="s">
        <v>7750</v>
      </c>
      <c r="HQG1" t="s">
        <v>7751</v>
      </c>
      <c r="HQH1" t="s">
        <v>7752</v>
      </c>
      <c r="HQI1" t="s">
        <v>7753</v>
      </c>
      <c r="HQJ1" t="s">
        <v>7754</v>
      </c>
      <c r="HQK1" t="s">
        <v>7755</v>
      </c>
      <c r="HQL1" t="s">
        <v>7756</v>
      </c>
      <c r="HQM1" t="s">
        <v>7757</v>
      </c>
      <c r="HQN1" t="s">
        <v>7758</v>
      </c>
      <c r="HQO1" t="s">
        <v>7759</v>
      </c>
      <c r="HQP1" t="s">
        <v>7760</v>
      </c>
      <c r="HQQ1" t="s">
        <v>7761</v>
      </c>
      <c r="HQR1" t="s">
        <v>7762</v>
      </c>
      <c r="HQS1" t="s">
        <v>7763</v>
      </c>
      <c r="HQT1" t="s">
        <v>7764</v>
      </c>
      <c r="HQU1" t="s">
        <v>7765</v>
      </c>
      <c r="HQV1" t="s">
        <v>7766</v>
      </c>
      <c r="HQW1" t="s">
        <v>7767</v>
      </c>
      <c r="HQX1" t="s">
        <v>7768</v>
      </c>
      <c r="HQY1" t="s">
        <v>7769</v>
      </c>
      <c r="HQZ1" t="s">
        <v>7770</v>
      </c>
      <c r="HRA1" t="s">
        <v>7771</v>
      </c>
      <c r="HRB1" t="s">
        <v>7772</v>
      </c>
      <c r="HRC1" t="s">
        <v>7773</v>
      </c>
      <c r="HRD1" t="s">
        <v>7774</v>
      </c>
      <c r="HRE1" t="s">
        <v>7775</v>
      </c>
      <c r="HRF1" t="s">
        <v>7776</v>
      </c>
      <c r="HRG1" t="s">
        <v>7777</v>
      </c>
      <c r="HRH1" t="s">
        <v>7778</v>
      </c>
      <c r="HRI1" t="s">
        <v>7779</v>
      </c>
      <c r="HRJ1" t="s">
        <v>7780</v>
      </c>
      <c r="HRK1" t="s">
        <v>7781</v>
      </c>
      <c r="HRL1" t="s">
        <v>7782</v>
      </c>
      <c r="HRM1" t="s">
        <v>7783</v>
      </c>
      <c r="HRN1" t="s">
        <v>7784</v>
      </c>
      <c r="HRO1" t="s">
        <v>7785</v>
      </c>
      <c r="HRP1" t="s">
        <v>7786</v>
      </c>
      <c r="HRQ1" t="s">
        <v>7787</v>
      </c>
      <c r="HRR1" t="s">
        <v>7788</v>
      </c>
      <c r="HRS1" t="s">
        <v>7789</v>
      </c>
      <c r="HRT1" t="s">
        <v>7790</v>
      </c>
      <c r="HRU1" t="s">
        <v>7791</v>
      </c>
      <c r="HRV1" t="s">
        <v>7792</v>
      </c>
      <c r="HRW1" t="s">
        <v>7793</v>
      </c>
      <c r="HRX1" t="s">
        <v>7794</v>
      </c>
      <c r="HRY1" t="s">
        <v>7795</v>
      </c>
      <c r="HRZ1" t="s">
        <v>7796</v>
      </c>
      <c r="HSA1" t="s">
        <v>7797</v>
      </c>
      <c r="HSB1" t="s">
        <v>7798</v>
      </c>
      <c r="HSC1" t="s">
        <v>7799</v>
      </c>
      <c r="HSD1" t="s">
        <v>7800</v>
      </c>
      <c r="HSE1" t="s">
        <v>7801</v>
      </c>
      <c r="HSF1" t="s">
        <v>7802</v>
      </c>
      <c r="HSG1" t="s">
        <v>7803</v>
      </c>
      <c r="HSH1" t="s">
        <v>7804</v>
      </c>
      <c r="HSI1" t="s">
        <v>7805</v>
      </c>
      <c r="HSJ1" t="s">
        <v>7806</v>
      </c>
      <c r="HSK1" t="s">
        <v>7807</v>
      </c>
      <c r="HSL1" t="s">
        <v>7808</v>
      </c>
      <c r="HSM1" t="s">
        <v>7809</v>
      </c>
      <c r="HSN1" t="s">
        <v>7810</v>
      </c>
      <c r="HSO1" t="s">
        <v>7811</v>
      </c>
      <c r="HSP1" t="s">
        <v>7812</v>
      </c>
      <c r="HSQ1" t="s">
        <v>7813</v>
      </c>
      <c r="HSR1" t="s">
        <v>7814</v>
      </c>
      <c r="HSS1" t="s">
        <v>7815</v>
      </c>
      <c r="HST1" t="s">
        <v>7816</v>
      </c>
      <c r="HSU1" t="s">
        <v>7817</v>
      </c>
      <c r="HSV1" t="s">
        <v>7818</v>
      </c>
      <c r="HSW1" t="s">
        <v>7819</v>
      </c>
      <c r="HSX1" t="s">
        <v>7820</v>
      </c>
      <c r="HSY1" t="s">
        <v>7821</v>
      </c>
      <c r="HSZ1" t="s">
        <v>7822</v>
      </c>
      <c r="HTA1" t="s">
        <v>7823</v>
      </c>
      <c r="HTB1" t="s">
        <v>7824</v>
      </c>
      <c r="HTC1" t="s">
        <v>7825</v>
      </c>
      <c r="HTD1" t="s">
        <v>7826</v>
      </c>
      <c r="HTE1" t="s">
        <v>7827</v>
      </c>
      <c r="HTF1" t="s">
        <v>7828</v>
      </c>
      <c r="HTG1" t="s">
        <v>7829</v>
      </c>
      <c r="HTH1" t="s">
        <v>7830</v>
      </c>
      <c r="HTI1" t="s">
        <v>7831</v>
      </c>
      <c r="HTJ1" t="s">
        <v>7832</v>
      </c>
      <c r="HTK1" t="s">
        <v>7833</v>
      </c>
      <c r="HTL1" t="s">
        <v>7834</v>
      </c>
      <c r="HTM1" t="s">
        <v>7835</v>
      </c>
      <c r="HTN1" t="s">
        <v>7836</v>
      </c>
      <c r="HTO1" t="s">
        <v>7837</v>
      </c>
      <c r="HTP1" t="s">
        <v>7838</v>
      </c>
      <c r="HTQ1" t="s">
        <v>7839</v>
      </c>
      <c r="HTR1" t="s">
        <v>7840</v>
      </c>
      <c r="HTS1" t="s">
        <v>7841</v>
      </c>
      <c r="HTT1" t="s">
        <v>7842</v>
      </c>
      <c r="HTU1" t="s">
        <v>7843</v>
      </c>
      <c r="HTV1" t="s">
        <v>7844</v>
      </c>
      <c r="HTW1" t="s">
        <v>7845</v>
      </c>
      <c r="HTX1" t="s">
        <v>7846</v>
      </c>
      <c r="HTY1" t="s">
        <v>7847</v>
      </c>
      <c r="HTZ1" t="s">
        <v>7848</v>
      </c>
      <c r="HUA1" t="s">
        <v>7849</v>
      </c>
      <c r="HUB1" t="s">
        <v>7850</v>
      </c>
      <c r="HUC1" t="s">
        <v>7851</v>
      </c>
      <c r="HUD1" t="s">
        <v>7852</v>
      </c>
      <c r="HUE1" t="s">
        <v>7853</v>
      </c>
      <c r="HUF1" t="s">
        <v>7854</v>
      </c>
      <c r="HUG1" t="s">
        <v>7855</v>
      </c>
      <c r="HUH1" t="s">
        <v>7856</v>
      </c>
      <c r="HUI1" t="s">
        <v>7857</v>
      </c>
      <c r="HUJ1" t="s">
        <v>7858</v>
      </c>
      <c r="HUK1" t="s">
        <v>7859</v>
      </c>
      <c r="HUL1" t="s">
        <v>7860</v>
      </c>
      <c r="HUM1" t="s">
        <v>7861</v>
      </c>
      <c r="HUN1" t="s">
        <v>7862</v>
      </c>
      <c r="HUO1" t="s">
        <v>7863</v>
      </c>
      <c r="HUP1" t="s">
        <v>7864</v>
      </c>
      <c r="HUQ1" t="s">
        <v>7865</v>
      </c>
      <c r="HUR1" t="s">
        <v>7866</v>
      </c>
      <c r="HUS1" t="s">
        <v>7867</v>
      </c>
      <c r="HUT1" t="s">
        <v>7868</v>
      </c>
      <c r="HUU1" t="s">
        <v>7869</v>
      </c>
      <c r="HUV1" t="s">
        <v>7870</v>
      </c>
      <c r="HUW1" t="s">
        <v>7871</v>
      </c>
      <c r="HUX1" t="s">
        <v>7872</v>
      </c>
      <c r="HUY1" t="s">
        <v>7873</v>
      </c>
      <c r="HUZ1" t="s">
        <v>7874</v>
      </c>
      <c r="HVA1" t="s">
        <v>7875</v>
      </c>
      <c r="HVB1" t="s">
        <v>7876</v>
      </c>
      <c r="HVC1" t="s">
        <v>7877</v>
      </c>
      <c r="HVD1" t="s">
        <v>7878</v>
      </c>
      <c r="HVE1" t="s">
        <v>7879</v>
      </c>
      <c r="HVF1" t="s">
        <v>7880</v>
      </c>
      <c r="HVG1" t="s">
        <v>7881</v>
      </c>
      <c r="HVH1" t="s">
        <v>7882</v>
      </c>
      <c r="HVI1" t="s">
        <v>7883</v>
      </c>
      <c r="HVJ1" t="s">
        <v>7884</v>
      </c>
      <c r="HVK1" t="s">
        <v>7885</v>
      </c>
      <c r="HVL1" t="s">
        <v>7886</v>
      </c>
      <c r="HVM1" t="s">
        <v>7887</v>
      </c>
      <c r="HVN1" t="s">
        <v>7888</v>
      </c>
      <c r="HVO1" t="s">
        <v>7889</v>
      </c>
      <c r="HVP1" t="s">
        <v>7890</v>
      </c>
      <c r="HVQ1" t="s">
        <v>7891</v>
      </c>
      <c r="HVR1" t="s">
        <v>7892</v>
      </c>
      <c r="HVS1" t="s">
        <v>7893</v>
      </c>
      <c r="HVT1" t="s">
        <v>7894</v>
      </c>
      <c r="HVU1" t="s">
        <v>7895</v>
      </c>
      <c r="HVV1" t="s">
        <v>7896</v>
      </c>
      <c r="HVW1" t="s">
        <v>7897</v>
      </c>
      <c r="HVX1" t="s">
        <v>7898</v>
      </c>
      <c r="HVY1" t="s">
        <v>7899</v>
      </c>
      <c r="HVZ1" t="s">
        <v>7900</v>
      </c>
      <c r="HWA1" t="s">
        <v>7901</v>
      </c>
      <c r="HWB1" t="s">
        <v>7902</v>
      </c>
      <c r="HWC1" t="s">
        <v>7903</v>
      </c>
      <c r="HWD1" t="s">
        <v>7904</v>
      </c>
      <c r="HWE1" t="s">
        <v>7905</v>
      </c>
      <c r="HWF1" t="s">
        <v>7906</v>
      </c>
      <c r="HWG1" t="s">
        <v>7907</v>
      </c>
      <c r="HWH1" t="s">
        <v>7908</v>
      </c>
      <c r="HWI1" t="s">
        <v>7909</v>
      </c>
      <c r="HWJ1" t="s">
        <v>7910</v>
      </c>
      <c r="HWK1" t="s">
        <v>7911</v>
      </c>
      <c r="HWL1" t="s">
        <v>7912</v>
      </c>
      <c r="HWM1" t="s">
        <v>7913</v>
      </c>
      <c r="HWN1" t="s">
        <v>7914</v>
      </c>
      <c r="HWO1" t="s">
        <v>7915</v>
      </c>
      <c r="HWP1" t="s">
        <v>7916</v>
      </c>
      <c r="HWQ1" t="s">
        <v>7917</v>
      </c>
      <c r="HWR1" t="s">
        <v>7918</v>
      </c>
      <c r="HWS1" t="s">
        <v>7919</v>
      </c>
      <c r="HWT1" t="s">
        <v>7920</v>
      </c>
      <c r="HWU1" t="s">
        <v>7921</v>
      </c>
      <c r="HWV1" t="s">
        <v>7922</v>
      </c>
      <c r="HWW1" t="s">
        <v>7923</v>
      </c>
      <c r="HWX1" t="s">
        <v>7924</v>
      </c>
      <c r="HWY1" t="s">
        <v>7925</v>
      </c>
      <c r="HWZ1" t="s">
        <v>7926</v>
      </c>
      <c r="HXA1" t="s">
        <v>7927</v>
      </c>
      <c r="HXB1" t="s">
        <v>7928</v>
      </c>
      <c r="HXC1" t="s">
        <v>7929</v>
      </c>
      <c r="HXD1" t="s">
        <v>7930</v>
      </c>
      <c r="HXE1" t="s">
        <v>7931</v>
      </c>
      <c r="HXF1" t="s">
        <v>7932</v>
      </c>
      <c r="HXG1" t="s">
        <v>7933</v>
      </c>
      <c r="HXH1" t="s">
        <v>7934</v>
      </c>
      <c r="HXI1" t="s">
        <v>7935</v>
      </c>
      <c r="HXJ1" t="s">
        <v>7936</v>
      </c>
      <c r="HXK1" t="s">
        <v>7937</v>
      </c>
      <c r="HXL1" t="s">
        <v>7938</v>
      </c>
      <c r="HXM1" t="s">
        <v>7939</v>
      </c>
      <c r="HXN1" t="s">
        <v>7940</v>
      </c>
      <c r="HXO1" t="s">
        <v>7941</v>
      </c>
      <c r="HXP1" t="s">
        <v>7942</v>
      </c>
      <c r="HXQ1" t="s">
        <v>7943</v>
      </c>
      <c r="HXR1" t="s">
        <v>7944</v>
      </c>
      <c r="HXS1" t="s">
        <v>7945</v>
      </c>
      <c r="HXT1" t="s">
        <v>7946</v>
      </c>
      <c r="HXU1" t="s">
        <v>7947</v>
      </c>
      <c r="HXV1" t="s">
        <v>7948</v>
      </c>
      <c r="HXW1" t="s">
        <v>7949</v>
      </c>
      <c r="HXX1" t="s">
        <v>7950</v>
      </c>
      <c r="HXY1" t="s">
        <v>7951</v>
      </c>
      <c r="HXZ1" t="s">
        <v>7952</v>
      </c>
      <c r="HYA1" t="s">
        <v>7953</v>
      </c>
      <c r="HYB1" t="s">
        <v>7954</v>
      </c>
      <c r="HYC1" t="s">
        <v>7955</v>
      </c>
      <c r="HYD1" t="s">
        <v>7956</v>
      </c>
      <c r="HYE1" t="s">
        <v>7957</v>
      </c>
      <c r="HYF1" t="s">
        <v>7958</v>
      </c>
      <c r="HYG1" t="s">
        <v>7959</v>
      </c>
      <c r="HYH1" t="s">
        <v>7960</v>
      </c>
      <c r="HYI1" t="s">
        <v>7961</v>
      </c>
      <c r="HYJ1" t="s">
        <v>7962</v>
      </c>
      <c r="HYK1" t="s">
        <v>7963</v>
      </c>
      <c r="HYL1" t="s">
        <v>7964</v>
      </c>
      <c r="HYM1" t="s">
        <v>7965</v>
      </c>
      <c r="HYN1" t="s">
        <v>7966</v>
      </c>
      <c r="HYO1" t="s">
        <v>7967</v>
      </c>
      <c r="HYP1" t="s">
        <v>7968</v>
      </c>
      <c r="HYQ1" t="s">
        <v>7969</v>
      </c>
      <c r="HYR1" t="s">
        <v>7970</v>
      </c>
      <c r="HYS1" t="s">
        <v>7971</v>
      </c>
      <c r="HYT1" t="s">
        <v>7972</v>
      </c>
      <c r="HYU1" t="s">
        <v>7973</v>
      </c>
      <c r="HYV1" t="s">
        <v>7974</v>
      </c>
      <c r="HYW1" t="s">
        <v>7975</v>
      </c>
      <c r="HYX1" t="s">
        <v>7976</v>
      </c>
      <c r="HYY1" t="s">
        <v>7977</v>
      </c>
      <c r="HYZ1" t="s">
        <v>7978</v>
      </c>
      <c r="HZA1" t="s">
        <v>7979</v>
      </c>
      <c r="HZB1" t="s">
        <v>7980</v>
      </c>
      <c r="HZC1" t="s">
        <v>7981</v>
      </c>
      <c r="HZD1" t="s">
        <v>7982</v>
      </c>
      <c r="HZE1" t="s">
        <v>7983</v>
      </c>
      <c r="HZF1" t="s">
        <v>7984</v>
      </c>
      <c r="HZG1" t="s">
        <v>7985</v>
      </c>
      <c r="HZH1" t="s">
        <v>7986</v>
      </c>
      <c r="HZI1" t="s">
        <v>7987</v>
      </c>
      <c r="HZJ1" t="s">
        <v>7988</v>
      </c>
      <c r="HZK1" t="s">
        <v>7989</v>
      </c>
      <c r="HZL1" t="s">
        <v>7990</v>
      </c>
      <c r="HZM1" t="s">
        <v>7991</v>
      </c>
      <c r="HZN1" t="s">
        <v>7992</v>
      </c>
      <c r="HZO1" t="s">
        <v>7993</v>
      </c>
      <c r="HZP1" t="s">
        <v>7994</v>
      </c>
      <c r="HZQ1" t="s">
        <v>7995</v>
      </c>
      <c r="HZR1" t="s">
        <v>7996</v>
      </c>
      <c r="HZS1" t="s">
        <v>7997</v>
      </c>
      <c r="HZT1" t="s">
        <v>7998</v>
      </c>
      <c r="HZU1" t="s">
        <v>7999</v>
      </c>
      <c r="HZV1" t="s">
        <v>8000</v>
      </c>
      <c r="HZW1" t="s">
        <v>8001</v>
      </c>
      <c r="HZX1" t="s">
        <v>8002</v>
      </c>
      <c r="HZY1" t="s">
        <v>8003</v>
      </c>
      <c r="HZZ1" t="s">
        <v>8004</v>
      </c>
      <c r="IAA1" t="s">
        <v>8005</v>
      </c>
      <c r="IAB1" t="s">
        <v>8006</v>
      </c>
      <c r="IAC1" t="s">
        <v>8007</v>
      </c>
      <c r="IAD1" t="s">
        <v>8008</v>
      </c>
      <c r="IAE1" t="s">
        <v>8009</v>
      </c>
      <c r="IAF1" t="s">
        <v>8010</v>
      </c>
      <c r="IAG1" t="s">
        <v>8011</v>
      </c>
      <c r="IAH1" t="s">
        <v>8012</v>
      </c>
      <c r="IAI1" t="s">
        <v>8013</v>
      </c>
      <c r="IAJ1" t="s">
        <v>8014</v>
      </c>
      <c r="IAK1" t="s">
        <v>8015</v>
      </c>
      <c r="IAL1" t="s">
        <v>8016</v>
      </c>
      <c r="IAM1" t="s">
        <v>8017</v>
      </c>
      <c r="IAN1" t="s">
        <v>8018</v>
      </c>
      <c r="IAO1" t="s">
        <v>8019</v>
      </c>
      <c r="IAP1" t="s">
        <v>8020</v>
      </c>
      <c r="IAQ1" t="s">
        <v>8021</v>
      </c>
      <c r="IAR1" t="s">
        <v>8022</v>
      </c>
      <c r="IAS1" t="s">
        <v>8023</v>
      </c>
      <c r="IAT1" t="s">
        <v>8024</v>
      </c>
      <c r="IAU1" t="s">
        <v>8025</v>
      </c>
      <c r="IAV1" t="s">
        <v>8026</v>
      </c>
      <c r="IAW1" t="s">
        <v>8027</v>
      </c>
      <c r="IAX1" t="s">
        <v>8028</v>
      </c>
      <c r="IAY1" t="s">
        <v>8029</v>
      </c>
      <c r="IAZ1" t="s">
        <v>8030</v>
      </c>
      <c r="IBA1" t="s">
        <v>8031</v>
      </c>
      <c r="IBB1" t="s">
        <v>8032</v>
      </c>
      <c r="IBC1" t="s">
        <v>8033</v>
      </c>
      <c r="IBD1" t="s">
        <v>8034</v>
      </c>
      <c r="IBE1" t="s">
        <v>8035</v>
      </c>
      <c r="IBF1" t="s">
        <v>8036</v>
      </c>
      <c r="IBG1" t="s">
        <v>8037</v>
      </c>
      <c r="IBH1" t="s">
        <v>8038</v>
      </c>
      <c r="IBI1" t="s">
        <v>8039</v>
      </c>
      <c r="IBJ1" t="s">
        <v>8040</v>
      </c>
      <c r="IBK1" t="s">
        <v>8041</v>
      </c>
      <c r="IBL1" t="s">
        <v>8042</v>
      </c>
      <c r="IBM1" t="s">
        <v>8043</v>
      </c>
      <c r="IBN1" t="s">
        <v>8044</v>
      </c>
      <c r="IBO1" t="s">
        <v>8045</v>
      </c>
      <c r="IBP1" t="s">
        <v>8046</v>
      </c>
      <c r="IBQ1" t="s">
        <v>8047</v>
      </c>
      <c r="IBR1" t="s">
        <v>8048</v>
      </c>
      <c r="IBS1" t="s">
        <v>8049</v>
      </c>
      <c r="IBT1" t="s">
        <v>8050</v>
      </c>
      <c r="IBU1" t="s">
        <v>8051</v>
      </c>
      <c r="IBV1" t="s">
        <v>8052</v>
      </c>
      <c r="IBW1" t="s">
        <v>8053</v>
      </c>
      <c r="IBX1" t="s">
        <v>8054</v>
      </c>
      <c r="IBY1" t="s">
        <v>8055</v>
      </c>
      <c r="IBZ1" t="s">
        <v>8056</v>
      </c>
      <c r="ICA1" t="s">
        <v>8057</v>
      </c>
      <c r="ICB1" t="s">
        <v>8058</v>
      </c>
      <c r="ICC1" t="s">
        <v>8059</v>
      </c>
      <c r="ICD1" t="s">
        <v>8060</v>
      </c>
      <c r="ICE1" t="s">
        <v>8061</v>
      </c>
      <c r="ICF1" t="s">
        <v>8062</v>
      </c>
      <c r="ICG1" t="s">
        <v>8063</v>
      </c>
      <c r="ICH1" t="s">
        <v>8064</v>
      </c>
      <c r="ICI1" t="s">
        <v>8065</v>
      </c>
      <c r="ICJ1" t="s">
        <v>8066</v>
      </c>
      <c r="ICK1" t="s">
        <v>8067</v>
      </c>
      <c r="ICL1" t="s">
        <v>8068</v>
      </c>
      <c r="ICM1" t="s">
        <v>8069</v>
      </c>
      <c r="ICN1" t="s">
        <v>8070</v>
      </c>
      <c r="ICO1" t="s">
        <v>8071</v>
      </c>
      <c r="ICP1" t="s">
        <v>8072</v>
      </c>
      <c r="ICQ1" t="s">
        <v>8073</v>
      </c>
      <c r="ICR1" t="s">
        <v>8074</v>
      </c>
      <c r="ICS1" t="s">
        <v>8075</v>
      </c>
      <c r="ICT1" t="s">
        <v>8076</v>
      </c>
      <c r="ICU1" t="s">
        <v>8077</v>
      </c>
      <c r="ICV1" t="s">
        <v>8078</v>
      </c>
      <c r="ICW1" t="s">
        <v>8079</v>
      </c>
      <c r="ICX1" t="s">
        <v>8080</v>
      </c>
      <c r="ICY1" t="s">
        <v>8081</v>
      </c>
      <c r="ICZ1" t="s">
        <v>8082</v>
      </c>
      <c r="IDA1" t="s">
        <v>8083</v>
      </c>
      <c r="IDB1" t="s">
        <v>8084</v>
      </c>
      <c r="IDC1" t="s">
        <v>8085</v>
      </c>
      <c r="IDD1" t="s">
        <v>8086</v>
      </c>
      <c r="IDE1" t="s">
        <v>8087</v>
      </c>
      <c r="IDF1" t="s">
        <v>8088</v>
      </c>
      <c r="IDG1" t="s">
        <v>8089</v>
      </c>
      <c r="IDH1" t="s">
        <v>8090</v>
      </c>
      <c r="IDI1" t="s">
        <v>8091</v>
      </c>
      <c r="IDJ1" t="s">
        <v>8092</v>
      </c>
      <c r="IDK1" t="s">
        <v>8093</v>
      </c>
      <c r="IDL1" t="s">
        <v>8094</v>
      </c>
      <c r="IDM1" t="s">
        <v>8095</v>
      </c>
      <c r="IDN1" t="s">
        <v>8096</v>
      </c>
      <c r="IDO1" t="s">
        <v>8097</v>
      </c>
      <c r="IDP1" t="s">
        <v>8098</v>
      </c>
      <c r="IDQ1" t="s">
        <v>8099</v>
      </c>
      <c r="IDR1" t="s">
        <v>8100</v>
      </c>
      <c r="IDS1" t="s">
        <v>8101</v>
      </c>
      <c r="IDT1" t="s">
        <v>8102</v>
      </c>
      <c r="IDU1" t="s">
        <v>8103</v>
      </c>
      <c r="IDV1" t="s">
        <v>8104</v>
      </c>
      <c r="IDW1" t="s">
        <v>8105</v>
      </c>
      <c r="IDX1" t="s">
        <v>8106</v>
      </c>
      <c r="IDY1" t="s">
        <v>8107</v>
      </c>
      <c r="IDZ1" t="s">
        <v>8108</v>
      </c>
      <c r="IEA1" t="s">
        <v>8109</v>
      </c>
      <c r="IEB1" t="s">
        <v>8110</v>
      </c>
      <c r="IEC1" t="s">
        <v>8111</v>
      </c>
      <c r="IED1" t="s">
        <v>8112</v>
      </c>
      <c r="IEE1" t="s">
        <v>8113</v>
      </c>
      <c r="IEF1" t="s">
        <v>8114</v>
      </c>
      <c r="IEG1" t="s">
        <v>8115</v>
      </c>
      <c r="IEH1" t="s">
        <v>8116</v>
      </c>
      <c r="IEI1" t="s">
        <v>8117</v>
      </c>
      <c r="IEJ1" t="s">
        <v>8118</v>
      </c>
      <c r="IEK1" t="s">
        <v>8119</v>
      </c>
      <c r="IEL1" t="s">
        <v>8120</v>
      </c>
      <c r="IEM1" t="s">
        <v>8121</v>
      </c>
      <c r="IEN1" t="s">
        <v>8122</v>
      </c>
      <c r="IEO1" t="s">
        <v>8123</v>
      </c>
      <c r="IEP1" t="s">
        <v>8124</v>
      </c>
      <c r="IEQ1" t="s">
        <v>8125</v>
      </c>
      <c r="IER1" t="s">
        <v>8126</v>
      </c>
      <c r="IES1" t="s">
        <v>8127</v>
      </c>
      <c r="IET1" t="s">
        <v>8128</v>
      </c>
      <c r="IEU1" t="s">
        <v>8129</v>
      </c>
      <c r="IEV1" t="s">
        <v>8130</v>
      </c>
      <c r="IEW1" t="s">
        <v>8131</v>
      </c>
      <c r="IEX1" t="s">
        <v>8132</v>
      </c>
      <c r="IEY1" t="s">
        <v>8133</v>
      </c>
      <c r="IEZ1" t="s">
        <v>8134</v>
      </c>
      <c r="IFA1" t="s">
        <v>8135</v>
      </c>
      <c r="IFB1" t="s">
        <v>8136</v>
      </c>
      <c r="IFC1" t="s">
        <v>8137</v>
      </c>
      <c r="IFD1" t="s">
        <v>8138</v>
      </c>
      <c r="IFE1" t="s">
        <v>8139</v>
      </c>
      <c r="IFF1" t="s">
        <v>8140</v>
      </c>
      <c r="IFG1" t="s">
        <v>8141</v>
      </c>
      <c r="IFH1" t="s">
        <v>8142</v>
      </c>
      <c r="IFI1" t="s">
        <v>8143</v>
      </c>
      <c r="IFJ1" t="s">
        <v>8144</v>
      </c>
      <c r="IFK1" t="s">
        <v>8145</v>
      </c>
      <c r="IFL1" t="s">
        <v>8146</v>
      </c>
      <c r="IFM1" t="s">
        <v>8147</v>
      </c>
      <c r="IFN1" t="s">
        <v>8148</v>
      </c>
      <c r="IFO1" t="s">
        <v>8149</v>
      </c>
      <c r="IFP1" t="s">
        <v>8150</v>
      </c>
      <c r="IFQ1" t="s">
        <v>8151</v>
      </c>
      <c r="IFR1" t="s">
        <v>8152</v>
      </c>
      <c r="IFS1" t="s">
        <v>8153</v>
      </c>
      <c r="IFT1" t="s">
        <v>8154</v>
      </c>
      <c r="IFU1" t="s">
        <v>8155</v>
      </c>
      <c r="IFV1" t="s">
        <v>8156</v>
      </c>
      <c r="IFW1" t="s">
        <v>8157</v>
      </c>
      <c r="IFX1" t="s">
        <v>8158</v>
      </c>
      <c r="IFY1" t="s">
        <v>8159</v>
      </c>
      <c r="IFZ1" t="s">
        <v>8160</v>
      </c>
      <c r="IGA1" t="s">
        <v>8161</v>
      </c>
      <c r="IGB1" t="s">
        <v>8162</v>
      </c>
      <c r="IGC1" t="s">
        <v>8163</v>
      </c>
      <c r="IGD1" t="s">
        <v>8164</v>
      </c>
      <c r="IGE1" t="s">
        <v>8165</v>
      </c>
      <c r="IGF1" t="s">
        <v>8166</v>
      </c>
      <c r="IGG1" t="s">
        <v>8167</v>
      </c>
      <c r="IGH1" t="s">
        <v>8168</v>
      </c>
      <c r="IGI1" t="s">
        <v>8169</v>
      </c>
      <c r="IGJ1" t="s">
        <v>8170</v>
      </c>
      <c r="IGK1" t="s">
        <v>8171</v>
      </c>
      <c r="IGL1" t="s">
        <v>8172</v>
      </c>
      <c r="IGM1" t="s">
        <v>8173</v>
      </c>
      <c r="IGN1" t="s">
        <v>8174</v>
      </c>
      <c r="IGO1" t="s">
        <v>8175</v>
      </c>
      <c r="IGP1" t="s">
        <v>8176</v>
      </c>
      <c r="IGQ1" t="s">
        <v>8177</v>
      </c>
      <c r="IGR1" t="s">
        <v>8178</v>
      </c>
      <c r="IGS1" t="s">
        <v>8179</v>
      </c>
      <c r="IGT1" t="s">
        <v>8180</v>
      </c>
      <c r="IGU1" t="s">
        <v>8181</v>
      </c>
      <c r="IGV1" t="s">
        <v>8182</v>
      </c>
      <c r="IGW1" t="s">
        <v>8183</v>
      </c>
      <c r="IGX1" t="s">
        <v>8184</v>
      </c>
      <c r="IGY1" t="s">
        <v>8185</v>
      </c>
      <c r="IGZ1" t="s">
        <v>8186</v>
      </c>
      <c r="IHA1" t="s">
        <v>8187</v>
      </c>
      <c r="IHB1" t="s">
        <v>8188</v>
      </c>
      <c r="IHC1" t="s">
        <v>8189</v>
      </c>
      <c r="IHD1" t="s">
        <v>8190</v>
      </c>
      <c r="IHE1" t="s">
        <v>8191</v>
      </c>
      <c r="IHF1" t="s">
        <v>8192</v>
      </c>
      <c r="IHG1" t="s">
        <v>8193</v>
      </c>
      <c r="IHH1" t="s">
        <v>8194</v>
      </c>
      <c r="IHI1" t="s">
        <v>8195</v>
      </c>
      <c r="IHJ1" t="s">
        <v>8196</v>
      </c>
      <c r="IHK1" t="s">
        <v>8197</v>
      </c>
      <c r="IHL1" t="s">
        <v>8198</v>
      </c>
      <c r="IHM1" t="s">
        <v>8199</v>
      </c>
      <c r="IHN1" t="s">
        <v>8200</v>
      </c>
      <c r="IHO1" t="s">
        <v>8201</v>
      </c>
      <c r="IHP1" t="s">
        <v>8202</v>
      </c>
      <c r="IHQ1" t="s">
        <v>8203</v>
      </c>
      <c r="IHR1" t="s">
        <v>8204</v>
      </c>
      <c r="IHS1" t="s">
        <v>8205</v>
      </c>
      <c r="IHT1" t="s">
        <v>8206</v>
      </c>
      <c r="IHU1" t="s">
        <v>8207</v>
      </c>
      <c r="IHV1" t="s">
        <v>8208</v>
      </c>
      <c r="IHW1" t="s">
        <v>8209</v>
      </c>
      <c r="IHX1" t="s">
        <v>8210</v>
      </c>
      <c r="IHY1" t="s">
        <v>8211</v>
      </c>
      <c r="IHZ1" t="s">
        <v>8212</v>
      </c>
      <c r="IIA1" t="s">
        <v>8213</v>
      </c>
      <c r="IIB1" t="s">
        <v>8214</v>
      </c>
      <c r="IIC1" t="s">
        <v>8215</v>
      </c>
      <c r="IID1" t="s">
        <v>8216</v>
      </c>
      <c r="IIE1" t="s">
        <v>8217</v>
      </c>
      <c r="IIF1" t="s">
        <v>8218</v>
      </c>
      <c r="IIG1" t="s">
        <v>8219</v>
      </c>
      <c r="IIH1" t="s">
        <v>8220</v>
      </c>
      <c r="III1" t="s">
        <v>8221</v>
      </c>
      <c r="IIJ1" t="s">
        <v>8222</v>
      </c>
      <c r="IIK1" t="s">
        <v>8223</v>
      </c>
      <c r="IIL1" t="s">
        <v>8224</v>
      </c>
      <c r="IIM1" t="s">
        <v>8225</v>
      </c>
      <c r="IIN1" t="s">
        <v>8226</v>
      </c>
      <c r="IIO1" t="s">
        <v>8227</v>
      </c>
      <c r="IIP1" t="s">
        <v>8228</v>
      </c>
      <c r="IIQ1" t="s">
        <v>8229</v>
      </c>
      <c r="IIR1" t="s">
        <v>8230</v>
      </c>
      <c r="IIS1" t="s">
        <v>8231</v>
      </c>
      <c r="IIT1" t="s">
        <v>8232</v>
      </c>
      <c r="IIU1" t="s">
        <v>8233</v>
      </c>
      <c r="IIV1" t="s">
        <v>8234</v>
      </c>
      <c r="IIW1" t="s">
        <v>8235</v>
      </c>
      <c r="IIX1" t="s">
        <v>8236</v>
      </c>
      <c r="IIY1" t="s">
        <v>8237</v>
      </c>
      <c r="IIZ1" t="s">
        <v>8238</v>
      </c>
      <c r="IJA1" t="s">
        <v>8239</v>
      </c>
      <c r="IJB1" t="s">
        <v>8240</v>
      </c>
      <c r="IJC1" t="s">
        <v>8241</v>
      </c>
      <c r="IJD1" t="s">
        <v>8242</v>
      </c>
      <c r="IJE1" t="s">
        <v>8243</v>
      </c>
      <c r="IJF1" t="s">
        <v>8244</v>
      </c>
      <c r="IJG1" t="s">
        <v>8245</v>
      </c>
      <c r="IJH1" t="s">
        <v>8246</v>
      </c>
      <c r="IJI1" t="s">
        <v>8247</v>
      </c>
      <c r="IJJ1" t="s">
        <v>8248</v>
      </c>
      <c r="IJK1" t="s">
        <v>8249</v>
      </c>
      <c r="IJL1" t="s">
        <v>8250</v>
      </c>
      <c r="IJM1" t="s">
        <v>8251</v>
      </c>
      <c r="IJN1" t="s">
        <v>8252</v>
      </c>
      <c r="IJO1" t="s">
        <v>8253</v>
      </c>
      <c r="IJP1" t="s">
        <v>8254</v>
      </c>
      <c r="IJQ1" t="s">
        <v>8255</v>
      </c>
      <c r="IJR1" t="s">
        <v>8256</v>
      </c>
      <c r="IJS1" t="s">
        <v>8257</v>
      </c>
      <c r="IJT1" t="s">
        <v>8258</v>
      </c>
      <c r="IJU1" t="s">
        <v>8259</v>
      </c>
      <c r="IJV1" t="s">
        <v>8260</v>
      </c>
      <c r="IJW1" t="s">
        <v>8261</v>
      </c>
      <c r="IJX1" t="s">
        <v>8262</v>
      </c>
      <c r="IJY1" t="s">
        <v>8263</v>
      </c>
      <c r="IJZ1" t="s">
        <v>8264</v>
      </c>
      <c r="IKA1" t="s">
        <v>8265</v>
      </c>
      <c r="IKB1" t="s">
        <v>8266</v>
      </c>
      <c r="IKC1" t="s">
        <v>8267</v>
      </c>
      <c r="IKD1" t="s">
        <v>8268</v>
      </c>
      <c r="IKE1" t="s">
        <v>8269</v>
      </c>
      <c r="IKF1" t="s">
        <v>8270</v>
      </c>
      <c r="IKG1" t="s">
        <v>8271</v>
      </c>
      <c r="IKH1" t="s">
        <v>8272</v>
      </c>
      <c r="IKI1" t="s">
        <v>8273</v>
      </c>
      <c r="IKJ1" t="s">
        <v>8274</v>
      </c>
      <c r="IKK1" t="s">
        <v>8275</v>
      </c>
      <c r="IKL1" t="s">
        <v>8276</v>
      </c>
      <c r="IKM1" t="s">
        <v>8277</v>
      </c>
      <c r="IKN1" t="s">
        <v>8278</v>
      </c>
      <c r="IKO1" t="s">
        <v>8279</v>
      </c>
      <c r="IKP1" t="s">
        <v>8280</v>
      </c>
      <c r="IKQ1" t="s">
        <v>8281</v>
      </c>
      <c r="IKR1" t="s">
        <v>8282</v>
      </c>
      <c r="IKS1" t="s">
        <v>8283</v>
      </c>
      <c r="IKT1" t="s">
        <v>8284</v>
      </c>
      <c r="IKU1" t="s">
        <v>8285</v>
      </c>
      <c r="IKV1" t="s">
        <v>8286</v>
      </c>
      <c r="IKW1" t="s">
        <v>8287</v>
      </c>
      <c r="IKX1" t="s">
        <v>8288</v>
      </c>
      <c r="IKY1" t="s">
        <v>8289</v>
      </c>
      <c r="IKZ1" t="s">
        <v>8290</v>
      </c>
      <c r="ILA1" t="s">
        <v>8291</v>
      </c>
      <c r="ILB1" t="s">
        <v>8292</v>
      </c>
      <c r="ILC1" t="s">
        <v>8293</v>
      </c>
      <c r="ILD1" t="s">
        <v>8294</v>
      </c>
      <c r="ILE1" t="s">
        <v>8295</v>
      </c>
      <c r="ILF1" t="s">
        <v>8296</v>
      </c>
      <c r="ILG1" t="s">
        <v>8297</v>
      </c>
      <c r="ILH1" t="s">
        <v>8298</v>
      </c>
      <c r="ILI1" t="s">
        <v>8299</v>
      </c>
      <c r="ILJ1" t="s">
        <v>8300</v>
      </c>
      <c r="ILK1" t="s">
        <v>8301</v>
      </c>
      <c r="ILL1" t="s">
        <v>8302</v>
      </c>
      <c r="ILM1" t="s">
        <v>8303</v>
      </c>
      <c r="ILN1" t="s">
        <v>8304</v>
      </c>
      <c r="ILO1" t="s">
        <v>8305</v>
      </c>
      <c r="ILP1" t="s">
        <v>8306</v>
      </c>
      <c r="ILQ1" t="s">
        <v>8307</v>
      </c>
      <c r="ILR1" t="s">
        <v>8308</v>
      </c>
      <c r="ILS1" t="s">
        <v>8309</v>
      </c>
      <c r="ILT1" t="s">
        <v>8310</v>
      </c>
      <c r="ILU1" t="s">
        <v>8311</v>
      </c>
      <c r="ILV1" t="s">
        <v>8312</v>
      </c>
      <c r="ILW1" t="s">
        <v>8313</v>
      </c>
      <c r="ILX1" t="s">
        <v>8314</v>
      </c>
      <c r="ILY1" t="s">
        <v>8315</v>
      </c>
      <c r="ILZ1" t="s">
        <v>8316</v>
      </c>
      <c r="IMA1" t="s">
        <v>8317</v>
      </c>
      <c r="IMB1" t="s">
        <v>8318</v>
      </c>
      <c r="IMC1" t="s">
        <v>8319</v>
      </c>
      <c r="IMD1" t="s">
        <v>8320</v>
      </c>
      <c r="IME1" t="s">
        <v>8321</v>
      </c>
      <c r="IMF1" t="s">
        <v>8322</v>
      </c>
      <c r="IMG1" t="s">
        <v>8323</v>
      </c>
      <c r="IMH1" t="s">
        <v>8324</v>
      </c>
      <c r="IMI1" t="s">
        <v>8325</v>
      </c>
      <c r="IMJ1" t="s">
        <v>8326</v>
      </c>
      <c r="IMK1" t="s">
        <v>8327</v>
      </c>
      <c r="IML1" t="s">
        <v>8328</v>
      </c>
      <c r="IMM1" t="s">
        <v>8329</v>
      </c>
      <c r="IMN1" t="s">
        <v>8330</v>
      </c>
      <c r="IMO1" t="s">
        <v>8331</v>
      </c>
      <c r="IMP1" t="s">
        <v>8332</v>
      </c>
      <c r="IMQ1" t="s">
        <v>8333</v>
      </c>
      <c r="IMR1" t="s">
        <v>8334</v>
      </c>
      <c r="IMS1" t="s">
        <v>8335</v>
      </c>
      <c r="IMT1" t="s">
        <v>8336</v>
      </c>
      <c r="IMU1" t="s">
        <v>8337</v>
      </c>
      <c r="IMV1" t="s">
        <v>8338</v>
      </c>
      <c r="IMW1" t="s">
        <v>8339</v>
      </c>
      <c r="IMX1" t="s">
        <v>8340</v>
      </c>
      <c r="IMY1" t="s">
        <v>8341</v>
      </c>
      <c r="IMZ1" t="s">
        <v>8342</v>
      </c>
      <c r="INA1" t="s">
        <v>8343</v>
      </c>
      <c r="INB1" t="s">
        <v>8344</v>
      </c>
      <c r="INC1" t="s">
        <v>8345</v>
      </c>
      <c r="IND1" t="s">
        <v>8346</v>
      </c>
      <c r="INE1" t="s">
        <v>8347</v>
      </c>
      <c r="INF1" t="s">
        <v>8348</v>
      </c>
      <c r="ING1" t="s">
        <v>8349</v>
      </c>
      <c r="INH1" t="s">
        <v>8350</v>
      </c>
      <c r="INI1" t="s">
        <v>8351</v>
      </c>
      <c r="INJ1" t="s">
        <v>8352</v>
      </c>
      <c r="INK1" t="s">
        <v>8353</v>
      </c>
      <c r="INL1" t="s">
        <v>8354</v>
      </c>
      <c r="INM1" t="s">
        <v>8355</v>
      </c>
      <c r="INN1" t="s">
        <v>8356</v>
      </c>
      <c r="INO1" t="s">
        <v>8357</v>
      </c>
      <c r="INP1" t="s">
        <v>8358</v>
      </c>
      <c r="INQ1" t="s">
        <v>8359</v>
      </c>
      <c r="INR1" t="s">
        <v>8360</v>
      </c>
      <c r="INS1" t="s">
        <v>8361</v>
      </c>
      <c r="INT1" t="s">
        <v>8362</v>
      </c>
      <c r="INU1" t="s">
        <v>8363</v>
      </c>
      <c r="INV1" t="s">
        <v>8364</v>
      </c>
      <c r="INW1" t="s">
        <v>8365</v>
      </c>
      <c r="INX1" t="s">
        <v>8366</v>
      </c>
      <c r="INY1" t="s">
        <v>8367</v>
      </c>
      <c r="INZ1" t="s">
        <v>8368</v>
      </c>
      <c r="IOA1" t="s">
        <v>8369</v>
      </c>
      <c r="IOB1" t="s">
        <v>8370</v>
      </c>
      <c r="IOC1" t="s">
        <v>8371</v>
      </c>
      <c r="IOD1" t="s">
        <v>8372</v>
      </c>
      <c r="IOE1" t="s">
        <v>8373</v>
      </c>
      <c r="IOF1" t="s">
        <v>8374</v>
      </c>
      <c r="IOG1" t="s">
        <v>8375</v>
      </c>
      <c r="IOH1" t="s">
        <v>8376</v>
      </c>
      <c r="IOI1" t="s">
        <v>8377</v>
      </c>
      <c r="IOJ1" t="s">
        <v>8378</v>
      </c>
      <c r="IOK1" t="s">
        <v>8379</v>
      </c>
      <c r="IOL1" t="s">
        <v>8380</v>
      </c>
      <c r="IOM1" t="s">
        <v>8381</v>
      </c>
      <c r="ION1" t="s">
        <v>8382</v>
      </c>
      <c r="IOO1" t="s">
        <v>8383</v>
      </c>
      <c r="IOP1" t="s">
        <v>8384</v>
      </c>
      <c r="IOQ1" t="s">
        <v>8385</v>
      </c>
      <c r="IOR1" t="s">
        <v>8386</v>
      </c>
      <c r="IOS1" t="s">
        <v>8387</v>
      </c>
      <c r="IOT1" t="s">
        <v>8388</v>
      </c>
      <c r="IOU1" t="s">
        <v>8389</v>
      </c>
      <c r="IOV1" t="s">
        <v>8390</v>
      </c>
      <c r="IOW1" t="s">
        <v>8391</v>
      </c>
      <c r="IOX1" t="s">
        <v>8392</v>
      </c>
      <c r="IOY1" t="s">
        <v>8393</v>
      </c>
      <c r="IOZ1" t="s">
        <v>8394</v>
      </c>
      <c r="IPA1" t="s">
        <v>8395</v>
      </c>
      <c r="IPB1" t="s">
        <v>8396</v>
      </c>
      <c r="IPC1" t="s">
        <v>8397</v>
      </c>
      <c r="IPD1" t="s">
        <v>8398</v>
      </c>
      <c r="IPE1" t="s">
        <v>8399</v>
      </c>
      <c r="IPF1" t="s">
        <v>8400</v>
      </c>
      <c r="IPG1" t="s">
        <v>8401</v>
      </c>
      <c r="IPH1" t="s">
        <v>8402</v>
      </c>
      <c r="IPI1" t="s">
        <v>8403</v>
      </c>
      <c r="IPJ1" t="s">
        <v>8404</v>
      </c>
      <c r="IPK1" t="s">
        <v>8405</v>
      </c>
      <c r="IPL1" t="s">
        <v>8406</v>
      </c>
      <c r="IPM1" t="s">
        <v>8407</v>
      </c>
      <c r="IPN1" t="s">
        <v>8408</v>
      </c>
      <c r="IPO1" t="s">
        <v>8409</v>
      </c>
      <c r="IPP1" t="s">
        <v>8410</v>
      </c>
      <c r="IPQ1" t="s">
        <v>8411</v>
      </c>
      <c r="IPR1" t="s">
        <v>8412</v>
      </c>
      <c r="IPS1" t="s">
        <v>8413</v>
      </c>
      <c r="IPT1" t="s">
        <v>8414</v>
      </c>
      <c r="IPU1" t="s">
        <v>8415</v>
      </c>
      <c r="IPV1" t="s">
        <v>8416</v>
      </c>
      <c r="IPW1" t="s">
        <v>8417</v>
      </c>
      <c r="IPX1" t="s">
        <v>8418</v>
      </c>
      <c r="IPY1" t="s">
        <v>8419</v>
      </c>
      <c r="IPZ1" t="s">
        <v>8420</v>
      </c>
      <c r="IQA1" t="s">
        <v>8421</v>
      </c>
      <c r="IQB1" t="s">
        <v>8422</v>
      </c>
      <c r="IQC1" t="s">
        <v>8423</v>
      </c>
      <c r="IQD1" t="s">
        <v>8424</v>
      </c>
      <c r="IQE1" t="s">
        <v>8425</v>
      </c>
      <c r="IQF1" t="s">
        <v>8426</v>
      </c>
      <c r="IQG1" t="s">
        <v>8427</v>
      </c>
      <c r="IQH1" t="s">
        <v>8428</v>
      </c>
      <c r="IQI1" t="s">
        <v>8429</v>
      </c>
      <c r="IQJ1" t="s">
        <v>8430</v>
      </c>
      <c r="IQK1" t="s">
        <v>8431</v>
      </c>
      <c r="IQL1" t="s">
        <v>8432</v>
      </c>
      <c r="IQM1" t="s">
        <v>8433</v>
      </c>
      <c r="IQN1" t="s">
        <v>8434</v>
      </c>
      <c r="IQO1" t="s">
        <v>8435</v>
      </c>
      <c r="IQP1" t="s">
        <v>8436</v>
      </c>
      <c r="IQQ1" t="s">
        <v>8437</v>
      </c>
      <c r="IQR1" t="s">
        <v>8438</v>
      </c>
      <c r="IQS1" t="s">
        <v>8439</v>
      </c>
      <c r="IQT1" t="s">
        <v>8440</v>
      </c>
      <c r="IQU1" t="s">
        <v>8441</v>
      </c>
      <c r="IQV1" t="s">
        <v>8442</v>
      </c>
      <c r="IQW1" t="s">
        <v>8443</v>
      </c>
      <c r="IQX1" t="s">
        <v>8444</v>
      </c>
      <c r="IQY1" t="s">
        <v>8445</v>
      </c>
      <c r="IQZ1" t="s">
        <v>8446</v>
      </c>
      <c r="IRA1" t="s">
        <v>8447</v>
      </c>
      <c r="IRB1" t="s">
        <v>8448</v>
      </c>
      <c r="IRC1" t="s">
        <v>8449</v>
      </c>
      <c r="IRD1" t="s">
        <v>8450</v>
      </c>
      <c r="IRE1" t="s">
        <v>8451</v>
      </c>
      <c r="IRF1" t="s">
        <v>8452</v>
      </c>
      <c r="IRG1" t="s">
        <v>8453</v>
      </c>
      <c r="IRH1" t="s">
        <v>8454</v>
      </c>
      <c r="IRI1" t="s">
        <v>8455</v>
      </c>
      <c r="IRJ1" t="s">
        <v>8456</v>
      </c>
      <c r="IRK1" t="s">
        <v>8457</v>
      </c>
      <c r="IRL1" t="s">
        <v>8458</v>
      </c>
      <c r="IRM1" t="s">
        <v>8459</v>
      </c>
      <c r="IRN1" t="s">
        <v>8460</v>
      </c>
      <c r="IRO1" t="s">
        <v>8461</v>
      </c>
      <c r="IRP1" t="s">
        <v>8462</v>
      </c>
      <c r="IRQ1" t="s">
        <v>8463</v>
      </c>
      <c r="IRR1" t="s">
        <v>8464</v>
      </c>
      <c r="IRS1" t="s">
        <v>8465</v>
      </c>
      <c r="IRT1" t="s">
        <v>8466</v>
      </c>
      <c r="IRU1" t="s">
        <v>8467</v>
      </c>
      <c r="IRV1" t="s">
        <v>8468</v>
      </c>
      <c r="IRW1" t="s">
        <v>8469</v>
      </c>
      <c r="IRX1" t="s">
        <v>8470</v>
      </c>
      <c r="IRY1" t="s">
        <v>8471</v>
      </c>
      <c r="IRZ1" t="s">
        <v>8472</v>
      </c>
      <c r="ISA1" t="s">
        <v>8473</v>
      </c>
      <c r="ISB1" t="s">
        <v>8474</v>
      </c>
      <c r="ISC1" t="s">
        <v>8475</v>
      </c>
      <c r="ISD1" t="s">
        <v>8476</v>
      </c>
      <c r="ISE1" t="s">
        <v>8477</v>
      </c>
      <c r="ISF1" t="s">
        <v>8478</v>
      </c>
      <c r="ISG1" t="s">
        <v>8479</v>
      </c>
      <c r="ISH1" t="s">
        <v>8480</v>
      </c>
      <c r="ISI1" t="s">
        <v>8481</v>
      </c>
      <c r="ISJ1" t="s">
        <v>8482</v>
      </c>
      <c r="ISK1" t="s">
        <v>8483</v>
      </c>
      <c r="ISL1" t="s">
        <v>8484</v>
      </c>
      <c r="ISM1" t="s">
        <v>8485</v>
      </c>
      <c r="ISN1" t="s">
        <v>8486</v>
      </c>
      <c r="ISO1" t="s">
        <v>8487</v>
      </c>
      <c r="ISP1" t="s">
        <v>8488</v>
      </c>
      <c r="ISQ1" t="s">
        <v>8489</v>
      </c>
      <c r="ISR1" t="s">
        <v>8490</v>
      </c>
      <c r="ISS1" t="s">
        <v>8491</v>
      </c>
      <c r="IST1" t="s">
        <v>8492</v>
      </c>
      <c r="ISU1" t="s">
        <v>8493</v>
      </c>
      <c r="ISV1" t="s">
        <v>8494</v>
      </c>
      <c r="ISW1" t="s">
        <v>8495</v>
      </c>
      <c r="ISX1" t="s">
        <v>8496</v>
      </c>
      <c r="ISY1" t="s">
        <v>8497</v>
      </c>
      <c r="ISZ1" t="s">
        <v>8498</v>
      </c>
      <c r="ITA1" t="s">
        <v>8499</v>
      </c>
      <c r="ITB1" t="s">
        <v>8500</v>
      </c>
      <c r="ITC1" t="s">
        <v>8501</v>
      </c>
      <c r="ITD1" t="s">
        <v>8502</v>
      </c>
      <c r="ITE1" t="s">
        <v>8503</v>
      </c>
      <c r="ITF1" t="s">
        <v>8504</v>
      </c>
      <c r="ITG1" t="s">
        <v>8505</v>
      </c>
      <c r="ITH1" t="s">
        <v>8506</v>
      </c>
      <c r="ITI1" t="s">
        <v>8507</v>
      </c>
      <c r="ITJ1" t="s">
        <v>8508</v>
      </c>
      <c r="ITK1" t="s">
        <v>8509</v>
      </c>
      <c r="ITL1" t="s">
        <v>8510</v>
      </c>
      <c r="ITM1" t="s">
        <v>8511</v>
      </c>
      <c r="ITN1" t="s">
        <v>8512</v>
      </c>
      <c r="ITO1" t="s">
        <v>8513</v>
      </c>
      <c r="ITP1" t="s">
        <v>8514</v>
      </c>
      <c r="ITQ1" t="s">
        <v>8515</v>
      </c>
      <c r="ITR1" t="s">
        <v>8516</v>
      </c>
      <c r="ITS1" t="s">
        <v>8517</v>
      </c>
      <c r="ITT1" t="s">
        <v>8518</v>
      </c>
      <c r="ITU1" t="s">
        <v>8519</v>
      </c>
      <c r="ITV1" t="s">
        <v>8520</v>
      </c>
      <c r="ITW1" t="s">
        <v>8521</v>
      </c>
      <c r="ITX1" t="s">
        <v>8522</v>
      </c>
      <c r="ITY1" t="s">
        <v>8523</v>
      </c>
      <c r="ITZ1" t="s">
        <v>8524</v>
      </c>
      <c r="IUA1" t="s">
        <v>8525</v>
      </c>
      <c r="IUB1" t="s">
        <v>8526</v>
      </c>
      <c r="IUC1" t="s">
        <v>8527</v>
      </c>
      <c r="IUD1" t="s">
        <v>8528</v>
      </c>
      <c r="IUE1" t="s">
        <v>8529</v>
      </c>
      <c r="IUF1" t="s">
        <v>8530</v>
      </c>
      <c r="IUG1" t="s">
        <v>8531</v>
      </c>
      <c r="IUH1" t="s">
        <v>8532</v>
      </c>
      <c r="IUI1" t="s">
        <v>8533</v>
      </c>
      <c r="IUJ1" t="s">
        <v>8534</v>
      </c>
      <c r="IUK1" t="s">
        <v>8535</v>
      </c>
      <c r="IUL1" t="s">
        <v>8536</v>
      </c>
      <c r="IUM1" t="s">
        <v>8537</v>
      </c>
      <c r="IUN1" t="s">
        <v>8538</v>
      </c>
      <c r="IUO1" t="s">
        <v>8539</v>
      </c>
      <c r="IUP1" t="s">
        <v>8540</v>
      </c>
      <c r="IUQ1" t="s">
        <v>8541</v>
      </c>
      <c r="IUR1" t="s">
        <v>8542</v>
      </c>
      <c r="IUS1" t="s">
        <v>8543</v>
      </c>
      <c r="IUT1" t="s">
        <v>8544</v>
      </c>
      <c r="IUU1" t="s">
        <v>8545</v>
      </c>
      <c r="IUV1" t="s">
        <v>8546</v>
      </c>
      <c r="IUW1" t="s">
        <v>8547</v>
      </c>
      <c r="IUX1" t="s">
        <v>8548</v>
      </c>
      <c r="IUY1" t="s">
        <v>8549</v>
      </c>
      <c r="IUZ1" t="s">
        <v>8550</v>
      </c>
      <c r="IVA1" t="s">
        <v>8551</v>
      </c>
      <c r="IVB1" t="s">
        <v>8552</v>
      </c>
      <c r="IVC1" t="s">
        <v>8553</v>
      </c>
      <c r="IVD1" t="s">
        <v>8554</v>
      </c>
      <c r="IVE1" t="s">
        <v>8555</v>
      </c>
      <c r="IVF1" t="s">
        <v>8556</v>
      </c>
      <c r="IVG1" t="s">
        <v>8557</v>
      </c>
      <c r="IVH1" t="s">
        <v>8558</v>
      </c>
      <c r="IVI1" t="s">
        <v>8559</v>
      </c>
      <c r="IVJ1" t="s">
        <v>8560</v>
      </c>
      <c r="IVK1" t="s">
        <v>8561</v>
      </c>
      <c r="IVL1" t="s">
        <v>8562</v>
      </c>
      <c r="IVM1" t="s">
        <v>8563</v>
      </c>
      <c r="IVN1" t="s">
        <v>8564</v>
      </c>
      <c r="IVO1" t="s">
        <v>8565</v>
      </c>
      <c r="IVP1" t="s">
        <v>8566</v>
      </c>
      <c r="IVQ1" t="s">
        <v>8567</v>
      </c>
      <c r="IVR1" t="s">
        <v>8568</v>
      </c>
      <c r="IVS1" t="s">
        <v>8569</v>
      </c>
      <c r="IVT1" t="s">
        <v>8570</v>
      </c>
      <c r="IVU1" t="s">
        <v>8571</v>
      </c>
      <c r="IVV1" t="s">
        <v>8572</v>
      </c>
      <c r="IVW1" t="s">
        <v>8573</v>
      </c>
      <c r="IVX1" t="s">
        <v>8574</v>
      </c>
      <c r="IVY1" t="s">
        <v>8575</v>
      </c>
      <c r="IVZ1" t="s">
        <v>8576</v>
      </c>
      <c r="IWA1" t="s">
        <v>8577</v>
      </c>
      <c r="IWB1" t="s">
        <v>8578</v>
      </c>
      <c r="IWC1" t="s">
        <v>8579</v>
      </c>
      <c r="IWD1" t="s">
        <v>8580</v>
      </c>
      <c r="IWE1" t="s">
        <v>8581</v>
      </c>
      <c r="IWF1" t="s">
        <v>8582</v>
      </c>
      <c r="IWG1" t="s">
        <v>8583</v>
      </c>
      <c r="IWH1" t="s">
        <v>8584</v>
      </c>
      <c r="IWI1" t="s">
        <v>8585</v>
      </c>
      <c r="IWJ1" t="s">
        <v>8586</v>
      </c>
      <c r="IWK1" t="s">
        <v>8587</v>
      </c>
      <c r="IWL1" t="s">
        <v>8588</v>
      </c>
      <c r="IWM1" t="s">
        <v>8589</v>
      </c>
      <c r="IWN1" t="s">
        <v>8590</v>
      </c>
      <c r="IWO1" t="s">
        <v>8591</v>
      </c>
      <c r="IWP1" t="s">
        <v>8592</v>
      </c>
      <c r="IWQ1" t="s">
        <v>8593</v>
      </c>
      <c r="IWR1" t="s">
        <v>8594</v>
      </c>
      <c r="IWS1" t="s">
        <v>8595</v>
      </c>
      <c r="IWT1" t="s">
        <v>8596</v>
      </c>
      <c r="IWU1" t="s">
        <v>8597</v>
      </c>
      <c r="IWV1" t="s">
        <v>8598</v>
      </c>
      <c r="IWW1" t="s">
        <v>8599</v>
      </c>
      <c r="IWX1" t="s">
        <v>8600</v>
      </c>
      <c r="IWY1" t="s">
        <v>8601</v>
      </c>
      <c r="IWZ1" t="s">
        <v>8602</v>
      </c>
      <c r="IXA1" t="s">
        <v>8603</v>
      </c>
      <c r="IXB1" t="s">
        <v>8604</v>
      </c>
      <c r="IXC1" t="s">
        <v>8605</v>
      </c>
      <c r="IXD1" t="s">
        <v>8606</v>
      </c>
      <c r="IXE1" t="s">
        <v>8607</v>
      </c>
      <c r="IXF1" t="s">
        <v>8608</v>
      </c>
      <c r="IXG1" t="s">
        <v>8609</v>
      </c>
      <c r="IXH1" t="s">
        <v>8610</v>
      </c>
      <c r="IXI1" t="s">
        <v>8611</v>
      </c>
      <c r="IXJ1" t="s">
        <v>8612</v>
      </c>
      <c r="IXK1" t="s">
        <v>8613</v>
      </c>
      <c r="IXL1" t="s">
        <v>8614</v>
      </c>
      <c r="IXM1" t="s">
        <v>8615</v>
      </c>
      <c r="IXN1" t="s">
        <v>8616</v>
      </c>
      <c r="IXO1" t="s">
        <v>8617</v>
      </c>
      <c r="IXP1" t="s">
        <v>8618</v>
      </c>
      <c r="IXQ1" t="s">
        <v>8619</v>
      </c>
      <c r="IXR1" t="s">
        <v>8620</v>
      </c>
      <c r="IXS1" t="s">
        <v>8621</v>
      </c>
      <c r="IXT1" t="s">
        <v>8622</v>
      </c>
      <c r="IXU1" t="s">
        <v>8623</v>
      </c>
      <c r="IXV1" t="s">
        <v>8624</v>
      </c>
      <c r="IXW1" t="s">
        <v>8625</v>
      </c>
      <c r="IXX1" t="s">
        <v>8626</v>
      </c>
      <c r="IXY1" t="s">
        <v>8627</v>
      </c>
      <c r="IXZ1" t="s">
        <v>8628</v>
      </c>
      <c r="IYA1" t="s">
        <v>8629</v>
      </c>
      <c r="IYB1" t="s">
        <v>8630</v>
      </c>
      <c r="IYC1" t="s">
        <v>8631</v>
      </c>
      <c r="IYD1" t="s">
        <v>8632</v>
      </c>
      <c r="IYE1" t="s">
        <v>8633</v>
      </c>
      <c r="IYF1" t="s">
        <v>8634</v>
      </c>
      <c r="IYG1" t="s">
        <v>8635</v>
      </c>
      <c r="IYH1" t="s">
        <v>8636</v>
      </c>
      <c r="IYI1" t="s">
        <v>8637</v>
      </c>
      <c r="IYJ1" t="s">
        <v>8638</v>
      </c>
      <c r="IYK1" t="s">
        <v>8639</v>
      </c>
      <c r="IYL1" t="s">
        <v>8640</v>
      </c>
      <c r="IYM1" t="s">
        <v>8641</v>
      </c>
      <c r="IYN1" t="s">
        <v>8642</v>
      </c>
      <c r="IYO1" t="s">
        <v>8643</v>
      </c>
      <c r="IYP1" t="s">
        <v>8644</v>
      </c>
      <c r="IYQ1" t="s">
        <v>8645</v>
      </c>
      <c r="IYR1" t="s">
        <v>8646</v>
      </c>
      <c r="IYS1" t="s">
        <v>8647</v>
      </c>
      <c r="IYT1" t="s">
        <v>8648</v>
      </c>
      <c r="IYU1" t="s">
        <v>8649</v>
      </c>
      <c r="IYV1" t="s">
        <v>8650</v>
      </c>
      <c r="IYW1" t="s">
        <v>8651</v>
      </c>
      <c r="IYX1" t="s">
        <v>8652</v>
      </c>
      <c r="IYY1" t="s">
        <v>8653</v>
      </c>
      <c r="IYZ1" t="s">
        <v>8654</v>
      </c>
      <c r="IZA1" t="s">
        <v>8655</v>
      </c>
      <c r="IZB1" t="s">
        <v>8656</v>
      </c>
      <c r="IZC1" t="s">
        <v>8657</v>
      </c>
      <c r="IZD1" t="s">
        <v>8658</v>
      </c>
      <c r="IZE1" t="s">
        <v>8659</v>
      </c>
      <c r="IZF1" t="s">
        <v>8660</v>
      </c>
      <c r="IZG1" t="s">
        <v>8661</v>
      </c>
      <c r="IZH1" t="s">
        <v>8662</v>
      </c>
      <c r="IZI1" t="s">
        <v>8663</v>
      </c>
      <c r="IZJ1" t="s">
        <v>8664</v>
      </c>
      <c r="IZK1" t="s">
        <v>8665</v>
      </c>
      <c r="IZL1" t="s">
        <v>8666</v>
      </c>
      <c r="IZM1" t="s">
        <v>8667</v>
      </c>
      <c r="IZN1" t="s">
        <v>8668</v>
      </c>
      <c r="IZO1" t="s">
        <v>8669</v>
      </c>
      <c r="IZP1" t="s">
        <v>8670</v>
      </c>
      <c r="IZQ1" t="s">
        <v>8671</v>
      </c>
      <c r="IZR1" t="s">
        <v>8672</v>
      </c>
      <c r="IZS1" t="s">
        <v>8673</v>
      </c>
      <c r="IZT1" t="s">
        <v>8674</v>
      </c>
      <c r="IZU1" t="s">
        <v>8675</v>
      </c>
      <c r="IZV1" t="s">
        <v>8676</v>
      </c>
      <c r="IZW1" t="s">
        <v>8677</v>
      </c>
      <c r="IZX1" t="s">
        <v>8678</v>
      </c>
      <c r="IZY1" t="s">
        <v>8679</v>
      </c>
      <c r="IZZ1" t="s">
        <v>8680</v>
      </c>
      <c r="JAA1" t="s">
        <v>8681</v>
      </c>
      <c r="JAB1" t="s">
        <v>8682</v>
      </c>
      <c r="JAC1" t="s">
        <v>8683</v>
      </c>
      <c r="JAD1" t="s">
        <v>8684</v>
      </c>
      <c r="JAE1" t="s">
        <v>8685</v>
      </c>
      <c r="JAF1" t="s">
        <v>8686</v>
      </c>
      <c r="JAG1" t="s">
        <v>8687</v>
      </c>
      <c r="JAH1" t="s">
        <v>8688</v>
      </c>
      <c r="JAI1" t="s">
        <v>8689</v>
      </c>
      <c r="JAJ1" t="s">
        <v>8690</v>
      </c>
      <c r="JAK1" t="s">
        <v>8691</v>
      </c>
      <c r="JAL1" t="s">
        <v>8692</v>
      </c>
      <c r="JAM1" t="s">
        <v>8693</v>
      </c>
      <c r="JAN1" t="s">
        <v>8694</v>
      </c>
      <c r="JAO1" t="s">
        <v>8695</v>
      </c>
      <c r="JAP1" t="s">
        <v>8696</v>
      </c>
      <c r="JAQ1" t="s">
        <v>8697</v>
      </c>
      <c r="JAR1" t="s">
        <v>8698</v>
      </c>
      <c r="JAS1" t="s">
        <v>8699</v>
      </c>
      <c r="JAT1" t="s">
        <v>8700</v>
      </c>
      <c r="JAU1" t="s">
        <v>8701</v>
      </c>
      <c r="JAV1" t="s">
        <v>8702</v>
      </c>
      <c r="JAW1" t="s">
        <v>8703</v>
      </c>
      <c r="JAX1" t="s">
        <v>8704</v>
      </c>
      <c r="JAY1" t="s">
        <v>8705</v>
      </c>
      <c r="JAZ1" t="s">
        <v>8706</v>
      </c>
      <c r="JBA1" t="s">
        <v>8707</v>
      </c>
      <c r="JBB1" t="s">
        <v>8708</v>
      </c>
      <c r="JBC1" t="s">
        <v>8709</v>
      </c>
      <c r="JBD1" t="s">
        <v>8710</v>
      </c>
      <c r="JBE1" t="s">
        <v>8711</v>
      </c>
      <c r="JBF1" t="s">
        <v>8712</v>
      </c>
      <c r="JBG1" t="s">
        <v>8713</v>
      </c>
      <c r="JBH1" t="s">
        <v>8714</v>
      </c>
      <c r="JBI1" t="s">
        <v>8715</v>
      </c>
      <c r="JBJ1" t="s">
        <v>8716</v>
      </c>
      <c r="JBK1" t="s">
        <v>8717</v>
      </c>
      <c r="JBL1" t="s">
        <v>8718</v>
      </c>
      <c r="JBM1" t="s">
        <v>8719</v>
      </c>
      <c r="JBN1" t="s">
        <v>8720</v>
      </c>
      <c r="JBO1" t="s">
        <v>8721</v>
      </c>
      <c r="JBP1" t="s">
        <v>8722</v>
      </c>
      <c r="JBQ1" t="s">
        <v>8723</v>
      </c>
      <c r="JBR1" t="s">
        <v>8724</v>
      </c>
      <c r="JBS1" t="s">
        <v>8725</v>
      </c>
      <c r="JBT1" t="s">
        <v>8726</v>
      </c>
      <c r="JBU1" t="s">
        <v>8727</v>
      </c>
      <c r="JBV1" t="s">
        <v>8728</v>
      </c>
      <c r="JBW1" t="s">
        <v>8729</v>
      </c>
      <c r="JBX1" t="s">
        <v>8730</v>
      </c>
      <c r="JBY1" t="s">
        <v>8731</v>
      </c>
      <c r="JBZ1" t="s">
        <v>8732</v>
      </c>
      <c r="JCA1" t="s">
        <v>8733</v>
      </c>
      <c r="JCB1" t="s">
        <v>8734</v>
      </c>
      <c r="JCC1" t="s">
        <v>8735</v>
      </c>
      <c r="JCD1" t="s">
        <v>8736</v>
      </c>
      <c r="JCE1" t="s">
        <v>8737</v>
      </c>
      <c r="JCF1" t="s">
        <v>8738</v>
      </c>
      <c r="JCG1" t="s">
        <v>8739</v>
      </c>
      <c r="JCH1" t="s">
        <v>8740</v>
      </c>
      <c r="JCI1" t="s">
        <v>8741</v>
      </c>
      <c r="JCJ1" t="s">
        <v>8742</v>
      </c>
      <c r="JCK1" t="s">
        <v>8743</v>
      </c>
      <c r="JCL1" t="s">
        <v>8744</v>
      </c>
      <c r="JCM1" t="s">
        <v>8745</v>
      </c>
      <c r="JCN1" t="s">
        <v>8746</v>
      </c>
      <c r="JCO1" t="s">
        <v>8747</v>
      </c>
      <c r="JCP1" t="s">
        <v>8748</v>
      </c>
      <c r="JCQ1" t="s">
        <v>8749</v>
      </c>
      <c r="JCR1" t="s">
        <v>8750</v>
      </c>
      <c r="JCS1" t="s">
        <v>8751</v>
      </c>
      <c r="JCT1" t="s">
        <v>8752</v>
      </c>
      <c r="JCU1" t="s">
        <v>8753</v>
      </c>
      <c r="JCV1" t="s">
        <v>8754</v>
      </c>
      <c r="JCW1" t="s">
        <v>8755</v>
      </c>
      <c r="JCX1" t="s">
        <v>8756</v>
      </c>
      <c r="JCY1" t="s">
        <v>8757</v>
      </c>
      <c r="JCZ1" t="s">
        <v>8758</v>
      </c>
      <c r="JDA1" t="s">
        <v>8759</v>
      </c>
      <c r="JDB1" t="s">
        <v>8760</v>
      </c>
      <c r="JDC1" t="s">
        <v>8761</v>
      </c>
      <c r="JDD1" t="s">
        <v>8762</v>
      </c>
      <c r="JDE1" t="s">
        <v>8763</v>
      </c>
      <c r="JDF1" t="s">
        <v>8764</v>
      </c>
      <c r="JDG1" t="s">
        <v>8765</v>
      </c>
      <c r="JDH1" t="s">
        <v>8766</v>
      </c>
      <c r="JDI1" t="s">
        <v>8767</v>
      </c>
      <c r="JDJ1" t="s">
        <v>8768</v>
      </c>
      <c r="JDK1" t="s">
        <v>8769</v>
      </c>
      <c r="JDL1" t="s">
        <v>8770</v>
      </c>
      <c r="JDM1" t="s">
        <v>8771</v>
      </c>
      <c r="JDN1" t="s">
        <v>8772</v>
      </c>
      <c r="JDO1" t="s">
        <v>8773</v>
      </c>
      <c r="JDP1" t="s">
        <v>8774</v>
      </c>
      <c r="JDQ1" t="s">
        <v>8775</v>
      </c>
      <c r="JDR1" t="s">
        <v>8776</v>
      </c>
      <c r="JDS1" t="s">
        <v>8777</v>
      </c>
      <c r="JDT1" t="s">
        <v>8778</v>
      </c>
      <c r="JDU1" t="s">
        <v>8779</v>
      </c>
      <c r="JDV1" t="s">
        <v>8780</v>
      </c>
      <c r="JDW1" t="s">
        <v>8781</v>
      </c>
      <c r="JDX1" t="s">
        <v>8782</v>
      </c>
      <c r="JDY1" t="s">
        <v>8783</v>
      </c>
      <c r="JDZ1" t="s">
        <v>8784</v>
      </c>
      <c r="JEA1" t="s">
        <v>8785</v>
      </c>
      <c r="JEB1" t="s">
        <v>8786</v>
      </c>
      <c r="JEC1" t="s">
        <v>8787</v>
      </c>
      <c r="JED1" t="s">
        <v>8788</v>
      </c>
      <c r="JEE1" t="s">
        <v>8789</v>
      </c>
      <c r="JEF1" t="s">
        <v>8790</v>
      </c>
      <c r="JEG1" t="s">
        <v>8791</v>
      </c>
      <c r="JEH1" t="s">
        <v>8792</v>
      </c>
      <c r="JEI1" t="s">
        <v>8793</v>
      </c>
      <c r="JEJ1" t="s">
        <v>8794</v>
      </c>
      <c r="JEK1" t="s">
        <v>8795</v>
      </c>
      <c r="JEL1" t="s">
        <v>8796</v>
      </c>
      <c r="JEM1" t="s">
        <v>8797</v>
      </c>
      <c r="JEN1" t="s">
        <v>8798</v>
      </c>
      <c r="JEO1" t="s">
        <v>8799</v>
      </c>
      <c r="JEP1" t="s">
        <v>8800</v>
      </c>
      <c r="JEQ1" t="s">
        <v>8801</v>
      </c>
      <c r="JER1" t="s">
        <v>8802</v>
      </c>
      <c r="JES1" t="s">
        <v>8803</v>
      </c>
      <c r="JET1" t="s">
        <v>8804</v>
      </c>
      <c r="JEU1" t="s">
        <v>8805</v>
      </c>
      <c r="JEV1" t="s">
        <v>8806</v>
      </c>
      <c r="JEW1" t="s">
        <v>8807</v>
      </c>
      <c r="JEX1" t="s">
        <v>8808</v>
      </c>
      <c r="JEY1" t="s">
        <v>8809</v>
      </c>
      <c r="JEZ1" t="s">
        <v>8810</v>
      </c>
      <c r="JFA1" t="s">
        <v>8811</v>
      </c>
      <c r="JFB1" t="s">
        <v>8812</v>
      </c>
      <c r="JFC1" t="s">
        <v>8813</v>
      </c>
      <c r="JFD1" t="s">
        <v>8814</v>
      </c>
      <c r="JFE1" t="s">
        <v>8815</v>
      </c>
      <c r="JFF1" t="s">
        <v>8816</v>
      </c>
      <c r="JFG1" t="s">
        <v>8817</v>
      </c>
      <c r="JFH1" t="s">
        <v>8818</v>
      </c>
      <c r="JFI1" t="s">
        <v>8819</v>
      </c>
      <c r="JFJ1" t="s">
        <v>8820</v>
      </c>
      <c r="JFK1" t="s">
        <v>8821</v>
      </c>
      <c r="JFL1" t="s">
        <v>8822</v>
      </c>
      <c r="JFM1" t="s">
        <v>8823</v>
      </c>
      <c r="JFN1" t="s">
        <v>8824</v>
      </c>
      <c r="JFO1" t="s">
        <v>8825</v>
      </c>
      <c r="JFP1" t="s">
        <v>8826</v>
      </c>
      <c r="JFQ1" t="s">
        <v>8827</v>
      </c>
      <c r="JFR1" t="s">
        <v>8828</v>
      </c>
      <c r="JFS1" t="s">
        <v>8829</v>
      </c>
      <c r="JFT1" t="s">
        <v>8830</v>
      </c>
      <c r="JFU1" t="s">
        <v>8831</v>
      </c>
      <c r="JFV1" t="s">
        <v>8832</v>
      </c>
      <c r="JFW1" t="s">
        <v>8833</v>
      </c>
      <c r="JFX1" t="s">
        <v>8834</v>
      </c>
      <c r="JFY1" t="s">
        <v>8835</v>
      </c>
      <c r="JFZ1" t="s">
        <v>8836</v>
      </c>
      <c r="JGA1" t="s">
        <v>8837</v>
      </c>
      <c r="JGB1" t="s">
        <v>8838</v>
      </c>
      <c r="JGC1" t="s">
        <v>8839</v>
      </c>
      <c r="JGD1" t="s">
        <v>8840</v>
      </c>
      <c r="JGE1" t="s">
        <v>8841</v>
      </c>
      <c r="JGF1" t="s">
        <v>8842</v>
      </c>
      <c r="JGG1" t="s">
        <v>8843</v>
      </c>
      <c r="JGH1" t="s">
        <v>8844</v>
      </c>
      <c r="JGI1" t="s">
        <v>8845</v>
      </c>
      <c r="JGJ1" t="s">
        <v>8846</v>
      </c>
      <c r="JGK1" t="s">
        <v>8847</v>
      </c>
      <c r="JGL1" t="s">
        <v>8848</v>
      </c>
      <c r="JGM1" t="s">
        <v>8849</v>
      </c>
      <c r="JGN1" t="s">
        <v>8850</v>
      </c>
      <c r="JGO1" t="s">
        <v>8851</v>
      </c>
      <c r="JGP1" t="s">
        <v>8852</v>
      </c>
      <c r="JGQ1" t="s">
        <v>8853</v>
      </c>
      <c r="JGR1" t="s">
        <v>8854</v>
      </c>
      <c r="JGS1" t="s">
        <v>8855</v>
      </c>
      <c r="JGT1" t="s">
        <v>8856</v>
      </c>
      <c r="JGU1" t="s">
        <v>8857</v>
      </c>
      <c r="JGV1" t="s">
        <v>8858</v>
      </c>
      <c r="JGW1" t="s">
        <v>8859</v>
      </c>
      <c r="JGX1" t="s">
        <v>8860</v>
      </c>
      <c r="JGY1" t="s">
        <v>8861</v>
      </c>
      <c r="JGZ1" t="s">
        <v>8862</v>
      </c>
      <c r="JHA1" t="s">
        <v>8863</v>
      </c>
      <c r="JHB1" t="s">
        <v>8864</v>
      </c>
      <c r="JHC1" t="s">
        <v>8865</v>
      </c>
      <c r="JHD1" t="s">
        <v>8866</v>
      </c>
      <c r="JHE1" t="s">
        <v>8867</v>
      </c>
      <c r="JHF1" t="s">
        <v>8868</v>
      </c>
      <c r="JHG1" t="s">
        <v>8869</v>
      </c>
      <c r="JHH1" t="s">
        <v>8870</v>
      </c>
      <c r="JHI1" t="s">
        <v>8871</v>
      </c>
      <c r="JHJ1" t="s">
        <v>8872</v>
      </c>
      <c r="JHK1" t="s">
        <v>8873</v>
      </c>
      <c r="JHL1" t="s">
        <v>8874</v>
      </c>
      <c r="JHM1" t="s">
        <v>8875</v>
      </c>
      <c r="JHN1" t="s">
        <v>8876</v>
      </c>
      <c r="JHO1" t="s">
        <v>8877</v>
      </c>
      <c r="JHP1" t="s">
        <v>8878</v>
      </c>
      <c r="JHQ1" t="s">
        <v>8879</v>
      </c>
      <c r="JHR1" t="s">
        <v>8880</v>
      </c>
      <c r="JHS1" t="s">
        <v>8881</v>
      </c>
      <c r="JHT1" t="s">
        <v>8882</v>
      </c>
      <c r="JHU1" t="s">
        <v>8883</v>
      </c>
      <c r="JHV1" t="s">
        <v>8884</v>
      </c>
      <c r="JHW1" t="s">
        <v>8885</v>
      </c>
      <c r="JHX1" t="s">
        <v>8886</v>
      </c>
      <c r="JHY1" t="s">
        <v>8887</v>
      </c>
      <c r="JHZ1" t="s">
        <v>8888</v>
      </c>
      <c r="JIA1" t="s">
        <v>8889</v>
      </c>
      <c r="JIB1" t="s">
        <v>8890</v>
      </c>
      <c r="JIC1" t="s">
        <v>8891</v>
      </c>
      <c r="JID1" t="s">
        <v>8892</v>
      </c>
      <c r="JIE1" t="s">
        <v>8893</v>
      </c>
      <c r="JIF1" t="s">
        <v>8894</v>
      </c>
      <c r="JIG1" t="s">
        <v>8895</v>
      </c>
      <c r="JIH1" t="s">
        <v>8896</v>
      </c>
      <c r="JII1" t="s">
        <v>8897</v>
      </c>
      <c r="JIJ1" t="s">
        <v>8898</v>
      </c>
      <c r="JIK1" t="s">
        <v>8899</v>
      </c>
      <c r="JIL1" t="s">
        <v>8900</v>
      </c>
      <c r="JIM1" t="s">
        <v>8901</v>
      </c>
      <c r="JIN1" t="s">
        <v>8902</v>
      </c>
      <c r="JIO1" t="s">
        <v>8903</v>
      </c>
      <c r="JIP1" t="s">
        <v>8904</v>
      </c>
      <c r="JIQ1" t="s">
        <v>8905</v>
      </c>
      <c r="JIR1" t="s">
        <v>8906</v>
      </c>
      <c r="JIS1" t="s">
        <v>8907</v>
      </c>
      <c r="JIT1" t="s">
        <v>8908</v>
      </c>
      <c r="JIU1" t="s">
        <v>8909</v>
      </c>
      <c r="JIV1" t="s">
        <v>8910</v>
      </c>
      <c r="JIW1" t="s">
        <v>8911</v>
      </c>
      <c r="JIX1" t="s">
        <v>8912</v>
      </c>
      <c r="JIY1" t="s">
        <v>8913</v>
      </c>
      <c r="JIZ1" t="s">
        <v>8914</v>
      </c>
      <c r="JJA1" t="s">
        <v>8915</v>
      </c>
      <c r="JJB1" t="s">
        <v>8916</v>
      </c>
      <c r="JJC1" t="s">
        <v>8917</v>
      </c>
      <c r="JJD1" t="s">
        <v>8918</v>
      </c>
      <c r="JJE1" t="s">
        <v>8919</v>
      </c>
      <c r="JJF1" t="s">
        <v>8920</v>
      </c>
      <c r="JJG1" t="s">
        <v>8921</v>
      </c>
      <c r="JJH1" t="s">
        <v>8922</v>
      </c>
      <c r="JJI1" t="s">
        <v>8923</v>
      </c>
      <c r="JJJ1" t="s">
        <v>8924</v>
      </c>
      <c r="JJK1" t="s">
        <v>8925</v>
      </c>
      <c r="JJL1" t="s">
        <v>8926</v>
      </c>
      <c r="JJM1" t="s">
        <v>8927</v>
      </c>
      <c r="JJN1" t="s">
        <v>8928</v>
      </c>
      <c r="JJO1" t="s">
        <v>8929</v>
      </c>
      <c r="JJP1" t="s">
        <v>8930</v>
      </c>
      <c r="JJQ1" t="s">
        <v>8931</v>
      </c>
      <c r="JJR1" t="s">
        <v>8932</v>
      </c>
      <c r="JJS1" t="s">
        <v>8933</v>
      </c>
      <c r="JJT1" t="s">
        <v>8934</v>
      </c>
      <c r="JJU1" t="s">
        <v>8935</v>
      </c>
      <c r="JJV1" t="s">
        <v>8936</v>
      </c>
      <c r="JJW1" t="s">
        <v>8937</v>
      </c>
      <c r="JJX1" t="s">
        <v>8938</v>
      </c>
      <c r="JJY1" t="s">
        <v>8939</v>
      </c>
      <c r="JJZ1" t="s">
        <v>8940</v>
      </c>
      <c r="JKA1" t="s">
        <v>8941</v>
      </c>
      <c r="JKB1" t="s">
        <v>8942</v>
      </c>
      <c r="JKC1" t="s">
        <v>8943</v>
      </c>
      <c r="JKD1" t="s">
        <v>8944</v>
      </c>
      <c r="JKE1" t="s">
        <v>8945</v>
      </c>
      <c r="JKF1" t="s">
        <v>8946</v>
      </c>
      <c r="JKG1" t="s">
        <v>8947</v>
      </c>
      <c r="JKH1" t="s">
        <v>8948</v>
      </c>
      <c r="JKI1" t="s">
        <v>8949</v>
      </c>
      <c r="JKJ1" t="s">
        <v>8950</v>
      </c>
      <c r="JKK1" t="s">
        <v>8951</v>
      </c>
      <c r="JKL1" t="s">
        <v>8952</v>
      </c>
      <c r="JKM1" t="s">
        <v>8953</v>
      </c>
      <c r="JKN1" t="s">
        <v>8954</v>
      </c>
      <c r="JKO1" t="s">
        <v>8955</v>
      </c>
      <c r="JKP1" t="s">
        <v>8956</v>
      </c>
      <c r="JKQ1" t="s">
        <v>8957</v>
      </c>
      <c r="JKR1" t="s">
        <v>8958</v>
      </c>
      <c r="JKS1" t="s">
        <v>8959</v>
      </c>
      <c r="JKT1" t="s">
        <v>8960</v>
      </c>
      <c r="JKU1" t="s">
        <v>8961</v>
      </c>
      <c r="JKV1" t="s">
        <v>8962</v>
      </c>
      <c r="JKW1" t="s">
        <v>8963</v>
      </c>
      <c r="JKX1" t="s">
        <v>8964</v>
      </c>
      <c r="JKY1" t="s">
        <v>8965</v>
      </c>
      <c r="JKZ1" t="s">
        <v>8966</v>
      </c>
      <c r="JLA1" t="s">
        <v>8967</v>
      </c>
      <c r="JLB1" t="s">
        <v>8968</v>
      </c>
      <c r="JLC1" t="s">
        <v>8969</v>
      </c>
      <c r="JLD1" t="s">
        <v>8970</v>
      </c>
      <c r="JLE1" t="s">
        <v>8971</v>
      </c>
      <c r="JLF1" t="s">
        <v>8972</v>
      </c>
      <c r="JLG1" t="s">
        <v>8973</v>
      </c>
      <c r="JLH1" t="s">
        <v>8974</v>
      </c>
      <c r="JLI1" t="s">
        <v>8975</v>
      </c>
      <c r="JLJ1" t="s">
        <v>8976</v>
      </c>
      <c r="JLK1" t="s">
        <v>8977</v>
      </c>
      <c r="JLL1" t="s">
        <v>8978</v>
      </c>
      <c r="JLM1" t="s">
        <v>8979</v>
      </c>
      <c r="JLN1" t="s">
        <v>8980</v>
      </c>
      <c r="JLO1" t="s">
        <v>8981</v>
      </c>
      <c r="JLP1" t="s">
        <v>8982</v>
      </c>
      <c r="JLQ1" t="s">
        <v>8983</v>
      </c>
      <c r="JLR1" t="s">
        <v>8984</v>
      </c>
      <c r="JLS1" t="s">
        <v>8985</v>
      </c>
      <c r="JLT1" t="s">
        <v>8986</v>
      </c>
      <c r="JLU1" t="s">
        <v>8987</v>
      </c>
      <c r="JLV1" t="s">
        <v>8988</v>
      </c>
      <c r="JLW1" t="s">
        <v>8989</v>
      </c>
      <c r="JLX1" t="s">
        <v>8990</v>
      </c>
      <c r="JLY1" t="s">
        <v>8991</v>
      </c>
      <c r="JLZ1" t="s">
        <v>8992</v>
      </c>
      <c r="JMA1" t="s">
        <v>8993</v>
      </c>
      <c r="JMB1" t="s">
        <v>8994</v>
      </c>
      <c r="JMC1" t="s">
        <v>8995</v>
      </c>
      <c r="JMD1" t="s">
        <v>8996</v>
      </c>
      <c r="JME1" t="s">
        <v>8997</v>
      </c>
      <c r="JMF1" t="s">
        <v>8998</v>
      </c>
      <c r="JMG1" t="s">
        <v>8999</v>
      </c>
      <c r="JMH1" t="s">
        <v>9000</v>
      </c>
      <c r="JMI1" t="s">
        <v>9001</v>
      </c>
      <c r="JMJ1" t="s">
        <v>9002</v>
      </c>
      <c r="JMK1" t="s">
        <v>9003</v>
      </c>
      <c r="JML1" t="s">
        <v>9004</v>
      </c>
      <c r="JMM1" t="s">
        <v>9005</v>
      </c>
      <c r="JMN1" t="s">
        <v>9006</v>
      </c>
      <c r="JMO1" t="s">
        <v>9007</v>
      </c>
      <c r="JMP1" t="s">
        <v>9008</v>
      </c>
      <c r="JMQ1" t="s">
        <v>9009</v>
      </c>
      <c r="JMR1" t="s">
        <v>9010</v>
      </c>
      <c r="JMS1" t="s">
        <v>9011</v>
      </c>
      <c r="JMT1" t="s">
        <v>9012</v>
      </c>
      <c r="JMU1" t="s">
        <v>9013</v>
      </c>
      <c r="JMV1" t="s">
        <v>9014</v>
      </c>
      <c r="JMW1" t="s">
        <v>9015</v>
      </c>
      <c r="JMX1" t="s">
        <v>9016</v>
      </c>
      <c r="JMY1" t="s">
        <v>9017</v>
      </c>
      <c r="JMZ1" t="s">
        <v>9018</v>
      </c>
      <c r="JNA1" t="s">
        <v>9019</v>
      </c>
      <c r="JNB1" t="s">
        <v>9020</v>
      </c>
      <c r="JNC1" t="s">
        <v>9021</v>
      </c>
      <c r="JND1" t="s">
        <v>9022</v>
      </c>
      <c r="JNE1" t="s">
        <v>9023</v>
      </c>
      <c r="JNF1" t="s">
        <v>9024</v>
      </c>
      <c r="JNG1" t="s">
        <v>9025</v>
      </c>
      <c r="JNH1" t="s">
        <v>9026</v>
      </c>
      <c r="JNI1" t="s">
        <v>9027</v>
      </c>
      <c r="JNJ1" t="s">
        <v>9028</v>
      </c>
      <c r="JNK1" t="s">
        <v>9029</v>
      </c>
      <c r="JNL1" t="s">
        <v>9030</v>
      </c>
      <c r="JNM1" t="s">
        <v>9031</v>
      </c>
      <c r="JNN1" t="s">
        <v>9032</v>
      </c>
      <c r="JNO1" t="s">
        <v>9033</v>
      </c>
      <c r="JNP1" t="s">
        <v>9034</v>
      </c>
      <c r="JNQ1" t="s">
        <v>9035</v>
      </c>
      <c r="JNR1" t="s">
        <v>9036</v>
      </c>
      <c r="JNS1" t="s">
        <v>9037</v>
      </c>
      <c r="JNT1" t="s">
        <v>9038</v>
      </c>
      <c r="JNU1" t="s">
        <v>9039</v>
      </c>
      <c r="JNV1" t="s">
        <v>9040</v>
      </c>
      <c r="JNW1" t="s">
        <v>9041</v>
      </c>
      <c r="JNX1" t="s">
        <v>9042</v>
      </c>
      <c r="JNY1" t="s">
        <v>9043</v>
      </c>
      <c r="JNZ1" t="s">
        <v>9044</v>
      </c>
      <c r="JOA1" t="s">
        <v>9045</v>
      </c>
      <c r="JOB1" t="s">
        <v>9046</v>
      </c>
      <c r="JOC1" t="s">
        <v>9047</v>
      </c>
      <c r="JOD1" t="s">
        <v>9048</v>
      </c>
      <c r="JOE1" t="s">
        <v>9049</v>
      </c>
      <c r="JOF1" t="s">
        <v>9050</v>
      </c>
      <c r="JOG1" t="s">
        <v>9051</v>
      </c>
      <c r="JOH1" t="s">
        <v>9052</v>
      </c>
      <c r="JOI1" t="s">
        <v>9053</v>
      </c>
      <c r="JOJ1" t="s">
        <v>9054</v>
      </c>
      <c r="JOK1" t="s">
        <v>9055</v>
      </c>
      <c r="JOL1" t="s">
        <v>9056</v>
      </c>
      <c r="JOM1" t="s">
        <v>9057</v>
      </c>
      <c r="JON1" t="s">
        <v>9058</v>
      </c>
      <c r="JOO1" t="s">
        <v>9059</v>
      </c>
      <c r="JOP1" t="s">
        <v>9060</v>
      </c>
      <c r="JOQ1" t="s">
        <v>9061</v>
      </c>
      <c r="JOR1" t="s">
        <v>9062</v>
      </c>
      <c r="JOS1" t="s">
        <v>9063</v>
      </c>
      <c r="JOT1" t="s">
        <v>9064</v>
      </c>
      <c r="JOU1" t="s">
        <v>9065</v>
      </c>
      <c r="JOV1" t="s">
        <v>9066</v>
      </c>
      <c r="JOW1" t="s">
        <v>9067</v>
      </c>
      <c r="JOX1" t="s">
        <v>9068</v>
      </c>
      <c r="JOY1" t="s">
        <v>9069</v>
      </c>
      <c r="JOZ1" t="s">
        <v>9070</v>
      </c>
      <c r="JPA1" t="s">
        <v>9071</v>
      </c>
      <c r="JPB1" t="s">
        <v>9072</v>
      </c>
      <c r="JPC1" t="s">
        <v>9073</v>
      </c>
      <c r="JPD1" t="s">
        <v>9074</v>
      </c>
      <c r="JPE1" t="s">
        <v>9075</v>
      </c>
      <c r="JPF1" t="s">
        <v>9076</v>
      </c>
      <c r="JPG1" t="s">
        <v>9077</v>
      </c>
      <c r="JPH1" t="s">
        <v>9078</v>
      </c>
      <c r="JPI1" t="s">
        <v>9079</v>
      </c>
      <c r="JPJ1" t="s">
        <v>9080</v>
      </c>
      <c r="JPK1" t="s">
        <v>9081</v>
      </c>
      <c r="JPL1" t="s">
        <v>9082</v>
      </c>
      <c r="JPM1" t="s">
        <v>9083</v>
      </c>
      <c r="JPN1" t="s">
        <v>9084</v>
      </c>
      <c r="JPO1" t="s">
        <v>9085</v>
      </c>
      <c r="JPP1" t="s">
        <v>9086</v>
      </c>
      <c r="JPQ1" t="s">
        <v>9087</v>
      </c>
      <c r="JPR1" t="s">
        <v>9088</v>
      </c>
      <c r="JPS1" t="s">
        <v>9089</v>
      </c>
      <c r="JPT1" t="s">
        <v>9090</v>
      </c>
      <c r="JPU1" t="s">
        <v>9091</v>
      </c>
      <c r="JPV1" t="s">
        <v>9092</v>
      </c>
      <c r="JPW1" t="s">
        <v>9093</v>
      </c>
      <c r="JPX1" t="s">
        <v>9094</v>
      </c>
      <c r="JPY1" t="s">
        <v>9095</v>
      </c>
      <c r="JPZ1" t="s">
        <v>9096</v>
      </c>
      <c r="JQA1" t="s">
        <v>9097</v>
      </c>
      <c r="JQB1" t="s">
        <v>9098</v>
      </c>
      <c r="JQC1" t="s">
        <v>9099</v>
      </c>
      <c r="JQD1" t="s">
        <v>9100</v>
      </c>
      <c r="JQE1" t="s">
        <v>9101</v>
      </c>
      <c r="JQF1" t="s">
        <v>9102</v>
      </c>
      <c r="JQG1" t="s">
        <v>9103</v>
      </c>
      <c r="JQH1" t="s">
        <v>9104</v>
      </c>
      <c r="JQI1" t="s">
        <v>9105</v>
      </c>
      <c r="JQJ1" t="s">
        <v>9106</v>
      </c>
      <c r="JQK1" t="s">
        <v>9107</v>
      </c>
      <c r="JQL1" t="s">
        <v>9108</v>
      </c>
      <c r="JQM1" t="s">
        <v>9109</v>
      </c>
      <c r="JQN1" t="s">
        <v>9110</v>
      </c>
      <c r="JQO1" t="s">
        <v>9111</v>
      </c>
      <c r="JQP1" t="s">
        <v>9112</v>
      </c>
      <c r="JQQ1" t="s">
        <v>9113</v>
      </c>
      <c r="JQR1" t="s">
        <v>9114</v>
      </c>
      <c r="JQS1" t="s">
        <v>9115</v>
      </c>
      <c r="JQT1" t="s">
        <v>9116</v>
      </c>
      <c r="JQU1" t="s">
        <v>9117</v>
      </c>
      <c r="JQV1" t="s">
        <v>9118</v>
      </c>
      <c r="JQW1" t="s">
        <v>9119</v>
      </c>
      <c r="JQX1" t="s">
        <v>9120</v>
      </c>
      <c r="JQY1" t="s">
        <v>9121</v>
      </c>
      <c r="JQZ1" t="s">
        <v>9122</v>
      </c>
      <c r="JRA1" t="s">
        <v>9123</v>
      </c>
      <c r="JRB1" t="s">
        <v>9124</v>
      </c>
      <c r="JRC1" t="s">
        <v>9125</v>
      </c>
      <c r="JRD1" t="s">
        <v>9126</v>
      </c>
      <c r="JRE1" t="s">
        <v>9127</v>
      </c>
      <c r="JRF1" t="s">
        <v>9128</v>
      </c>
      <c r="JRG1" t="s">
        <v>9129</v>
      </c>
      <c r="JRH1" t="s">
        <v>9130</v>
      </c>
      <c r="JRI1" t="s">
        <v>9131</v>
      </c>
      <c r="JRJ1" t="s">
        <v>9132</v>
      </c>
      <c r="JRK1" t="s">
        <v>9133</v>
      </c>
      <c r="JRL1" t="s">
        <v>9134</v>
      </c>
      <c r="JRM1" t="s">
        <v>9135</v>
      </c>
      <c r="JRN1" t="s">
        <v>9136</v>
      </c>
      <c r="JRO1" t="s">
        <v>9137</v>
      </c>
      <c r="JRP1" t="s">
        <v>9138</v>
      </c>
      <c r="JRQ1" t="s">
        <v>9139</v>
      </c>
      <c r="JRR1" t="s">
        <v>9140</v>
      </c>
      <c r="JRS1" t="s">
        <v>9141</v>
      </c>
      <c r="JRT1" t="s">
        <v>9142</v>
      </c>
      <c r="JRU1" t="s">
        <v>9143</v>
      </c>
      <c r="JRV1" t="s">
        <v>9144</v>
      </c>
      <c r="JRW1" t="s">
        <v>9145</v>
      </c>
      <c r="JRX1" t="s">
        <v>9146</v>
      </c>
      <c r="JRY1" t="s">
        <v>9147</v>
      </c>
      <c r="JRZ1" t="s">
        <v>9148</v>
      </c>
      <c r="JSA1" t="s">
        <v>9149</v>
      </c>
      <c r="JSB1" t="s">
        <v>9150</v>
      </c>
      <c r="JSC1" t="s">
        <v>9151</v>
      </c>
      <c r="JSD1" t="s">
        <v>9152</v>
      </c>
      <c r="JSE1" t="s">
        <v>9153</v>
      </c>
      <c r="JSF1" t="s">
        <v>9154</v>
      </c>
      <c r="JSG1" t="s">
        <v>9155</v>
      </c>
      <c r="JSH1" t="s">
        <v>9156</v>
      </c>
      <c r="JSI1" t="s">
        <v>9157</v>
      </c>
      <c r="JSJ1" t="s">
        <v>9158</v>
      </c>
      <c r="JSK1" t="s">
        <v>9159</v>
      </c>
      <c r="JSL1" t="s">
        <v>9160</v>
      </c>
      <c r="JSM1" t="s">
        <v>9161</v>
      </c>
      <c r="JSN1" t="s">
        <v>9162</v>
      </c>
      <c r="JSO1" t="s">
        <v>9163</v>
      </c>
      <c r="JSP1" t="s">
        <v>9164</v>
      </c>
      <c r="JSQ1" t="s">
        <v>9165</v>
      </c>
      <c r="JSR1" t="s">
        <v>9166</v>
      </c>
      <c r="JSS1" t="s">
        <v>9167</v>
      </c>
      <c r="JST1" t="s">
        <v>9168</v>
      </c>
      <c r="JSU1" t="s">
        <v>9169</v>
      </c>
      <c r="JSV1" t="s">
        <v>9170</v>
      </c>
      <c r="JSW1" t="s">
        <v>9171</v>
      </c>
      <c r="JSX1" t="s">
        <v>9172</v>
      </c>
      <c r="JSY1" t="s">
        <v>9173</v>
      </c>
      <c r="JSZ1" t="s">
        <v>9174</v>
      </c>
      <c r="JTA1" t="s">
        <v>9175</v>
      </c>
      <c r="JTB1" t="s">
        <v>9176</v>
      </c>
      <c r="JTC1" t="s">
        <v>9177</v>
      </c>
      <c r="JTD1" t="s">
        <v>9178</v>
      </c>
      <c r="JTE1" t="s">
        <v>9179</v>
      </c>
      <c r="JTF1" t="s">
        <v>9180</v>
      </c>
      <c r="JTG1" t="s">
        <v>9181</v>
      </c>
      <c r="JTH1" t="s">
        <v>9182</v>
      </c>
      <c r="JTI1" t="s">
        <v>9183</v>
      </c>
      <c r="JTJ1" t="s">
        <v>9184</v>
      </c>
      <c r="JTK1" t="s">
        <v>9185</v>
      </c>
      <c r="JTL1" t="s">
        <v>9186</v>
      </c>
      <c r="JTM1" t="s">
        <v>9187</v>
      </c>
      <c r="JTN1" t="s">
        <v>9188</v>
      </c>
      <c r="JTO1" t="s">
        <v>9189</v>
      </c>
      <c r="JTP1" t="s">
        <v>9190</v>
      </c>
      <c r="JTQ1" t="s">
        <v>9191</v>
      </c>
      <c r="JTR1" t="s">
        <v>9192</v>
      </c>
      <c r="JTS1" t="s">
        <v>9193</v>
      </c>
      <c r="JTT1" t="s">
        <v>9194</v>
      </c>
      <c r="JTU1" t="s">
        <v>9195</v>
      </c>
      <c r="JTV1" t="s">
        <v>9196</v>
      </c>
      <c r="JTW1" t="s">
        <v>9197</v>
      </c>
      <c r="JTX1" t="s">
        <v>9198</v>
      </c>
      <c r="JTY1" t="s">
        <v>9199</v>
      </c>
      <c r="JTZ1" t="s">
        <v>9200</v>
      </c>
      <c r="JUA1" t="s">
        <v>9201</v>
      </c>
      <c r="JUB1" t="s">
        <v>9202</v>
      </c>
      <c r="JUC1" t="s">
        <v>9203</v>
      </c>
      <c r="JUD1" t="s">
        <v>9204</v>
      </c>
      <c r="JUE1" t="s">
        <v>9205</v>
      </c>
      <c r="JUF1" t="s">
        <v>9206</v>
      </c>
      <c r="JUG1" t="s">
        <v>9207</v>
      </c>
      <c r="JUH1" t="s">
        <v>9208</v>
      </c>
      <c r="JUI1" t="s">
        <v>9209</v>
      </c>
      <c r="JUJ1" t="s">
        <v>9210</v>
      </c>
      <c r="JUK1" t="s">
        <v>9211</v>
      </c>
      <c r="JUL1" t="s">
        <v>9212</v>
      </c>
      <c r="JUM1" t="s">
        <v>9213</v>
      </c>
      <c r="JUN1" t="s">
        <v>9214</v>
      </c>
      <c r="JUO1" t="s">
        <v>9215</v>
      </c>
      <c r="JUP1" t="s">
        <v>9216</v>
      </c>
      <c r="JUQ1" t="s">
        <v>9217</v>
      </c>
      <c r="JUR1" t="s">
        <v>9218</v>
      </c>
      <c r="JUS1" t="s">
        <v>9219</v>
      </c>
      <c r="JUT1" t="s">
        <v>9220</v>
      </c>
      <c r="JUU1" t="s">
        <v>9221</v>
      </c>
      <c r="JUV1" t="s">
        <v>9222</v>
      </c>
      <c r="JUW1" t="s">
        <v>9223</v>
      </c>
      <c r="JUX1" t="s">
        <v>9224</v>
      </c>
      <c r="JUY1" t="s">
        <v>9225</v>
      </c>
      <c r="JUZ1" t="s">
        <v>9226</v>
      </c>
      <c r="JVA1" t="s">
        <v>9227</v>
      </c>
      <c r="JVB1" t="s">
        <v>9228</v>
      </c>
      <c r="JVC1" t="s">
        <v>9229</v>
      </c>
      <c r="JVD1" t="s">
        <v>9230</v>
      </c>
      <c r="JVE1" t="s">
        <v>9231</v>
      </c>
      <c r="JVF1" t="s">
        <v>9232</v>
      </c>
      <c r="JVG1" t="s">
        <v>9233</v>
      </c>
      <c r="JVH1" t="s">
        <v>9234</v>
      </c>
      <c r="JVI1" t="s">
        <v>9235</v>
      </c>
      <c r="JVJ1" t="s">
        <v>9236</v>
      </c>
      <c r="JVK1" t="s">
        <v>9237</v>
      </c>
      <c r="JVL1" t="s">
        <v>9238</v>
      </c>
      <c r="JVM1" t="s">
        <v>9239</v>
      </c>
      <c r="JVN1" t="s">
        <v>9240</v>
      </c>
      <c r="JVO1" t="s">
        <v>9241</v>
      </c>
      <c r="JVP1" t="s">
        <v>9242</v>
      </c>
      <c r="JVQ1" t="s">
        <v>9243</v>
      </c>
      <c r="JVR1" t="s">
        <v>9244</v>
      </c>
      <c r="JVS1" t="s">
        <v>9245</v>
      </c>
      <c r="JVT1" t="s">
        <v>9246</v>
      </c>
      <c r="JVU1" t="s">
        <v>9247</v>
      </c>
      <c r="JVV1" t="s">
        <v>9248</v>
      </c>
      <c r="JVW1" t="s">
        <v>9249</v>
      </c>
      <c r="JVX1" t="s">
        <v>9250</v>
      </c>
      <c r="JVY1" t="s">
        <v>9251</v>
      </c>
      <c r="JVZ1" t="s">
        <v>9252</v>
      </c>
      <c r="JWA1" t="s">
        <v>9253</v>
      </c>
      <c r="JWB1" t="s">
        <v>9254</v>
      </c>
      <c r="JWC1" t="s">
        <v>9255</v>
      </c>
      <c r="JWD1" t="s">
        <v>9256</v>
      </c>
      <c r="JWE1" t="s">
        <v>9257</v>
      </c>
      <c r="JWF1" t="s">
        <v>9258</v>
      </c>
      <c r="JWG1" t="s">
        <v>9259</v>
      </c>
      <c r="JWH1" t="s">
        <v>9260</v>
      </c>
      <c r="JWI1" t="s">
        <v>9261</v>
      </c>
      <c r="JWJ1" t="s">
        <v>9262</v>
      </c>
      <c r="JWK1" t="s">
        <v>9263</v>
      </c>
      <c r="JWL1" t="s">
        <v>9264</v>
      </c>
      <c r="JWM1" t="s">
        <v>9265</v>
      </c>
      <c r="JWN1" t="s">
        <v>9266</v>
      </c>
      <c r="JWO1" t="s">
        <v>9267</v>
      </c>
      <c r="JWP1" t="s">
        <v>9268</v>
      </c>
      <c r="JWQ1" t="s">
        <v>9269</v>
      </c>
      <c r="JWR1" t="s">
        <v>9270</v>
      </c>
      <c r="JWS1" t="s">
        <v>9271</v>
      </c>
      <c r="JWT1" t="s">
        <v>9272</v>
      </c>
      <c r="JWU1" t="s">
        <v>9273</v>
      </c>
      <c r="JWV1" t="s">
        <v>9274</v>
      </c>
      <c r="JWW1" t="s">
        <v>9275</v>
      </c>
      <c r="JWX1" t="s">
        <v>9276</v>
      </c>
      <c r="JWY1" t="s">
        <v>9277</v>
      </c>
      <c r="JWZ1" t="s">
        <v>9278</v>
      </c>
      <c r="JXA1" t="s">
        <v>9279</v>
      </c>
      <c r="JXB1" t="s">
        <v>9280</v>
      </c>
      <c r="JXC1" t="s">
        <v>9281</v>
      </c>
      <c r="JXD1" t="s">
        <v>9282</v>
      </c>
      <c r="JXE1" t="s">
        <v>9283</v>
      </c>
      <c r="JXF1" t="s">
        <v>9284</v>
      </c>
      <c r="JXG1" t="s">
        <v>9285</v>
      </c>
      <c r="JXH1" t="s">
        <v>9286</v>
      </c>
      <c r="JXI1" t="s">
        <v>9287</v>
      </c>
      <c r="JXJ1" t="s">
        <v>9288</v>
      </c>
      <c r="JXK1" t="s">
        <v>9289</v>
      </c>
      <c r="JXL1" t="s">
        <v>9290</v>
      </c>
      <c r="JXM1" t="s">
        <v>9291</v>
      </c>
      <c r="JXN1" t="s">
        <v>9292</v>
      </c>
      <c r="JXO1" t="s">
        <v>9293</v>
      </c>
      <c r="JXP1" t="s">
        <v>9294</v>
      </c>
      <c r="JXQ1" t="s">
        <v>9295</v>
      </c>
      <c r="JXR1" t="s">
        <v>9296</v>
      </c>
      <c r="JXS1" t="s">
        <v>9297</v>
      </c>
      <c r="JXT1" t="s">
        <v>9298</v>
      </c>
      <c r="JXU1" t="s">
        <v>9299</v>
      </c>
      <c r="JXV1" t="s">
        <v>9300</v>
      </c>
      <c r="JXW1" t="s">
        <v>9301</v>
      </c>
      <c r="JXX1" t="s">
        <v>9302</v>
      </c>
      <c r="JXY1" t="s">
        <v>9303</v>
      </c>
      <c r="JXZ1" t="s">
        <v>9304</v>
      </c>
      <c r="JYA1" t="s">
        <v>9305</v>
      </c>
      <c r="JYB1" t="s">
        <v>9306</v>
      </c>
      <c r="JYC1" t="s">
        <v>9307</v>
      </c>
      <c r="JYD1" t="s">
        <v>9308</v>
      </c>
      <c r="JYE1" t="s">
        <v>9309</v>
      </c>
      <c r="JYF1" t="s">
        <v>9310</v>
      </c>
      <c r="JYG1" t="s">
        <v>9311</v>
      </c>
      <c r="JYH1" t="s">
        <v>9312</v>
      </c>
      <c r="JYI1" t="s">
        <v>9313</v>
      </c>
      <c r="JYJ1" t="s">
        <v>9314</v>
      </c>
      <c r="JYK1" t="s">
        <v>9315</v>
      </c>
      <c r="JYL1" t="s">
        <v>9316</v>
      </c>
      <c r="JYM1" t="s">
        <v>9317</v>
      </c>
      <c r="JYN1" t="s">
        <v>9318</v>
      </c>
      <c r="JYO1" t="s">
        <v>9319</v>
      </c>
      <c r="JYP1" t="s">
        <v>9320</v>
      </c>
      <c r="JYQ1" t="s">
        <v>9321</v>
      </c>
      <c r="JYR1" t="s">
        <v>9322</v>
      </c>
      <c r="JYS1" t="s">
        <v>9323</v>
      </c>
      <c r="JYT1" t="s">
        <v>9324</v>
      </c>
      <c r="JYU1" t="s">
        <v>9325</v>
      </c>
      <c r="JYV1" t="s">
        <v>9326</v>
      </c>
      <c r="JYW1" t="s">
        <v>9327</v>
      </c>
      <c r="JYX1" t="s">
        <v>9328</v>
      </c>
      <c r="JYY1" t="s">
        <v>9329</v>
      </c>
      <c r="JYZ1" t="s">
        <v>9330</v>
      </c>
      <c r="JZA1" t="s">
        <v>9331</v>
      </c>
      <c r="JZB1" t="s">
        <v>9332</v>
      </c>
      <c r="JZC1" t="s">
        <v>9333</v>
      </c>
      <c r="JZD1" t="s">
        <v>9334</v>
      </c>
      <c r="JZE1" t="s">
        <v>9335</v>
      </c>
      <c r="JZF1" t="s">
        <v>9336</v>
      </c>
      <c r="JZG1" t="s">
        <v>9337</v>
      </c>
      <c r="JZH1" t="s">
        <v>9338</v>
      </c>
      <c r="JZI1" t="s">
        <v>9339</v>
      </c>
      <c r="JZJ1" t="s">
        <v>9340</v>
      </c>
      <c r="JZK1" t="s">
        <v>9341</v>
      </c>
      <c r="JZL1" t="s">
        <v>9342</v>
      </c>
      <c r="JZM1" t="s">
        <v>9343</v>
      </c>
      <c r="JZN1" t="s">
        <v>9344</v>
      </c>
      <c r="JZO1" t="s">
        <v>9345</v>
      </c>
      <c r="JZP1" t="s">
        <v>9346</v>
      </c>
      <c r="JZQ1" t="s">
        <v>9347</v>
      </c>
      <c r="JZR1" t="s">
        <v>9348</v>
      </c>
      <c r="JZS1" t="s">
        <v>9349</v>
      </c>
      <c r="JZT1" t="s">
        <v>9350</v>
      </c>
      <c r="JZU1" t="s">
        <v>9351</v>
      </c>
      <c r="JZV1" t="s">
        <v>9352</v>
      </c>
      <c r="JZW1" t="s">
        <v>9353</v>
      </c>
      <c r="JZX1" t="s">
        <v>9354</v>
      </c>
      <c r="JZY1" t="s">
        <v>9355</v>
      </c>
      <c r="JZZ1" t="s">
        <v>9356</v>
      </c>
      <c r="KAA1" t="s">
        <v>9357</v>
      </c>
      <c r="KAB1" t="s">
        <v>9358</v>
      </c>
      <c r="KAC1" t="s">
        <v>9359</v>
      </c>
      <c r="KAD1" t="s">
        <v>9360</v>
      </c>
      <c r="KAE1" t="s">
        <v>9361</v>
      </c>
      <c r="KAF1" t="s">
        <v>9362</v>
      </c>
      <c r="KAG1" t="s">
        <v>9363</v>
      </c>
      <c r="KAH1" t="s">
        <v>9364</v>
      </c>
      <c r="KAI1" t="s">
        <v>9365</v>
      </c>
      <c r="KAJ1" t="s">
        <v>9366</v>
      </c>
      <c r="KAK1" t="s">
        <v>9367</v>
      </c>
      <c r="KAL1" t="s">
        <v>9368</v>
      </c>
      <c r="KAM1" t="s">
        <v>9369</v>
      </c>
      <c r="KAN1" t="s">
        <v>9370</v>
      </c>
      <c r="KAO1" t="s">
        <v>9371</v>
      </c>
      <c r="KAP1" t="s">
        <v>9372</v>
      </c>
      <c r="KAQ1" t="s">
        <v>9373</v>
      </c>
      <c r="KAR1" t="s">
        <v>9374</v>
      </c>
      <c r="KAS1" t="s">
        <v>9375</v>
      </c>
      <c r="KAT1" t="s">
        <v>9376</v>
      </c>
      <c r="KAU1" t="s">
        <v>9377</v>
      </c>
      <c r="KAV1" t="s">
        <v>9378</v>
      </c>
      <c r="KAW1" t="s">
        <v>9379</v>
      </c>
      <c r="KAX1" t="s">
        <v>9380</v>
      </c>
      <c r="KAY1" t="s">
        <v>9381</v>
      </c>
      <c r="KAZ1" t="s">
        <v>9382</v>
      </c>
      <c r="KBA1" t="s">
        <v>9383</v>
      </c>
      <c r="KBB1" t="s">
        <v>9384</v>
      </c>
      <c r="KBC1" t="s">
        <v>9385</v>
      </c>
      <c r="KBD1" t="s">
        <v>9386</v>
      </c>
      <c r="KBE1" t="s">
        <v>9387</v>
      </c>
      <c r="KBF1" t="s">
        <v>9388</v>
      </c>
      <c r="KBG1" t="s">
        <v>9389</v>
      </c>
      <c r="KBH1" t="s">
        <v>9390</v>
      </c>
      <c r="KBI1" t="s">
        <v>9391</v>
      </c>
      <c r="KBJ1" t="s">
        <v>9392</v>
      </c>
      <c r="KBK1" t="s">
        <v>9393</v>
      </c>
      <c r="KBL1" t="s">
        <v>9394</v>
      </c>
      <c r="KBM1" t="s">
        <v>9395</v>
      </c>
      <c r="KBN1" t="s">
        <v>9396</v>
      </c>
      <c r="KBO1" t="s">
        <v>9397</v>
      </c>
      <c r="KBP1" t="s">
        <v>9398</v>
      </c>
      <c r="KBQ1" t="s">
        <v>9399</v>
      </c>
      <c r="KBR1" t="s">
        <v>9400</v>
      </c>
      <c r="KBS1" t="s">
        <v>9401</v>
      </c>
      <c r="KBT1" t="s">
        <v>9402</v>
      </c>
      <c r="KBU1" t="s">
        <v>9403</v>
      </c>
      <c r="KBV1" t="s">
        <v>9404</v>
      </c>
      <c r="KBW1" t="s">
        <v>9405</v>
      </c>
      <c r="KBX1" t="s">
        <v>9406</v>
      </c>
      <c r="KBY1" t="s">
        <v>9407</v>
      </c>
      <c r="KBZ1" t="s">
        <v>9408</v>
      </c>
      <c r="KCA1" t="s">
        <v>9409</v>
      </c>
      <c r="KCB1" t="s">
        <v>9410</v>
      </c>
      <c r="KCC1" t="s">
        <v>9411</v>
      </c>
      <c r="KCD1" t="s">
        <v>9412</v>
      </c>
      <c r="KCE1" t="s">
        <v>9413</v>
      </c>
      <c r="KCF1" t="s">
        <v>9414</v>
      </c>
      <c r="KCG1" t="s">
        <v>9415</v>
      </c>
      <c r="KCH1" t="s">
        <v>9416</v>
      </c>
      <c r="KCI1" t="s">
        <v>9417</v>
      </c>
      <c r="KCJ1" t="s">
        <v>9418</v>
      </c>
      <c r="KCK1" t="s">
        <v>9419</v>
      </c>
      <c r="KCL1" t="s">
        <v>9420</v>
      </c>
      <c r="KCM1" t="s">
        <v>9421</v>
      </c>
      <c r="KCN1" t="s">
        <v>9422</v>
      </c>
      <c r="KCO1" t="s">
        <v>9423</v>
      </c>
      <c r="KCP1" t="s">
        <v>9424</v>
      </c>
      <c r="KCQ1" t="s">
        <v>9425</v>
      </c>
      <c r="KCR1" t="s">
        <v>9426</v>
      </c>
      <c r="KCS1" t="s">
        <v>9427</v>
      </c>
      <c r="KCT1" t="s">
        <v>9428</v>
      </c>
      <c r="KCU1" t="s">
        <v>9429</v>
      </c>
      <c r="KCV1" t="s">
        <v>9430</v>
      </c>
      <c r="KCW1" t="s">
        <v>9431</v>
      </c>
      <c r="KCX1" t="s">
        <v>9432</v>
      </c>
      <c r="KCY1" t="s">
        <v>9433</v>
      </c>
      <c r="KCZ1" t="s">
        <v>9434</v>
      </c>
      <c r="KDA1" t="s">
        <v>9435</v>
      </c>
      <c r="KDB1" t="s">
        <v>9436</v>
      </c>
      <c r="KDC1" t="s">
        <v>9437</v>
      </c>
      <c r="KDD1" t="s">
        <v>9438</v>
      </c>
      <c r="KDE1" t="s">
        <v>9439</v>
      </c>
      <c r="KDF1" t="s">
        <v>9440</v>
      </c>
      <c r="KDG1" t="s">
        <v>9441</v>
      </c>
      <c r="KDH1" t="s">
        <v>9442</v>
      </c>
      <c r="KDI1" t="s">
        <v>9443</v>
      </c>
      <c r="KDJ1" t="s">
        <v>9444</v>
      </c>
      <c r="KDK1" t="s">
        <v>9445</v>
      </c>
      <c r="KDL1" t="s">
        <v>9446</v>
      </c>
      <c r="KDM1" t="s">
        <v>9447</v>
      </c>
      <c r="KDN1" t="s">
        <v>9448</v>
      </c>
      <c r="KDO1" t="s">
        <v>9449</v>
      </c>
      <c r="KDP1" t="s">
        <v>9450</v>
      </c>
      <c r="KDQ1" t="s">
        <v>9451</v>
      </c>
      <c r="KDR1" t="s">
        <v>9452</v>
      </c>
      <c r="KDS1" t="s">
        <v>9453</v>
      </c>
      <c r="KDT1" t="s">
        <v>9454</v>
      </c>
      <c r="KDU1" t="s">
        <v>9455</v>
      </c>
      <c r="KDV1" t="s">
        <v>9456</v>
      </c>
      <c r="KDW1" t="s">
        <v>9457</v>
      </c>
      <c r="KDX1" t="s">
        <v>9458</v>
      </c>
      <c r="KDY1" t="s">
        <v>9459</v>
      </c>
      <c r="KDZ1" t="s">
        <v>9460</v>
      </c>
      <c r="KEA1" t="s">
        <v>9461</v>
      </c>
      <c r="KEB1" t="s">
        <v>9462</v>
      </c>
      <c r="KEC1" t="s">
        <v>9463</v>
      </c>
      <c r="KED1" t="s">
        <v>9464</v>
      </c>
      <c r="KEE1" t="s">
        <v>9465</v>
      </c>
      <c r="KEF1" t="s">
        <v>9466</v>
      </c>
      <c r="KEG1" t="s">
        <v>9467</v>
      </c>
      <c r="KEH1" t="s">
        <v>9468</v>
      </c>
      <c r="KEI1" t="s">
        <v>9469</v>
      </c>
      <c r="KEJ1" t="s">
        <v>9470</v>
      </c>
      <c r="KEK1" t="s">
        <v>9471</v>
      </c>
      <c r="KEL1" t="s">
        <v>9472</v>
      </c>
      <c r="KEM1" t="s">
        <v>9473</v>
      </c>
      <c r="KEN1" t="s">
        <v>9474</v>
      </c>
      <c r="KEO1" t="s">
        <v>9475</v>
      </c>
      <c r="KEP1" t="s">
        <v>9476</v>
      </c>
      <c r="KEQ1" t="s">
        <v>9477</v>
      </c>
      <c r="KER1" t="s">
        <v>9478</v>
      </c>
      <c r="KES1" t="s">
        <v>9479</v>
      </c>
      <c r="KET1" t="s">
        <v>9480</v>
      </c>
      <c r="KEU1" t="s">
        <v>9481</v>
      </c>
      <c r="KEV1" t="s">
        <v>9482</v>
      </c>
      <c r="KEW1" t="s">
        <v>9483</v>
      </c>
      <c r="KEX1" t="s">
        <v>9484</v>
      </c>
      <c r="KEY1" t="s">
        <v>9485</v>
      </c>
      <c r="KEZ1" t="s">
        <v>9486</v>
      </c>
      <c r="KFA1" t="s">
        <v>9487</v>
      </c>
      <c r="KFB1" t="s">
        <v>9488</v>
      </c>
      <c r="KFC1" t="s">
        <v>9489</v>
      </c>
      <c r="KFD1" t="s">
        <v>9490</v>
      </c>
      <c r="KFE1" t="s">
        <v>9491</v>
      </c>
      <c r="KFF1" t="s">
        <v>9492</v>
      </c>
      <c r="KFG1" t="s">
        <v>9493</v>
      </c>
      <c r="KFH1" t="s">
        <v>9494</v>
      </c>
      <c r="KFI1" t="s">
        <v>9495</v>
      </c>
      <c r="KFJ1" t="s">
        <v>9496</v>
      </c>
      <c r="KFK1" t="s">
        <v>9497</v>
      </c>
      <c r="KFL1" t="s">
        <v>9498</v>
      </c>
      <c r="KFM1" t="s">
        <v>9499</v>
      </c>
      <c r="KFN1" t="s">
        <v>9500</v>
      </c>
      <c r="KFO1" t="s">
        <v>9501</v>
      </c>
      <c r="KFP1" t="s">
        <v>9502</v>
      </c>
      <c r="KFQ1" t="s">
        <v>9503</v>
      </c>
      <c r="KFR1" t="s">
        <v>9504</v>
      </c>
      <c r="KFS1" t="s">
        <v>9505</v>
      </c>
      <c r="KFT1" t="s">
        <v>9506</v>
      </c>
      <c r="KFU1" t="s">
        <v>9507</v>
      </c>
      <c r="KFV1" t="s">
        <v>9508</v>
      </c>
      <c r="KFW1" t="s">
        <v>9509</v>
      </c>
      <c r="KFX1" t="s">
        <v>9510</v>
      </c>
      <c r="KFY1" t="s">
        <v>9511</v>
      </c>
      <c r="KFZ1" t="s">
        <v>9512</v>
      </c>
      <c r="KGA1" t="s">
        <v>9513</v>
      </c>
      <c r="KGB1" t="s">
        <v>9514</v>
      </c>
      <c r="KGC1" t="s">
        <v>9515</v>
      </c>
      <c r="KGD1" t="s">
        <v>9516</v>
      </c>
      <c r="KGE1" t="s">
        <v>9517</v>
      </c>
      <c r="KGF1" t="s">
        <v>9518</v>
      </c>
      <c r="KGG1" t="s">
        <v>9519</v>
      </c>
      <c r="KGH1" t="s">
        <v>9520</v>
      </c>
      <c r="KGI1" t="s">
        <v>9521</v>
      </c>
      <c r="KGJ1" t="s">
        <v>9522</v>
      </c>
      <c r="KGK1" t="s">
        <v>9523</v>
      </c>
      <c r="KGL1" t="s">
        <v>9524</v>
      </c>
      <c r="KGM1" t="s">
        <v>9525</v>
      </c>
      <c r="KGN1" t="s">
        <v>9526</v>
      </c>
      <c r="KGO1" t="s">
        <v>9527</v>
      </c>
      <c r="KGP1" t="s">
        <v>9528</v>
      </c>
      <c r="KGQ1" t="s">
        <v>9529</v>
      </c>
      <c r="KGR1" t="s">
        <v>9530</v>
      </c>
      <c r="KGS1" t="s">
        <v>9531</v>
      </c>
      <c r="KGT1" t="s">
        <v>9532</v>
      </c>
      <c r="KGU1" t="s">
        <v>9533</v>
      </c>
      <c r="KGV1" t="s">
        <v>9534</v>
      </c>
      <c r="KGW1" t="s">
        <v>9535</v>
      </c>
      <c r="KGX1" t="s">
        <v>9536</v>
      </c>
      <c r="KGY1" t="s">
        <v>9537</v>
      </c>
      <c r="KGZ1" t="s">
        <v>9538</v>
      </c>
      <c r="KHA1" t="s">
        <v>9539</v>
      </c>
      <c r="KHB1" t="s">
        <v>9540</v>
      </c>
      <c r="KHC1" t="s">
        <v>9541</v>
      </c>
      <c r="KHD1" t="s">
        <v>9542</v>
      </c>
      <c r="KHE1" t="s">
        <v>9543</v>
      </c>
      <c r="KHF1" t="s">
        <v>9544</v>
      </c>
      <c r="KHG1" t="s">
        <v>9545</v>
      </c>
      <c r="KHH1" t="s">
        <v>9546</v>
      </c>
      <c r="KHI1" t="s">
        <v>9547</v>
      </c>
      <c r="KHJ1" t="s">
        <v>9548</v>
      </c>
      <c r="KHK1" t="s">
        <v>9549</v>
      </c>
      <c r="KHL1" t="s">
        <v>9550</v>
      </c>
      <c r="KHM1" t="s">
        <v>9551</v>
      </c>
      <c r="KHN1" t="s">
        <v>9552</v>
      </c>
      <c r="KHO1" t="s">
        <v>9553</v>
      </c>
      <c r="KHP1" t="s">
        <v>9554</v>
      </c>
      <c r="KHQ1" t="s">
        <v>9555</v>
      </c>
      <c r="KHR1" t="s">
        <v>9556</v>
      </c>
      <c r="KHS1" t="s">
        <v>9557</v>
      </c>
      <c r="KHT1" t="s">
        <v>9558</v>
      </c>
      <c r="KHU1" t="s">
        <v>9559</v>
      </c>
      <c r="KHV1" t="s">
        <v>9560</v>
      </c>
      <c r="KHW1" t="s">
        <v>9561</v>
      </c>
      <c r="KHX1" t="s">
        <v>9562</v>
      </c>
      <c r="KHY1" t="s">
        <v>9563</v>
      </c>
      <c r="KHZ1" t="s">
        <v>9564</v>
      </c>
      <c r="KIA1" t="s">
        <v>9565</v>
      </c>
      <c r="KIB1" t="s">
        <v>9566</v>
      </c>
      <c r="KIC1" t="s">
        <v>9567</v>
      </c>
      <c r="KID1" t="s">
        <v>9568</v>
      </c>
      <c r="KIE1" t="s">
        <v>9569</v>
      </c>
      <c r="KIF1" t="s">
        <v>9570</v>
      </c>
      <c r="KIG1" t="s">
        <v>9571</v>
      </c>
      <c r="KIH1" t="s">
        <v>9572</v>
      </c>
      <c r="KII1" t="s">
        <v>9573</v>
      </c>
      <c r="KIJ1" t="s">
        <v>9574</v>
      </c>
      <c r="KIK1" t="s">
        <v>9575</v>
      </c>
      <c r="KIL1" t="s">
        <v>9576</v>
      </c>
      <c r="KIM1" t="s">
        <v>9577</v>
      </c>
      <c r="KIN1" t="s">
        <v>9578</v>
      </c>
      <c r="KIO1" t="s">
        <v>9579</v>
      </c>
      <c r="KIP1" t="s">
        <v>9580</v>
      </c>
      <c r="KIQ1" t="s">
        <v>9581</v>
      </c>
      <c r="KIR1" t="s">
        <v>9582</v>
      </c>
      <c r="KIS1" t="s">
        <v>9583</v>
      </c>
      <c r="KIT1" t="s">
        <v>9584</v>
      </c>
      <c r="KIU1" t="s">
        <v>9585</v>
      </c>
      <c r="KIV1" t="s">
        <v>9586</v>
      </c>
      <c r="KIW1" t="s">
        <v>9587</v>
      </c>
      <c r="KIX1" t="s">
        <v>9588</v>
      </c>
      <c r="KIY1" t="s">
        <v>9589</v>
      </c>
      <c r="KIZ1" t="s">
        <v>9590</v>
      </c>
      <c r="KJA1" t="s">
        <v>9591</v>
      </c>
      <c r="KJB1" t="s">
        <v>9592</v>
      </c>
      <c r="KJC1" t="s">
        <v>9593</v>
      </c>
      <c r="KJD1" t="s">
        <v>9594</v>
      </c>
      <c r="KJE1" t="s">
        <v>9595</v>
      </c>
      <c r="KJF1" t="s">
        <v>9596</v>
      </c>
      <c r="KJG1" t="s">
        <v>9597</v>
      </c>
      <c r="KJH1" t="s">
        <v>9598</v>
      </c>
      <c r="KJI1" t="s">
        <v>9599</v>
      </c>
      <c r="KJJ1" t="s">
        <v>9600</v>
      </c>
      <c r="KJK1" t="s">
        <v>9601</v>
      </c>
      <c r="KJL1" t="s">
        <v>9602</v>
      </c>
      <c r="KJM1" t="s">
        <v>9603</v>
      </c>
      <c r="KJN1" t="s">
        <v>9604</v>
      </c>
      <c r="KJO1" t="s">
        <v>9605</v>
      </c>
      <c r="KJP1" t="s">
        <v>9606</v>
      </c>
      <c r="KJQ1" t="s">
        <v>9607</v>
      </c>
      <c r="KJR1" t="s">
        <v>9608</v>
      </c>
      <c r="KJS1" t="s">
        <v>9609</v>
      </c>
      <c r="KJT1" t="s">
        <v>9610</v>
      </c>
      <c r="KJU1" t="s">
        <v>9611</v>
      </c>
      <c r="KJV1" t="s">
        <v>9612</v>
      </c>
      <c r="KJW1" t="s">
        <v>9613</v>
      </c>
      <c r="KJX1" t="s">
        <v>9614</v>
      </c>
      <c r="KJY1" t="s">
        <v>9615</v>
      </c>
      <c r="KJZ1" t="s">
        <v>9616</v>
      </c>
      <c r="KKA1" t="s">
        <v>9617</v>
      </c>
      <c r="KKB1" t="s">
        <v>9618</v>
      </c>
      <c r="KKC1" t="s">
        <v>9619</v>
      </c>
      <c r="KKD1" t="s">
        <v>9620</v>
      </c>
      <c r="KKE1" t="s">
        <v>9621</v>
      </c>
      <c r="KKF1" t="s">
        <v>9622</v>
      </c>
      <c r="KKG1" t="s">
        <v>9623</v>
      </c>
      <c r="KKH1" t="s">
        <v>9624</v>
      </c>
      <c r="KKI1" t="s">
        <v>9625</v>
      </c>
      <c r="KKJ1" t="s">
        <v>9626</v>
      </c>
      <c r="KKK1" t="s">
        <v>9627</v>
      </c>
      <c r="KKL1" t="s">
        <v>9628</v>
      </c>
      <c r="KKM1" t="s">
        <v>9629</v>
      </c>
      <c r="KKN1" t="s">
        <v>9630</v>
      </c>
      <c r="KKO1" t="s">
        <v>9631</v>
      </c>
      <c r="KKP1" t="s">
        <v>9632</v>
      </c>
      <c r="KKQ1" t="s">
        <v>9633</v>
      </c>
      <c r="KKR1" t="s">
        <v>9634</v>
      </c>
      <c r="KKS1" t="s">
        <v>9635</v>
      </c>
      <c r="KKT1" t="s">
        <v>9636</v>
      </c>
      <c r="KKU1" t="s">
        <v>9637</v>
      </c>
      <c r="KKV1" t="s">
        <v>9638</v>
      </c>
      <c r="KKW1" t="s">
        <v>9639</v>
      </c>
      <c r="KKX1" t="s">
        <v>9640</v>
      </c>
      <c r="KKY1" t="s">
        <v>9641</v>
      </c>
      <c r="KKZ1" t="s">
        <v>9642</v>
      </c>
      <c r="KLA1" t="s">
        <v>9643</v>
      </c>
      <c r="KLB1" t="s">
        <v>9644</v>
      </c>
      <c r="KLC1" t="s">
        <v>9645</v>
      </c>
      <c r="KLD1" t="s">
        <v>9646</v>
      </c>
      <c r="KLE1" t="s">
        <v>9647</v>
      </c>
      <c r="KLF1" t="s">
        <v>9648</v>
      </c>
      <c r="KLG1" t="s">
        <v>9649</v>
      </c>
      <c r="KLH1" t="s">
        <v>9650</v>
      </c>
      <c r="KLI1" t="s">
        <v>9651</v>
      </c>
      <c r="KLJ1" t="s">
        <v>9652</v>
      </c>
      <c r="KLK1" t="s">
        <v>9653</v>
      </c>
      <c r="KLL1" t="s">
        <v>9654</v>
      </c>
      <c r="KLM1" t="s">
        <v>9655</v>
      </c>
      <c r="KLN1" t="s">
        <v>9656</v>
      </c>
      <c r="KLO1" t="s">
        <v>9657</v>
      </c>
      <c r="KLP1" t="s">
        <v>9658</v>
      </c>
      <c r="KLQ1" t="s">
        <v>9659</v>
      </c>
      <c r="KLR1" t="s">
        <v>9660</v>
      </c>
      <c r="KLS1" t="s">
        <v>9661</v>
      </c>
      <c r="KLT1" t="s">
        <v>9662</v>
      </c>
      <c r="KLU1" t="s">
        <v>9663</v>
      </c>
      <c r="KLV1" t="s">
        <v>9664</v>
      </c>
      <c r="KLW1" t="s">
        <v>9665</v>
      </c>
      <c r="KLX1" t="s">
        <v>9666</v>
      </c>
      <c r="KLY1" t="s">
        <v>9667</v>
      </c>
      <c r="KLZ1" t="s">
        <v>9668</v>
      </c>
      <c r="KMA1" t="s">
        <v>9669</v>
      </c>
      <c r="KMB1" t="s">
        <v>9670</v>
      </c>
      <c r="KMC1" t="s">
        <v>9671</v>
      </c>
      <c r="KMD1" t="s">
        <v>9672</v>
      </c>
      <c r="KME1" t="s">
        <v>9673</v>
      </c>
      <c r="KMF1" t="s">
        <v>9674</v>
      </c>
      <c r="KMG1" t="s">
        <v>9675</v>
      </c>
      <c r="KMH1" t="s">
        <v>9676</v>
      </c>
      <c r="KMI1" t="s">
        <v>9677</v>
      </c>
      <c r="KMJ1" t="s">
        <v>9678</v>
      </c>
      <c r="KMK1" t="s">
        <v>9679</v>
      </c>
      <c r="KML1" t="s">
        <v>9680</v>
      </c>
      <c r="KMM1" t="s">
        <v>9681</v>
      </c>
      <c r="KMN1" t="s">
        <v>9682</v>
      </c>
      <c r="KMO1" t="s">
        <v>9683</v>
      </c>
      <c r="KMP1" t="s">
        <v>9684</v>
      </c>
      <c r="KMQ1" t="s">
        <v>9685</v>
      </c>
      <c r="KMR1" t="s">
        <v>9686</v>
      </c>
      <c r="KMS1" t="s">
        <v>9687</v>
      </c>
      <c r="KMT1" t="s">
        <v>9688</v>
      </c>
      <c r="KMU1" t="s">
        <v>9689</v>
      </c>
      <c r="KMV1" t="s">
        <v>9690</v>
      </c>
      <c r="KMW1" t="s">
        <v>9691</v>
      </c>
      <c r="KMX1" t="s">
        <v>9692</v>
      </c>
      <c r="KMY1" t="s">
        <v>9693</v>
      </c>
      <c r="KMZ1" t="s">
        <v>9694</v>
      </c>
      <c r="KNA1" t="s">
        <v>9695</v>
      </c>
      <c r="KNB1" t="s">
        <v>9696</v>
      </c>
      <c r="KNC1" t="s">
        <v>9697</v>
      </c>
      <c r="KND1" t="s">
        <v>9698</v>
      </c>
      <c r="KNE1" t="s">
        <v>9699</v>
      </c>
      <c r="KNF1" t="s">
        <v>9700</v>
      </c>
      <c r="KNG1" t="s">
        <v>9701</v>
      </c>
      <c r="KNH1" t="s">
        <v>9702</v>
      </c>
      <c r="KNI1" t="s">
        <v>9703</v>
      </c>
      <c r="KNJ1" t="s">
        <v>9704</v>
      </c>
      <c r="KNK1" t="s">
        <v>9705</v>
      </c>
      <c r="KNL1" t="s">
        <v>9706</v>
      </c>
      <c r="KNM1" t="s">
        <v>9707</v>
      </c>
      <c r="KNN1" t="s">
        <v>9708</v>
      </c>
      <c r="KNO1" t="s">
        <v>9709</v>
      </c>
      <c r="KNP1" t="s">
        <v>9710</v>
      </c>
      <c r="KNQ1" t="s">
        <v>9711</v>
      </c>
      <c r="KNR1" t="s">
        <v>9712</v>
      </c>
      <c r="KNS1" t="s">
        <v>9713</v>
      </c>
      <c r="KNT1" t="s">
        <v>9714</v>
      </c>
      <c r="KNU1" t="s">
        <v>9715</v>
      </c>
      <c r="KNV1" t="s">
        <v>9716</v>
      </c>
      <c r="KNW1" t="s">
        <v>9717</v>
      </c>
      <c r="KNX1" t="s">
        <v>9718</v>
      </c>
      <c r="KNY1" t="s">
        <v>9719</v>
      </c>
      <c r="KNZ1" t="s">
        <v>9720</v>
      </c>
      <c r="KOA1" t="s">
        <v>9721</v>
      </c>
      <c r="KOB1" t="s">
        <v>9722</v>
      </c>
      <c r="KOC1" t="s">
        <v>9723</v>
      </c>
      <c r="KOD1" t="s">
        <v>9724</v>
      </c>
      <c r="KOE1" t="s">
        <v>9725</v>
      </c>
      <c r="KOF1" t="s">
        <v>9726</v>
      </c>
      <c r="KOG1" t="s">
        <v>9727</v>
      </c>
      <c r="KOH1" t="s">
        <v>9728</v>
      </c>
      <c r="KOI1" t="s">
        <v>9729</v>
      </c>
      <c r="KOJ1" t="s">
        <v>9730</v>
      </c>
      <c r="KOK1" t="s">
        <v>9731</v>
      </c>
      <c r="KOL1" t="s">
        <v>9732</v>
      </c>
      <c r="KOM1" t="s">
        <v>9733</v>
      </c>
      <c r="KON1" t="s">
        <v>9734</v>
      </c>
      <c r="KOO1" t="s">
        <v>9735</v>
      </c>
      <c r="KOP1" t="s">
        <v>9736</v>
      </c>
      <c r="KOQ1" t="s">
        <v>9737</v>
      </c>
      <c r="KOR1" t="s">
        <v>9738</v>
      </c>
      <c r="KOS1" t="s">
        <v>9739</v>
      </c>
      <c r="KOT1" t="s">
        <v>9740</v>
      </c>
      <c r="KOU1" t="s">
        <v>9741</v>
      </c>
      <c r="KOV1" t="s">
        <v>9742</v>
      </c>
      <c r="KOW1" t="s">
        <v>9743</v>
      </c>
      <c r="KOX1" t="s">
        <v>9744</v>
      </c>
      <c r="KOY1" t="s">
        <v>9745</v>
      </c>
      <c r="KOZ1" t="s">
        <v>9746</v>
      </c>
      <c r="KPA1" t="s">
        <v>9747</v>
      </c>
      <c r="KPB1" t="s">
        <v>9748</v>
      </c>
      <c r="KPC1" t="s">
        <v>9749</v>
      </c>
      <c r="KPD1" t="s">
        <v>9750</v>
      </c>
      <c r="KPE1" t="s">
        <v>9751</v>
      </c>
      <c r="KPF1" t="s">
        <v>9752</v>
      </c>
      <c r="KPG1" t="s">
        <v>9753</v>
      </c>
      <c r="KPH1" t="s">
        <v>9754</v>
      </c>
      <c r="KPI1" t="s">
        <v>9755</v>
      </c>
      <c r="KPJ1" t="s">
        <v>9756</v>
      </c>
      <c r="KPK1" t="s">
        <v>9757</v>
      </c>
      <c r="KPL1" t="s">
        <v>9758</v>
      </c>
      <c r="KPM1" t="s">
        <v>9759</v>
      </c>
      <c r="KPN1" t="s">
        <v>9760</v>
      </c>
      <c r="KPO1" t="s">
        <v>9761</v>
      </c>
      <c r="KPP1" t="s">
        <v>9762</v>
      </c>
      <c r="KPQ1" t="s">
        <v>9763</v>
      </c>
      <c r="KPR1" t="s">
        <v>9764</v>
      </c>
      <c r="KPS1" t="s">
        <v>9765</v>
      </c>
      <c r="KPT1" t="s">
        <v>9766</v>
      </c>
      <c r="KPU1" t="s">
        <v>9767</v>
      </c>
      <c r="KPV1" t="s">
        <v>9768</v>
      </c>
      <c r="KPW1" t="s">
        <v>9769</v>
      </c>
      <c r="KPX1" t="s">
        <v>9770</v>
      </c>
      <c r="KPY1" t="s">
        <v>9771</v>
      </c>
      <c r="KPZ1" t="s">
        <v>9772</v>
      </c>
      <c r="KQA1" t="s">
        <v>9773</v>
      </c>
      <c r="KQB1" t="s">
        <v>9774</v>
      </c>
      <c r="KQC1" t="s">
        <v>9775</v>
      </c>
      <c r="KQD1" t="s">
        <v>9776</v>
      </c>
      <c r="KQE1" t="s">
        <v>9777</v>
      </c>
      <c r="KQF1" t="s">
        <v>9778</v>
      </c>
      <c r="KQG1" t="s">
        <v>9779</v>
      </c>
      <c r="KQH1" t="s">
        <v>9780</v>
      </c>
      <c r="KQI1" t="s">
        <v>9781</v>
      </c>
      <c r="KQJ1" t="s">
        <v>9782</v>
      </c>
      <c r="KQK1" t="s">
        <v>9783</v>
      </c>
      <c r="KQL1" t="s">
        <v>9784</v>
      </c>
      <c r="KQM1" t="s">
        <v>9785</v>
      </c>
      <c r="KQN1" t="s">
        <v>9786</v>
      </c>
      <c r="KQO1" t="s">
        <v>9787</v>
      </c>
      <c r="KQP1" t="s">
        <v>9788</v>
      </c>
      <c r="KQQ1" t="s">
        <v>9789</v>
      </c>
      <c r="KQR1" t="s">
        <v>9790</v>
      </c>
      <c r="KQS1" t="s">
        <v>9791</v>
      </c>
      <c r="KQT1" t="s">
        <v>9792</v>
      </c>
      <c r="KQU1" t="s">
        <v>9793</v>
      </c>
      <c r="KQV1" t="s">
        <v>9794</v>
      </c>
      <c r="KQW1" t="s">
        <v>9795</v>
      </c>
      <c r="KQX1" t="s">
        <v>9796</v>
      </c>
      <c r="KQY1" t="s">
        <v>9797</v>
      </c>
      <c r="KQZ1" t="s">
        <v>9798</v>
      </c>
      <c r="KRA1" t="s">
        <v>9799</v>
      </c>
      <c r="KRB1" t="s">
        <v>9800</v>
      </c>
      <c r="KRC1" t="s">
        <v>9801</v>
      </c>
      <c r="KRD1" t="s">
        <v>9802</v>
      </c>
      <c r="KRE1" t="s">
        <v>9803</v>
      </c>
      <c r="KRF1" t="s">
        <v>9804</v>
      </c>
      <c r="KRG1" t="s">
        <v>9805</v>
      </c>
      <c r="KRH1" t="s">
        <v>9806</v>
      </c>
      <c r="KRI1" t="s">
        <v>9807</v>
      </c>
      <c r="KRJ1" t="s">
        <v>9808</v>
      </c>
      <c r="KRK1" t="s">
        <v>9809</v>
      </c>
      <c r="KRL1" t="s">
        <v>9810</v>
      </c>
      <c r="KRM1" t="s">
        <v>9811</v>
      </c>
      <c r="KRN1" t="s">
        <v>9812</v>
      </c>
      <c r="KRO1" t="s">
        <v>9813</v>
      </c>
      <c r="KRP1" t="s">
        <v>9814</v>
      </c>
      <c r="KRQ1" t="s">
        <v>9815</v>
      </c>
      <c r="KRR1" t="s">
        <v>9816</v>
      </c>
      <c r="KRS1" t="s">
        <v>9817</v>
      </c>
      <c r="KRT1" t="s">
        <v>9818</v>
      </c>
      <c r="KRU1" t="s">
        <v>9819</v>
      </c>
      <c r="KRV1" t="s">
        <v>9820</v>
      </c>
      <c r="KRW1" t="s">
        <v>9821</v>
      </c>
      <c r="KRX1" t="s">
        <v>9822</v>
      </c>
      <c r="KRY1" t="s">
        <v>9823</v>
      </c>
      <c r="KRZ1" t="s">
        <v>9824</v>
      </c>
      <c r="KSA1" t="s">
        <v>9825</v>
      </c>
      <c r="KSB1" t="s">
        <v>9826</v>
      </c>
      <c r="KSC1" t="s">
        <v>9827</v>
      </c>
      <c r="KSD1" t="s">
        <v>9828</v>
      </c>
      <c r="KSE1" t="s">
        <v>9829</v>
      </c>
      <c r="KSF1" t="s">
        <v>9830</v>
      </c>
      <c r="KSG1" t="s">
        <v>9831</v>
      </c>
      <c r="KSH1" t="s">
        <v>9832</v>
      </c>
      <c r="KSI1" t="s">
        <v>9833</v>
      </c>
      <c r="KSJ1" t="s">
        <v>9834</v>
      </c>
      <c r="KSK1" t="s">
        <v>9835</v>
      </c>
      <c r="KSL1" t="s">
        <v>9836</v>
      </c>
      <c r="KSM1" t="s">
        <v>9837</v>
      </c>
      <c r="KSN1" t="s">
        <v>9838</v>
      </c>
      <c r="KSO1" t="s">
        <v>9839</v>
      </c>
      <c r="KSP1" t="s">
        <v>9840</v>
      </c>
      <c r="KSQ1" t="s">
        <v>9841</v>
      </c>
      <c r="KSR1" t="s">
        <v>9842</v>
      </c>
      <c r="KSS1" t="s">
        <v>9843</v>
      </c>
      <c r="KST1" t="s">
        <v>9844</v>
      </c>
      <c r="KSU1" t="s">
        <v>9845</v>
      </c>
      <c r="KSV1" t="s">
        <v>9846</v>
      </c>
      <c r="KSW1" t="s">
        <v>9847</v>
      </c>
      <c r="KSX1" t="s">
        <v>9848</v>
      </c>
      <c r="KSY1" t="s">
        <v>9849</v>
      </c>
      <c r="KSZ1" t="s">
        <v>9850</v>
      </c>
      <c r="KTA1" t="s">
        <v>9851</v>
      </c>
      <c r="KTB1" t="s">
        <v>9852</v>
      </c>
      <c r="KTC1" t="s">
        <v>9853</v>
      </c>
      <c r="KTD1" t="s">
        <v>9854</v>
      </c>
      <c r="KTE1" t="s">
        <v>9855</v>
      </c>
      <c r="KTF1" t="s">
        <v>9856</v>
      </c>
      <c r="KTG1" t="s">
        <v>9857</v>
      </c>
      <c r="KTH1" t="s">
        <v>9858</v>
      </c>
      <c r="KTI1" t="s">
        <v>9859</v>
      </c>
      <c r="KTJ1" t="s">
        <v>9860</v>
      </c>
      <c r="KTK1" t="s">
        <v>9861</v>
      </c>
      <c r="KTL1" t="s">
        <v>9862</v>
      </c>
      <c r="KTM1" t="s">
        <v>9863</v>
      </c>
      <c r="KTN1" t="s">
        <v>9864</v>
      </c>
      <c r="KTO1" t="s">
        <v>9865</v>
      </c>
      <c r="KTP1" t="s">
        <v>9866</v>
      </c>
      <c r="KTQ1" t="s">
        <v>9867</v>
      </c>
      <c r="KTR1" t="s">
        <v>9868</v>
      </c>
      <c r="KTS1" t="s">
        <v>9869</v>
      </c>
      <c r="KTT1" t="s">
        <v>9870</v>
      </c>
      <c r="KTU1" t="s">
        <v>9871</v>
      </c>
      <c r="KTV1" t="s">
        <v>9872</v>
      </c>
      <c r="KTW1" t="s">
        <v>9873</v>
      </c>
      <c r="KTX1" t="s">
        <v>9874</v>
      </c>
      <c r="KTY1" t="s">
        <v>9875</v>
      </c>
      <c r="KTZ1" t="s">
        <v>9876</v>
      </c>
      <c r="KUA1" t="s">
        <v>9877</v>
      </c>
      <c r="KUB1" t="s">
        <v>9878</v>
      </c>
      <c r="KUC1" t="s">
        <v>9879</v>
      </c>
      <c r="KUD1" t="s">
        <v>9880</v>
      </c>
      <c r="KUE1" t="s">
        <v>9881</v>
      </c>
      <c r="KUF1" t="s">
        <v>9882</v>
      </c>
      <c r="KUG1" t="s">
        <v>9883</v>
      </c>
      <c r="KUH1" t="s">
        <v>9884</v>
      </c>
      <c r="KUI1" t="s">
        <v>9885</v>
      </c>
      <c r="KUJ1" t="s">
        <v>9886</v>
      </c>
      <c r="KUK1" t="s">
        <v>9887</v>
      </c>
      <c r="KUL1" t="s">
        <v>9888</v>
      </c>
      <c r="KUM1" t="s">
        <v>9889</v>
      </c>
      <c r="KUN1" t="s">
        <v>9890</v>
      </c>
      <c r="KUO1" t="s">
        <v>9891</v>
      </c>
      <c r="KUP1" t="s">
        <v>9892</v>
      </c>
      <c r="KUQ1" t="s">
        <v>9893</v>
      </c>
      <c r="KUR1" t="s">
        <v>9894</v>
      </c>
      <c r="KUS1" t="s">
        <v>9895</v>
      </c>
      <c r="KUT1" t="s">
        <v>9896</v>
      </c>
      <c r="KUU1" t="s">
        <v>9897</v>
      </c>
      <c r="KUV1" t="s">
        <v>9898</v>
      </c>
      <c r="KUW1" t="s">
        <v>9899</v>
      </c>
      <c r="KUX1" t="s">
        <v>9900</v>
      </c>
      <c r="KUY1" t="s">
        <v>9901</v>
      </c>
      <c r="KUZ1" t="s">
        <v>9902</v>
      </c>
      <c r="KVA1" t="s">
        <v>9903</v>
      </c>
      <c r="KVB1" t="s">
        <v>9904</v>
      </c>
      <c r="KVC1" t="s">
        <v>9905</v>
      </c>
      <c r="KVD1" t="s">
        <v>9906</v>
      </c>
      <c r="KVE1" t="s">
        <v>9907</v>
      </c>
      <c r="KVF1" t="s">
        <v>9908</v>
      </c>
      <c r="KVG1" t="s">
        <v>9909</v>
      </c>
      <c r="KVH1" t="s">
        <v>9910</v>
      </c>
      <c r="KVI1" t="s">
        <v>9911</v>
      </c>
      <c r="KVJ1" t="s">
        <v>9912</v>
      </c>
      <c r="KVK1" t="s">
        <v>9913</v>
      </c>
      <c r="KVL1" t="s">
        <v>9914</v>
      </c>
      <c r="KVM1" t="s">
        <v>9915</v>
      </c>
      <c r="KVN1" t="s">
        <v>9916</v>
      </c>
      <c r="KVO1" t="s">
        <v>9917</v>
      </c>
      <c r="KVP1" t="s">
        <v>9918</v>
      </c>
      <c r="KVQ1" t="s">
        <v>9919</v>
      </c>
      <c r="KVR1" t="s">
        <v>9920</v>
      </c>
      <c r="KVS1" t="s">
        <v>9921</v>
      </c>
      <c r="KVT1" t="s">
        <v>9922</v>
      </c>
      <c r="KVU1" t="s">
        <v>9923</v>
      </c>
      <c r="KVV1" t="s">
        <v>9924</v>
      </c>
      <c r="KVW1" t="s">
        <v>9925</v>
      </c>
      <c r="KVX1" t="s">
        <v>9926</v>
      </c>
      <c r="KVY1" t="s">
        <v>9927</v>
      </c>
      <c r="KVZ1" t="s">
        <v>9928</v>
      </c>
      <c r="KWA1" t="s">
        <v>9929</v>
      </c>
      <c r="KWB1" t="s">
        <v>9930</v>
      </c>
      <c r="KWC1" t="s">
        <v>9931</v>
      </c>
      <c r="KWD1" t="s">
        <v>9932</v>
      </c>
      <c r="KWE1" t="s">
        <v>9933</v>
      </c>
      <c r="KWF1" t="s">
        <v>9934</v>
      </c>
      <c r="KWG1" t="s">
        <v>9935</v>
      </c>
      <c r="KWH1" t="s">
        <v>9936</v>
      </c>
      <c r="KWI1" t="s">
        <v>9937</v>
      </c>
      <c r="KWJ1" t="s">
        <v>9938</v>
      </c>
      <c r="KWK1" t="s">
        <v>9939</v>
      </c>
      <c r="KWL1" t="s">
        <v>9940</v>
      </c>
      <c r="KWM1" t="s">
        <v>9941</v>
      </c>
      <c r="KWN1" t="s">
        <v>9942</v>
      </c>
      <c r="KWO1" t="s">
        <v>9943</v>
      </c>
      <c r="KWP1" t="s">
        <v>9944</v>
      </c>
      <c r="KWQ1" t="s">
        <v>9945</v>
      </c>
      <c r="KWR1" t="s">
        <v>9946</v>
      </c>
      <c r="KWS1" t="s">
        <v>9947</v>
      </c>
      <c r="KWT1" t="s">
        <v>9948</v>
      </c>
      <c r="KWU1" t="s">
        <v>9949</v>
      </c>
      <c r="KWV1" t="s">
        <v>9950</v>
      </c>
      <c r="KWW1" t="s">
        <v>9951</v>
      </c>
      <c r="KWX1" t="s">
        <v>9952</v>
      </c>
      <c r="KWY1" t="s">
        <v>9953</v>
      </c>
      <c r="KWZ1" t="s">
        <v>9954</v>
      </c>
      <c r="KXA1" t="s">
        <v>9955</v>
      </c>
      <c r="KXB1" t="s">
        <v>9956</v>
      </c>
      <c r="KXC1" t="s">
        <v>9957</v>
      </c>
      <c r="KXD1" t="s">
        <v>9958</v>
      </c>
      <c r="KXE1" t="s">
        <v>9959</v>
      </c>
      <c r="KXF1" t="s">
        <v>9960</v>
      </c>
      <c r="KXG1" t="s">
        <v>9961</v>
      </c>
      <c r="KXH1" t="s">
        <v>9962</v>
      </c>
      <c r="KXI1" t="s">
        <v>9963</v>
      </c>
      <c r="KXJ1" t="s">
        <v>9964</v>
      </c>
      <c r="KXK1" t="s">
        <v>9965</v>
      </c>
      <c r="KXL1" t="s">
        <v>9966</v>
      </c>
      <c r="KXM1" t="s">
        <v>9967</v>
      </c>
      <c r="KXN1" t="s">
        <v>9968</v>
      </c>
      <c r="KXO1" t="s">
        <v>9969</v>
      </c>
      <c r="KXP1" t="s">
        <v>9970</v>
      </c>
      <c r="KXQ1" t="s">
        <v>9971</v>
      </c>
      <c r="KXR1" t="s">
        <v>9972</v>
      </c>
      <c r="KXS1" t="s">
        <v>9973</v>
      </c>
      <c r="KXT1" t="s">
        <v>9974</v>
      </c>
      <c r="KXU1" t="s">
        <v>9975</v>
      </c>
      <c r="KXV1" t="s">
        <v>9976</v>
      </c>
      <c r="KXW1" t="s">
        <v>9977</v>
      </c>
      <c r="KXX1" t="s">
        <v>9978</v>
      </c>
      <c r="KXY1" t="s">
        <v>9979</v>
      </c>
      <c r="KXZ1" t="s">
        <v>9980</v>
      </c>
      <c r="KYA1" t="s">
        <v>9981</v>
      </c>
      <c r="KYB1" t="s">
        <v>9982</v>
      </c>
      <c r="KYC1" t="s">
        <v>9983</v>
      </c>
      <c r="KYD1" t="s">
        <v>9984</v>
      </c>
      <c r="KYE1" t="s">
        <v>9985</v>
      </c>
      <c r="KYF1" t="s">
        <v>9986</v>
      </c>
      <c r="KYG1" t="s">
        <v>9987</v>
      </c>
      <c r="KYH1" t="s">
        <v>9988</v>
      </c>
      <c r="KYI1" t="s">
        <v>9989</v>
      </c>
      <c r="KYJ1" t="s">
        <v>9990</v>
      </c>
      <c r="KYK1" t="s">
        <v>9991</v>
      </c>
      <c r="KYL1" t="s">
        <v>9992</v>
      </c>
      <c r="KYM1" t="s">
        <v>9993</v>
      </c>
      <c r="KYN1" t="s">
        <v>9994</v>
      </c>
      <c r="KYO1" t="s">
        <v>9995</v>
      </c>
      <c r="KYP1" t="s">
        <v>9996</v>
      </c>
      <c r="KYQ1" t="s">
        <v>9997</v>
      </c>
      <c r="KYR1" t="s">
        <v>9998</v>
      </c>
      <c r="KYS1" t="s">
        <v>9999</v>
      </c>
      <c r="KYT1" t="s">
        <v>10000</v>
      </c>
      <c r="KYU1" t="s">
        <v>10001</v>
      </c>
      <c r="KYV1" t="s">
        <v>10002</v>
      </c>
      <c r="KYW1" t="s">
        <v>10003</v>
      </c>
      <c r="KYX1" t="s">
        <v>10004</v>
      </c>
      <c r="KYY1" t="s">
        <v>10005</v>
      </c>
      <c r="KYZ1" t="s">
        <v>10006</v>
      </c>
      <c r="KZA1" t="s">
        <v>10007</v>
      </c>
      <c r="KZB1" t="s">
        <v>10008</v>
      </c>
      <c r="KZC1" t="s">
        <v>10009</v>
      </c>
      <c r="KZD1" t="s">
        <v>10010</v>
      </c>
      <c r="KZE1" t="s">
        <v>10011</v>
      </c>
      <c r="KZF1" t="s">
        <v>10012</v>
      </c>
      <c r="KZG1" t="s">
        <v>10013</v>
      </c>
      <c r="KZH1" t="s">
        <v>10014</v>
      </c>
      <c r="KZI1" t="s">
        <v>10015</v>
      </c>
      <c r="KZJ1" t="s">
        <v>10016</v>
      </c>
      <c r="KZK1" t="s">
        <v>10017</v>
      </c>
      <c r="KZL1" t="s">
        <v>10018</v>
      </c>
      <c r="KZM1" t="s">
        <v>10019</v>
      </c>
      <c r="KZN1" t="s">
        <v>10020</v>
      </c>
      <c r="KZO1" t="s">
        <v>10021</v>
      </c>
      <c r="KZP1" t="s">
        <v>10022</v>
      </c>
      <c r="KZQ1" t="s">
        <v>10023</v>
      </c>
      <c r="KZR1" t="s">
        <v>10024</v>
      </c>
      <c r="KZS1" t="s">
        <v>10025</v>
      </c>
      <c r="KZT1" t="s">
        <v>10026</v>
      </c>
      <c r="KZU1" t="s">
        <v>10027</v>
      </c>
      <c r="KZV1" t="s">
        <v>10028</v>
      </c>
      <c r="KZW1" t="s">
        <v>10029</v>
      </c>
      <c r="KZX1" t="s">
        <v>10030</v>
      </c>
      <c r="KZY1" t="s">
        <v>10031</v>
      </c>
      <c r="KZZ1" t="s">
        <v>10032</v>
      </c>
      <c r="LAA1" t="s">
        <v>10033</v>
      </c>
      <c r="LAB1" t="s">
        <v>10034</v>
      </c>
      <c r="LAC1" t="s">
        <v>10035</v>
      </c>
      <c r="LAD1" t="s">
        <v>10036</v>
      </c>
      <c r="LAE1" t="s">
        <v>10037</v>
      </c>
      <c r="LAF1" t="s">
        <v>10038</v>
      </c>
      <c r="LAG1" t="s">
        <v>10039</v>
      </c>
      <c r="LAH1" t="s">
        <v>10040</v>
      </c>
      <c r="LAI1" t="s">
        <v>10041</v>
      </c>
      <c r="LAJ1" t="s">
        <v>10042</v>
      </c>
      <c r="LAK1" t="s">
        <v>10043</v>
      </c>
      <c r="LAL1" t="s">
        <v>10044</v>
      </c>
      <c r="LAM1" t="s">
        <v>10045</v>
      </c>
      <c r="LAN1" t="s">
        <v>10046</v>
      </c>
      <c r="LAO1" t="s">
        <v>10047</v>
      </c>
      <c r="LAP1" t="s">
        <v>10048</v>
      </c>
      <c r="LAQ1" t="s">
        <v>10049</v>
      </c>
      <c r="LAR1" t="s">
        <v>10050</v>
      </c>
      <c r="LAS1" t="s">
        <v>10051</v>
      </c>
      <c r="LAT1" t="s">
        <v>10052</v>
      </c>
      <c r="LAU1" t="s">
        <v>10053</v>
      </c>
      <c r="LAV1" t="s">
        <v>10054</v>
      </c>
      <c r="LAW1" t="s">
        <v>10055</v>
      </c>
      <c r="LAX1" t="s">
        <v>10056</v>
      </c>
      <c r="LAY1" t="s">
        <v>10057</v>
      </c>
      <c r="LAZ1" t="s">
        <v>10058</v>
      </c>
      <c r="LBA1" t="s">
        <v>10059</v>
      </c>
      <c r="LBB1" t="s">
        <v>10060</v>
      </c>
      <c r="LBC1" t="s">
        <v>10061</v>
      </c>
      <c r="LBD1" t="s">
        <v>10062</v>
      </c>
      <c r="LBE1" t="s">
        <v>10063</v>
      </c>
      <c r="LBF1" t="s">
        <v>10064</v>
      </c>
      <c r="LBG1" t="s">
        <v>10065</v>
      </c>
      <c r="LBH1" t="s">
        <v>10066</v>
      </c>
      <c r="LBI1" t="s">
        <v>10067</v>
      </c>
      <c r="LBJ1" t="s">
        <v>10068</v>
      </c>
      <c r="LBK1" t="s">
        <v>10069</v>
      </c>
      <c r="LBL1" t="s">
        <v>10070</v>
      </c>
      <c r="LBM1" t="s">
        <v>10071</v>
      </c>
      <c r="LBN1" t="s">
        <v>10072</v>
      </c>
      <c r="LBO1" t="s">
        <v>10073</v>
      </c>
      <c r="LBP1" t="s">
        <v>10074</v>
      </c>
      <c r="LBQ1" t="s">
        <v>10075</v>
      </c>
      <c r="LBR1" t="s">
        <v>10076</v>
      </c>
      <c r="LBS1" t="s">
        <v>10077</v>
      </c>
      <c r="LBT1" t="s">
        <v>10078</v>
      </c>
      <c r="LBU1" t="s">
        <v>10079</v>
      </c>
      <c r="LBV1" t="s">
        <v>10080</v>
      </c>
      <c r="LBW1" t="s">
        <v>10081</v>
      </c>
      <c r="LBX1" t="s">
        <v>10082</v>
      </c>
      <c r="LBY1" t="s">
        <v>10083</v>
      </c>
      <c r="LBZ1" t="s">
        <v>10084</v>
      </c>
      <c r="LCA1" t="s">
        <v>10085</v>
      </c>
      <c r="LCB1" t="s">
        <v>10086</v>
      </c>
      <c r="LCC1" t="s">
        <v>10087</v>
      </c>
      <c r="LCD1" t="s">
        <v>10088</v>
      </c>
      <c r="LCE1" t="s">
        <v>10089</v>
      </c>
      <c r="LCF1" t="s">
        <v>10090</v>
      </c>
      <c r="LCG1" t="s">
        <v>10091</v>
      </c>
      <c r="LCH1" t="s">
        <v>10092</v>
      </c>
      <c r="LCI1" t="s">
        <v>10093</v>
      </c>
      <c r="LCJ1" t="s">
        <v>10094</v>
      </c>
      <c r="LCK1" t="s">
        <v>10095</v>
      </c>
      <c r="LCL1" t="s">
        <v>10096</v>
      </c>
      <c r="LCM1" t="s">
        <v>10097</v>
      </c>
      <c r="LCN1" t="s">
        <v>10098</v>
      </c>
      <c r="LCO1" t="s">
        <v>10099</v>
      </c>
      <c r="LCP1" t="s">
        <v>10100</v>
      </c>
      <c r="LCQ1" t="s">
        <v>10101</v>
      </c>
      <c r="LCR1" t="s">
        <v>10102</v>
      </c>
      <c r="LCS1" t="s">
        <v>10103</v>
      </c>
      <c r="LCT1" t="s">
        <v>10104</v>
      </c>
      <c r="LCU1" t="s">
        <v>10105</v>
      </c>
      <c r="LCV1" t="s">
        <v>10106</v>
      </c>
      <c r="LCW1" t="s">
        <v>10107</v>
      </c>
      <c r="LCX1" t="s">
        <v>10108</v>
      </c>
      <c r="LCY1" t="s">
        <v>10109</v>
      </c>
      <c r="LCZ1" t="s">
        <v>10110</v>
      </c>
      <c r="LDA1" t="s">
        <v>10111</v>
      </c>
      <c r="LDB1" t="s">
        <v>10112</v>
      </c>
      <c r="LDC1" t="s">
        <v>10113</v>
      </c>
      <c r="LDD1" t="s">
        <v>10114</v>
      </c>
      <c r="LDE1" t="s">
        <v>10115</v>
      </c>
      <c r="LDF1" t="s">
        <v>10116</v>
      </c>
      <c r="LDG1" t="s">
        <v>10117</v>
      </c>
      <c r="LDH1" t="s">
        <v>10118</v>
      </c>
      <c r="LDI1" t="s">
        <v>10119</v>
      </c>
      <c r="LDJ1" t="s">
        <v>10120</v>
      </c>
      <c r="LDK1" t="s">
        <v>10121</v>
      </c>
      <c r="LDL1" t="s">
        <v>10122</v>
      </c>
      <c r="LDM1" t="s">
        <v>10123</v>
      </c>
      <c r="LDN1" t="s">
        <v>10124</v>
      </c>
      <c r="LDO1" t="s">
        <v>10125</v>
      </c>
      <c r="LDP1" t="s">
        <v>10126</v>
      </c>
      <c r="LDQ1" t="s">
        <v>10127</v>
      </c>
      <c r="LDR1" t="s">
        <v>10128</v>
      </c>
      <c r="LDS1" t="s">
        <v>10129</v>
      </c>
      <c r="LDT1" t="s">
        <v>10130</v>
      </c>
      <c r="LDU1" t="s">
        <v>10131</v>
      </c>
      <c r="LDV1" t="s">
        <v>10132</v>
      </c>
      <c r="LDW1" t="s">
        <v>10133</v>
      </c>
      <c r="LDX1" t="s">
        <v>10134</v>
      </c>
      <c r="LDY1" t="s">
        <v>10135</v>
      </c>
      <c r="LDZ1" t="s">
        <v>10136</v>
      </c>
      <c r="LEA1" t="s">
        <v>10137</v>
      </c>
      <c r="LEB1" t="s">
        <v>10138</v>
      </c>
      <c r="LEC1" t="s">
        <v>10139</v>
      </c>
      <c r="LED1" t="s">
        <v>10140</v>
      </c>
      <c r="LEE1" t="s">
        <v>10141</v>
      </c>
      <c r="LEF1" t="s">
        <v>10142</v>
      </c>
      <c r="LEG1" t="s">
        <v>10143</v>
      </c>
      <c r="LEH1" t="s">
        <v>10144</v>
      </c>
      <c r="LEI1" t="s">
        <v>10145</v>
      </c>
      <c r="LEJ1" t="s">
        <v>10146</v>
      </c>
      <c r="LEK1" t="s">
        <v>10147</v>
      </c>
      <c r="LEL1" t="s">
        <v>10148</v>
      </c>
      <c r="LEM1" t="s">
        <v>10149</v>
      </c>
      <c r="LEN1" t="s">
        <v>10150</v>
      </c>
      <c r="LEO1" t="s">
        <v>10151</v>
      </c>
      <c r="LEP1" t="s">
        <v>10152</v>
      </c>
      <c r="LEQ1" t="s">
        <v>10153</v>
      </c>
      <c r="LER1" t="s">
        <v>10154</v>
      </c>
      <c r="LES1" t="s">
        <v>10155</v>
      </c>
      <c r="LET1" t="s">
        <v>10156</v>
      </c>
      <c r="LEU1" t="s">
        <v>10157</v>
      </c>
      <c r="LEV1" t="s">
        <v>10158</v>
      </c>
      <c r="LEW1" t="s">
        <v>10159</v>
      </c>
      <c r="LEX1" t="s">
        <v>10160</v>
      </c>
      <c r="LEY1" t="s">
        <v>10161</v>
      </c>
      <c r="LEZ1" t="s">
        <v>10162</v>
      </c>
      <c r="LFA1" t="s">
        <v>10163</v>
      </c>
      <c r="LFB1" t="s">
        <v>10164</v>
      </c>
      <c r="LFC1" t="s">
        <v>10165</v>
      </c>
      <c r="LFD1" t="s">
        <v>10166</v>
      </c>
      <c r="LFE1" t="s">
        <v>10167</v>
      </c>
      <c r="LFF1" t="s">
        <v>10168</v>
      </c>
      <c r="LFG1" t="s">
        <v>10169</v>
      </c>
      <c r="LFH1" t="s">
        <v>10170</v>
      </c>
      <c r="LFI1" t="s">
        <v>10171</v>
      </c>
      <c r="LFJ1" t="s">
        <v>10172</v>
      </c>
      <c r="LFK1" t="s">
        <v>10173</v>
      </c>
      <c r="LFL1" t="s">
        <v>10174</v>
      </c>
      <c r="LFM1" t="s">
        <v>10175</v>
      </c>
      <c r="LFN1" t="s">
        <v>10176</v>
      </c>
      <c r="LFO1" t="s">
        <v>10177</v>
      </c>
      <c r="LFP1" t="s">
        <v>10178</v>
      </c>
      <c r="LFQ1" t="s">
        <v>10179</v>
      </c>
      <c r="LFR1" t="s">
        <v>10180</v>
      </c>
      <c r="LFS1" t="s">
        <v>10181</v>
      </c>
      <c r="LFT1" t="s">
        <v>10182</v>
      </c>
      <c r="LFU1" t="s">
        <v>10183</v>
      </c>
      <c r="LFV1" t="s">
        <v>10184</v>
      </c>
      <c r="LFW1" t="s">
        <v>10185</v>
      </c>
      <c r="LFX1" t="s">
        <v>10186</v>
      </c>
      <c r="LFY1" t="s">
        <v>10187</v>
      </c>
      <c r="LFZ1" t="s">
        <v>10188</v>
      </c>
      <c r="LGA1" t="s">
        <v>10189</v>
      </c>
      <c r="LGB1" t="s">
        <v>10190</v>
      </c>
      <c r="LGC1" t="s">
        <v>10191</v>
      </c>
      <c r="LGD1" t="s">
        <v>10192</v>
      </c>
      <c r="LGE1" t="s">
        <v>10193</v>
      </c>
      <c r="LGF1" t="s">
        <v>10194</v>
      </c>
      <c r="LGG1" t="s">
        <v>10195</v>
      </c>
      <c r="LGH1" t="s">
        <v>10196</v>
      </c>
      <c r="LGI1" t="s">
        <v>10197</v>
      </c>
      <c r="LGJ1" t="s">
        <v>10198</v>
      </c>
      <c r="LGK1" t="s">
        <v>10199</v>
      </c>
      <c r="LGL1" t="s">
        <v>10200</v>
      </c>
      <c r="LGM1" t="s">
        <v>10201</v>
      </c>
      <c r="LGN1" t="s">
        <v>10202</v>
      </c>
      <c r="LGO1" t="s">
        <v>10203</v>
      </c>
      <c r="LGP1" t="s">
        <v>10204</v>
      </c>
      <c r="LGQ1" t="s">
        <v>10205</v>
      </c>
      <c r="LGR1" t="s">
        <v>10206</v>
      </c>
      <c r="LGS1" t="s">
        <v>10207</v>
      </c>
      <c r="LGT1" t="s">
        <v>10208</v>
      </c>
      <c r="LGU1" t="s">
        <v>10209</v>
      </c>
      <c r="LGV1" t="s">
        <v>10210</v>
      </c>
      <c r="LGW1" t="s">
        <v>10211</v>
      </c>
      <c r="LGX1" t="s">
        <v>10212</v>
      </c>
      <c r="LGY1" t="s">
        <v>10213</v>
      </c>
      <c r="LGZ1" t="s">
        <v>10214</v>
      </c>
      <c r="LHA1" t="s">
        <v>10215</v>
      </c>
      <c r="LHB1" t="s">
        <v>10216</v>
      </c>
      <c r="LHC1" t="s">
        <v>10217</v>
      </c>
      <c r="LHD1" t="s">
        <v>10218</v>
      </c>
      <c r="LHE1" t="s">
        <v>10219</v>
      </c>
      <c r="LHF1" t="s">
        <v>10220</v>
      </c>
      <c r="LHG1" t="s">
        <v>10221</v>
      </c>
      <c r="LHH1" t="s">
        <v>10222</v>
      </c>
      <c r="LHI1" t="s">
        <v>10223</v>
      </c>
      <c r="LHJ1" t="s">
        <v>10224</v>
      </c>
      <c r="LHK1" t="s">
        <v>10225</v>
      </c>
      <c r="LHL1" t="s">
        <v>10226</v>
      </c>
      <c r="LHM1" t="s">
        <v>10227</v>
      </c>
      <c r="LHN1" t="s">
        <v>10228</v>
      </c>
      <c r="LHO1" t="s">
        <v>10229</v>
      </c>
      <c r="LHP1" t="s">
        <v>10230</v>
      </c>
      <c r="LHQ1" t="s">
        <v>10231</v>
      </c>
      <c r="LHR1" t="s">
        <v>10232</v>
      </c>
      <c r="LHS1" t="s">
        <v>10233</v>
      </c>
      <c r="LHT1" t="s">
        <v>10234</v>
      </c>
      <c r="LHU1" t="s">
        <v>10235</v>
      </c>
      <c r="LHV1" t="s">
        <v>10236</v>
      </c>
      <c r="LHW1" t="s">
        <v>10237</v>
      </c>
      <c r="LHX1" t="s">
        <v>10238</v>
      </c>
      <c r="LHY1" t="s">
        <v>10239</v>
      </c>
      <c r="LHZ1" t="s">
        <v>10240</v>
      </c>
      <c r="LIA1" t="s">
        <v>10241</v>
      </c>
      <c r="LIB1" t="s">
        <v>10242</v>
      </c>
      <c r="LIC1" t="s">
        <v>10243</v>
      </c>
      <c r="LID1" t="s">
        <v>10244</v>
      </c>
      <c r="LIE1" t="s">
        <v>10245</v>
      </c>
      <c r="LIF1" t="s">
        <v>10246</v>
      </c>
      <c r="LIG1" t="s">
        <v>10247</v>
      </c>
      <c r="LIH1" t="s">
        <v>10248</v>
      </c>
      <c r="LII1" t="s">
        <v>10249</v>
      </c>
      <c r="LIJ1" t="s">
        <v>10250</v>
      </c>
      <c r="LIK1" t="s">
        <v>10251</v>
      </c>
      <c r="LIL1" t="s">
        <v>10252</v>
      </c>
      <c r="LIM1" t="s">
        <v>10253</v>
      </c>
      <c r="LIN1" t="s">
        <v>10254</v>
      </c>
      <c r="LIO1" t="s">
        <v>10255</v>
      </c>
      <c r="LIP1" t="s">
        <v>10256</v>
      </c>
      <c r="LIQ1" t="s">
        <v>10257</v>
      </c>
      <c r="LIR1" t="s">
        <v>10258</v>
      </c>
      <c r="LIS1" t="s">
        <v>10259</v>
      </c>
      <c r="LIT1" t="s">
        <v>10260</v>
      </c>
      <c r="LIU1" t="s">
        <v>10261</v>
      </c>
      <c r="LIV1" t="s">
        <v>10262</v>
      </c>
      <c r="LIW1" t="s">
        <v>10263</v>
      </c>
      <c r="LIX1" t="s">
        <v>10264</v>
      </c>
      <c r="LIY1" t="s">
        <v>10265</v>
      </c>
      <c r="LIZ1" t="s">
        <v>10266</v>
      </c>
      <c r="LJA1" t="s">
        <v>10267</v>
      </c>
      <c r="LJB1" t="s">
        <v>10268</v>
      </c>
      <c r="LJC1" t="s">
        <v>10269</v>
      </c>
      <c r="LJD1" t="s">
        <v>10270</v>
      </c>
      <c r="LJE1" t="s">
        <v>10271</v>
      </c>
      <c r="LJF1" t="s">
        <v>10272</v>
      </c>
      <c r="LJG1" t="s">
        <v>10273</v>
      </c>
      <c r="LJH1" t="s">
        <v>10274</v>
      </c>
      <c r="LJI1" t="s">
        <v>10275</v>
      </c>
      <c r="LJJ1" t="s">
        <v>10276</v>
      </c>
      <c r="LJK1" t="s">
        <v>10277</v>
      </c>
      <c r="LJL1" t="s">
        <v>10278</v>
      </c>
      <c r="LJM1" t="s">
        <v>10279</v>
      </c>
      <c r="LJN1" t="s">
        <v>10280</v>
      </c>
      <c r="LJO1" t="s">
        <v>10281</v>
      </c>
      <c r="LJP1" t="s">
        <v>10282</v>
      </c>
      <c r="LJQ1" t="s">
        <v>10283</v>
      </c>
      <c r="LJR1" t="s">
        <v>10284</v>
      </c>
      <c r="LJS1" t="s">
        <v>10285</v>
      </c>
      <c r="LJT1" t="s">
        <v>10286</v>
      </c>
      <c r="LJU1" t="s">
        <v>10287</v>
      </c>
      <c r="LJV1" t="s">
        <v>10288</v>
      </c>
      <c r="LJW1" t="s">
        <v>10289</v>
      </c>
      <c r="LJX1" t="s">
        <v>10290</v>
      </c>
      <c r="LJY1" t="s">
        <v>10291</v>
      </c>
      <c r="LJZ1" t="s">
        <v>10292</v>
      </c>
      <c r="LKA1" t="s">
        <v>10293</v>
      </c>
      <c r="LKB1" t="s">
        <v>10294</v>
      </c>
      <c r="LKC1" t="s">
        <v>10295</v>
      </c>
      <c r="LKD1" t="s">
        <v>10296</v>
      </c>
      <c r="LKE1" t="s">
        <v>10297</v>
      </c>
      <c r="LKF1" t="s">
        <v>10298</v>
      </c>
      <c r="LKG1" t="s">
        <v>10299</v>
      </c>
      <c r="LKH1" t="s">
        <v>10300</v>
      </c>
      <c r="LKI1" t="s">
        <v>10301</v>
      </c>
      <c r="LKJ1" t="s">
        <v>10302</v>
      </c>
      <c r="LKK1" t="s">
        <v>10303</v>
      </c>
      <c r="LKL1" t="s">
        <v>10304</v>
      </c>
      <c r="LKM1" t="s">
        <v>10305</v>
      </c>
      <c r="LKN1" t="s">
        <v>10306</v>
      </c>
      <c r="LKO1" t="s">
        <v>10307</v>
      </c>
      <c r="LKP1" t="s">
        <v>10308</v>
      </c>
      <c r="LKQ1" t="s">
        <v>10309</v>
      </c>
      <c r="LKR1" t="s">
        <v>10310</v>
      </c>
      <c r="LKS1" t="s">
        <v>10311</v>
      </c>
      <c r="LKT1" t="s">
        <v>10312</v>
      </c>
      <c r="LKU1" t="s">
        <v>10313</v>
      </c>
      <c r="LKV1" t="s">
        <v>10314</v>
      </c>
      <c r="LKW1" t="s">
        <v>10315</v>
      </c>
      <c r="LKX1" t="s">
        <v>10316</v>
      </c>
      <c r="LKY1" t="s">
        <v>10317</v>
      </c>
      <c r="LKZ1" t="s">
        <v>10318</v>
      </c>
      <c r="LLA1" t="s">
        <v>10319</v>
      </c>
      <c r="LLB1" t="s">
        <v>10320</v>
      </c>
      <c r="LLC1" t="s">
        <v>10321</v>
      </c>
      <c r="LLD1" t="s">
        <v>10322</v>
      </c>
      <c r="LLE1" t="s">
        <v>10323</v>
      </c>
      <c r="LLF1" t="s">
        <v>10324</v>
      </c>
      <c r="LLG1" t="s">
        <v>10325</v>
      </c>
      <c r="LLH1" t="s">
        <v>10326</v>
      </c>
      <c r="LLI1" t="s">
        <v>10327</v>
      </c>
      <c r="LLJ1" t="s">
        <v>10328</v>
      </c>
      <c r="LLK1" t="s">
        <v>10329</v>
      </c>
      <c r="LLL1" t="s">
        <v>10330</v>
      </c>
      <c r="LLM1" t="s">
        <v>10331</v>
      </c>
      <c r="LLN1" t="s">
        <v>10332</v>
      </c>
      <c r="LLO1" t="s">
        <v>10333</v>
      </c>
      <c r="LLP1" t="s">
        <v>10334</v>
      </c>
      <c r="LLQ1" t="s">
        <v>10335</v>
      </c>
      <c r="LLR1" t="s">
        <v>10336</v>
      </c>
      <c r="LLS1" t="s">
        <v>10337</v>
      </c>
      <c r="LLT1" t="s">
        <v>10338</v>
      </c>
      <c r="LLU1" t="s">
        <v>10339</v>
      </c>
      <c r="LLV1" t="s">
        <v>10340</v>
      </c>
      <c r="LLW1" t="s">
        <v>10341</v>
      </c>
      <c r="LLX1" t="s">
        <v>10342</v>
      </c>
      <c r="LLY1" t="s">
        <v>10343</v>
      </c>
      <c r="LLZ1" t="s">
        <v>10344</v>
      </c>
      <c r="LMA1" t="s">
        <v>10345</v>
      </c>
      <c r="LMB1" t="s">
        <v>10346</v>
      </c>
      <c r="LMC1" t="s">
        <v>10347</v>
      </c>
      <c r="LMD1" t="s">
        <v>10348</v>
      </c>
      <c r="LME1" t="s">
        <v>10349</v>
      </c>
      <c r="LMF1" t="s">
        <v>10350</v>
      </c>
      <c r="LMG1" t="s">
        <v>10351</v>
      </c>
      <c r="LMH1" t="s">
        <v>10352</v>
      </c>
      <c r="LMI1" t="s">
        <v>10353</v>
      </c>
      <c r="LMJ1" t="s">
        <v>10354</v>
      </c>
      <c r="LMK1" t="s">
        <v>10355</v>
      </c>
      <c r="LML1" t="s">
        <v>10356</v>
      </c>
      <c r="LMM1" t="s">
        <v>10357</v>
      </c>
      <c r="LMN1" t="s">
        <v>10358</v>
      </c>
      <c r="LMO1" t="s">
        <v>10359</v>
      </c>
      <c r="LMP1" t="s">
        <v>10360</v>
      </c>
      <c r="LMQ1" t="s">
        <v>10361</v>
      </c>
      <c r="LMR1" t="s">
        <v>10362</v>
      </c>
      <c r="LMS1" t="s">
        <v>10363</v>
      </c>
      <c r="LMT1" t="s">
        <v>10364</v>
      </c>
      <c r="LMU1" t="s">
        <v>10365</v>
      </c>
      <c r="LMV1" t="s">
        <v>10366</v>
      </c>
      <c r="LMW1" t="s">
        <v>10367</v>
      </c>
      <c r="LMX1" t="s">
        <v>10368</v>
      </c>
      <c r="LMY1" t="s">
        <v>10369</v>
      </c>
      <c r="LMZ1" t="s">
        <v>10370</v>
      </c>
      <c r="LNA1" t="s">
        <v>10371</v>
      </c>
      <c r="LNB1" t="s">
        <v>10372</v>
      </c>
      <c r="LNC1" t="s">
        <v>10373</v>
      </c>
      <c r="LND1" t="s">
        <v>10374</v>
      </c>
      <c r="LNE1" t="s">
        <v>10375</v>
      </c>
      <c r="LNF1" t="s">
        <v>10376</v>
      </c>
      <c r="LNG1" t="s">
        <v>10377</v>
      </c>
      <c r="LNH1" t="s">
        <v>10378</v>
      </c>
      <c r="LNI1" t="s">
        <v>10379</v>
      </c>
      <c r="LNJ1" t="s">
        <v>10380</v>
      </c>
      <c r="LNK1" t="s">
        <v>10381</v>
      </c>
      <c r="LNL1" t="s">
        <v>10382</v>
      </c>
      <c r="LNM1" t="s">
        <v>10383</v>
      </c>
      <c r="LNN1" t="s">
        <v>10384</v>
      </c>
      <c r="LNO1" t="s">
        <v>10385</v>
      </c>
      <c r="LNP1" t="s">
        <v>10386</v>
      </c>
      <c r="LNQ1" t="s">
        <v>10387</v>
      </c>
      <c r="LNR1" t="s">
        <v>10388</v>
      </c>
      <c r="LNS1" t="s">
        <v>10389</v>
      </c>
      <c r="LNT1" t="s">
        <v>10390</v>
      </c>
      <c r="LNU1" t="s">
        <v>10391</v>
      </c>
      <c r="LNV1" t="s">
        <v>10392</v>
      </c>
      <c r="LNW1" t="s">
        <v>10393</v>
      </c>
      <c r="LNX1" t="s">
        <v>10394</v>
      </c>
      <c r="LNY1" t="s">
        <v>10395</v>
      </c>
      <c r="LNZ1" t="s">
        <v>10396</v>
      </c>
      <c r="LOA1" t="s">
        <v>10397</v>
      </c>
      <c r="LOB1" t="s">
        <v>10398</v>
      </c>
      <c r="LOC1" t="s">
        <v>10399</v>
      </c>
      <c r="LOD1" t="s">
        <v>10400</v>
      </c>
      <c r="LOE1" t="s">
        <v>10401</v>
      </c>
      <c r="LOF1" t="s">
        <v>10402</v>
      </c>
      <c r="LOG1" t="s">
        <v>10403</v>
      </c>
      <c r="LOH1" t="s">
        <v>10404</v>
      </c>
      <c r="LOI1" t="s">
        <v>10405</v>
      </c>
      <c r="LOJ1" t="s">
        <v>10406</v>
      </c>
      <c r="LOK1" t="s">
        <v>10407</v>
      </c>
      <c r="LOL1" t="s">
        <v>10408</v>
      </c>
      <c r="LOM1" t="s">
        <v>10409</v>
      </c>
      <c r="LON1" t="s">
        <v>10410</v>
      </c>
      <c r="LOO1" t="s">
        <v>10411</v>
      </c>
      <c r="LOP1" t="s">
        <v>10412</v>
      </c>
      <c r="LOQ1" t="s">
        <v>10413</v>
      </c>
      <c r="LOR1" t="s">
        <v>10414</v>
      </c>
      <c r="LOS1" t="s">
        <v>10415</v>
      </c>
      <c r="LOT1" t="s">
        <v>10416</v>
      </c>
      <c r="LOU1" t="s">
        <v>10417</v>
      </c>
      <c r="LOV1" t="s">
        <v>10418</v>
      </c>
      <c r="LOW1" t="s">
        <v>10419</v>
      </c>
      <c r="LOX1" t="s">
        <v>10420</v>
      </c>
      <c r="LOY1" t="s">
        <v>10421</v>
      </c>
      <c r="LOZ1" t="s">
        <v>10422</v>
      </c>
      <c r="LPA1" t="s">
        <v>10423</v>
      </c>
      <c r="LPB1" t="s">
        <v>10424</v>
      </c>
      <c r="LPC1" t="s">
        <v>10425</v>
      </c>
      <c r="LPD1" t="s">
        <v>10426</v>
      </c>
      <c r="LPE1" t="s">
        <v>10427</v>
      </c>
      <c r="LPF1" t="s">
        <v>10428</v>
      </c>
      <c r="LPG1" t="s">
        <v>10429</v>
      </c>
      <c r="LPH1" t="s">
        <v>10430</v>
      </c>
      <c r="LPI1" t="s">
        <v>10431</v>
      </c>
      <c r="LPJ1" t="s">
        <v>10432</v>
      </c>
      <c r="LPK1" t="s">
        <v>10433</v>
      </c>
      <c r="LPL1" t="s">
        <v>10434</v>
      </c>
      <c r="LPM1" t="s">
        <v>10435</v>
      </c>
      <c r="LPN1" t="s">
        <v>10436</v>
      </c>
      <c r="LPO1" t="s">
        <v>10437</v>
      </c>
      <c r="LPP1" t="s">
        <v>10438</v>
      </c>
      <c r="LPQ1" t="s">
        <v>10439</v>
      </c>
      <c r="LPR1" t="s">
        <v>10440</v>
      </c>
      <c r="LPS1" t="s">
        <v>10441</v>
      </c>
      <c r="LPT1" t="s">
        <v>10442</v>
      </c>
      <c r="LPU1" t="s">
        <v>10443</v>
      </c>
      <c r="LPV1" t="s">
        <v>10444</v>
      </c>
      <c r="LPW1" t="s">
        <v>10445</v>
      </c>
      <c r="LPX1" t="s">
        <v>10446</v>
      </c>
      <c r="LPY1" t="s">
        <v>10447</v>
      </c>
      <c r="LPZ1" t="s">
        <v>10448</v>
      </c>
      <c r="LQA1" t="s">
        <v>10449</v>
      </c>
      <c r="LQB1" t="s">
        <v>10450</v>
      </c>
      <c r="LQC1" t="s">
        <v>10451</v>
      </c>
      <c r="LQD1" t="s">
        <v>10452</v>
      </c>
      <c r="LQE1" t="s">
        <v>10453</v>
      </c>
      <c r="LQF1" t="s">
        <v>10454</v>
      </c>
      <c r="LQG1" t="s">
        <v>10455</v>
      </c>
      <c r="LQH1" t="s">
        <v>10456</v>
      </c>
      <c r="LQI1" t="s">
        <v>10457</v>
      </c>
      <c r="LQJ1" t="s">
        <v>10458</v>
      </c>
      <c r="LQK1" t="s">
        <v>10459</v>
      </c>
      <c r="LQL1" t="s">
        <v>10460</v>
      </c>
      <c r="LQM1" t="s">
        <v>10461</v>
      </c>
      <c r="LQN1" t="s">
        <v>10462</v>
      </c>
      <c r="LQO1" t="s">
        <v>10463</v>
      </c>
      <c r="LQP1" t="s">
        <v>10464</v>
      </c>
      <c r="LQQ1" t="s">
        <v>10465</v>
      </c>
      <c r="LQR1" t="s">
        <v>10466</v>
      </c>
      <c r="LQS1" t="s">
        <v>10467</v>
      </c>
      <c r="LQT1" t="s">
        <v>10468</v>
      </c>
      <c r="LQU1" t="s">
        <v>10469</v>
      </c>
      <c r="LQV1" t="s">
        <v>10470</v>
      </c>
      <c r="LQW1" t="s">
        <v>10471</v>
      </c>
      <c r="LQX1" t="s">
        <v>10472</v>
      </c>
      <c r="LQY1" t="s">
        <v>10473</v>
      </c>
      <c r="LQZ1" t="s">
        <v>10474</v>
      </c>
      <c r="LRA1" t="s">
        <v>10475</v>
      </c>
      <c r="LRB1" t="s">
        <v>10476</v>
      </c>
      <c r="LRC1" t="s">
        <v>10477</v>
      </c>
      <c r="LRD1" t="s">
        <v>10478</v>
      </c>
      <c r="LRE1" t="s">
        <v>10479</v>
      </c>
      <c r="LRF1" t="s">
        <v>10480</v>
      </c>
      <c r="LRG1" t="s">
        <v>10481</v>
      </c>
      <c r="LRH1" t="s">
        <v>10482</v>
      </c>
      <c r="LRI1" t="s">
        <v>10483</v>
      </c>
      <c r="LRJ1" t="s">
        <v>10484</v>
      </c>
      <c r="LRK1" t="s">
        <v>10485</v>
      </c>
      <c r="LRL1" t="s">
        <v>10486</v>
      </c>
      <c r="LRM1" t="s">
        <v>10487</v>
      </c>
      <c r="LRN1" t="s">
        <v>10488</v>
      </c>
      <c r="LRO1" t="s">
        <v>10489</v>
      </c>
      <c r="LRP1" t="s">
        <v>10490</v>
      </c>
      <c r="LRQ1" t="s">
        <v>10491</v>
      </c>
      <c r="LRR1" t="s">
        <v>10492</v>
      </c>
      <c r="LRS1" t="s">
        <v>10493</v>
      </c>
      <c r="LRT1" t="s">
        <v>10494</v>
      </c>
      <c r="LRU1" t="s">
        <v>10495</v>
      </c>
      <c r="LRV1" t="s">
        <v>10496</v>
      </c>
      <c r="LRW1" t="s">
        <v>10497</v>
      </c>
      <c r="LRX1" t="s">
        <v>10498</v>
      </c>
      <c r="LRY1" t="s">
        <v>10499</v>
      </c>
      <c r="LRZ1" t="s">
        <v>10500</v>
      </c>
      <c r="LSA1" t="s">
        <v>10501</v>
      </c>
      <c r="LSB1" t="s">
        <v>10502</v>
      </c>
      <c r="LSC1" t="s">
        <v>10503</v>
      </c>
      <c r="LSD1" t="s">
        <v>10504</v>
      </c>
      <c r="LSE1" t="s">
        <v>10505</v>
      </c>
      <c r="LSF1" t="s">
        <v>10506</v>
      </c>
      <c r="LSG1" t="s">
        <v>10507</v>
      </c>
      <c r="LSH1" t="s">
        <v>10508</v>
      </c>
      <c r="LSI1" t="s">
        <v>10509</v>
      </c>
      <c r="LSJ1" t="s">
        <v>10510</v>
      </c>
      <c r="LSK1" t="s">
        <v>10511</v>
      </c>
      <c r="LSL1" t="s">
        <v>10512</v>
      </c>
      <c r="LSM1" t="s">
        <v>10513</v>
      </c>
      <c r="LSN1" t="s">
        <v>10514</v>
      </c>
      <c r="LSO1" t="s">
        <v>10515</v>
      </c>
      <c r="LSP1" t="s">
        <v>10516</v>
      </c>
      <c r="LSQ1" t="s">
        <v>10517</v>
      </c>
      <c r="LSR1" t="s">
        <v>10518</v>
      </c>
      <c r="LSS1" t="s">
        <v>10519</v>
      </c>
      <c r="LST1" t="s">
        <v>10520</v>
      </c>
      <c r="LSU1" t="s">
        <v>10521</v>
      </c>
      <c r="LSV1" t="s">
        <v>10522</v>
      </c>
      <c r="LSW1" t="s">
        <v>10523</v>
      </c>
      <c r="LSX1" t="s">
        <v>10524</v>
      </c>
      <c r="LSY1" t="s">
        <v>10525</v>
      </c>
      <c r="LSZ1" t="s">
        <v>10526</v>
      </c>
      <c r="LTA1" t="s">
        <v>10527</v>
      </c>
      <c r="LTB1" t="s">
        <v>10528</v>
      </c>
      <c r="LTC1" t="s">
        <v>10529</v>
      </c>
      <c r="LTD1" t="s">
        <v>10530</v>
      </c>
      <c r="LTE1" t="s">
        <v>10531</v>
      </c>
      <c r="LTF1" t="s">
        <v>10532</v>
      </c>
      <c r="LTG1" t="s">
        <v>10533</v>
      </c>
      <c r="LTH1" t="s">
        <v>10534</v>
      </c>
      <c r="LTI1" t="s">
        <v>10535</v>
      </c>
      <c r="LTJ1" t="s">
        <v>10536</v>
      </c>
      <c r="LTK1" t="s">
        <v>10537</v>
      </c>
      <c r="LTL1" t="s">
        <v>10538</v>
      </c>
      <c r="LTM1" t="s">
        <v>10539</v>
      </c>
      <c r="LTN1" t="s">
        <v>10540</v>
      </c>
      <c r="LTO1" t="s">
        <v>10541</v>
      </c>
      <c r="LTP1" t="s">
        <v>10542</v>
      </c>
      <c r="LTQ1" t="s">
        <v>10543</v>
      </c>
      <c r="LTR1" t="s">
        <v>10544</v>
      </c>
      <c r="LTS1" t="s">
        <v>10545</v>
      </c>
      <c r="LTT1" t="s">
        <v>10546</v>
      </c>
      <c r="LTU1" t="s">
        <v>10547</v>
      </c>
      <c r="LTV1" t="s">
        <v>10548</v>
      </c>
      <c r="LTW1" t="s">
        <v>10549</v>
      </c>
      <c r="LTX1" t="s">
        <v>10550</v>
      </c>
      <c r="LTY1" t="s">
        <v>10551</v>
      </c>
      <c r="LTZ1" t="s">
        <v>10552</v>
      </c>
      <c r="LUA1" t="s">
        <v>10553</v>
      </c>
      <c r="LUB1" t="s">
        <v>10554</v>
      </c>
      <c r="LUC1" t="s">
        <v>10555</v>
      </c>
      <c r="LUD1" t="s">
        <v>10556</v>
      </c>
      <c r="LUE1" t="s">
        <v>10557</v>
      </c>
      <c r="LUF1" t="s">
        <v>10558</v>
      </c>
      <c r="LUG1" t="s">
        <v>10559</v>
      </c>
      <c r="LUH1" t="s">
        <v>10560</v>
      </c>
      <c r="LUI1" t="s">
        <v>10561</v>
      </c>
      <c r="LUJ1" t="s">
        <v>10562</v>
      </c>
      <c r="LUK1" t="s">
        <v>10563</v>
      </c>
      <c r="LUL1" t="s">
        <v>10564</v>
      </c>
      <c r="LUM1" t="s">
        <v>10565</v>
      </c>
      <c r="LUN1" t="s">
        <v>10566</v>
      </c>
      <c r="LUO1" t="s">
        <v>10567</v>
      </c>
      <c r="LUP1" t="s">
        <v>10568</v>
      </c>
      <c r="LUQ1" t="s">
        <v>10569</v>
      </c>
      <c r="LUR1" t="s">
        <v>10570</v>
      </c>
      <c r="LUS1" t="s">
        <v>10571</v>
      </c>
      <c r="LUT1" t="s">
        <v>10572</v>
      </c>
      <c r="LUU1" t="s">
        <v>10573</v>
      </c>
      <c r="LUV1" t="s">
        <v>10574</v>
      </c>
      <c r="LUW1" t="s">
        <v>10575</v>
      </c>
      <c r="LUX1" t="s">
        <v>10576</v>
      </c>
      <c r="LUY1" t="s">
        <v>10577</v>
      </c>
      <c r="LUZ1" t="s">
        <v>10578</v>
      </c>
      <c r="LVA1" t="s">
        <v>10579</v>
      </c>
      <c r="LVB1" t="s">
        <v>10580</v>
      </c>
      <c r="LVC1" t="s">
        <v>10581</v>
      </c>
      <c r="LVD1" t="s">
        <v>10582</v>
      </c>
      <c r="LVE1" t="s">
        <v>10583</v>
      </c>
      <c r="LVF1" t="s">
        <v>10584</v>
      </c>
      <c r="LVG1" t="s">
        <v>10585</v>
      </c>
      <c r="LVH1" t="s">
        <v>10586</v>
      </c>
      <c r="LVI1" t="s">
        <v>10587</v>
      </c>
      <c r="LVJ1" t="s">
        <v>10588</v>
      </c>
      <c r="LVK1" t="s">
        <v>10589</v>
      </c>
      <c r="LVL1" t="s">
        <v>10590</v>
      </c>
      <c r="LVM1" t="s">
        <v>10591</v>
      </c>
      <c r="LVN1" t="s">
        <v>10592</v>
      </c>
      <c r="LVO1" t="s">
        <v>10593</v>
      </c>
      <c r="LVP1" t="s">
        <v>10594</v>
      </c>
      <c r="LVQ1" t="s">
        <v>10595</v>
      </c>
      <c r="LVR1" t="s">
        <v>10596</v>
      </c>
      <c r="LVS1" t="s">
        <v>10597</v>
      </c>
      <c r="LVT1" t="s">
        <v>10598</v>
      </c>
      <c r="LVU1" t="s">
        <v>10599</v>
      </c>
      <c r="LVV1" t="s">
        <v>10600</v>
      </c>
      <c r="LVW1" t="s">
        <v>10601</v>
      </c>
      <c r="LVX1" t="s">
        <v>10602</v>
      </c>
      <c r="LVY1" t="s">
        <v>10603</v>
      </c>
      <c r="LVZ1" t="s">
        <v>10604</v>
      </c>
      <c r="LWA1" t="s">
        <v>10605</v>
      </c>
      <c r="LWB1" t="s">
        <v>10606</v>
      </c>
      <c r="LWC1" t="s">
        <v>10607</v>
      </c>
      <c r="LWD1" t="s">
        <v>10608</v>
      </c>
      <c r="LWE1" t="s">
        <v>10609</v>
      </c>
      <c r="LWF1" t="s">
        <v>10610</v>
      </c>
      <c r="LWG1" t="s">
        <v>10611</v>
      </c>
      <c r="LWH1" t="s">
        <v>10612</v>
      </c>
      <c r="LWI1" t="s">
        <v>10613</v>
      </c>
      <c r="LWJ1" t="s">
        <v>10614</v>
      </c>
      <c r="LWK1" t="s">
        <v>10615</v>
      </c>
      <c r="LWL1" t="s">
        <v>10616</v>
      </c>
      <c r="LWM1" t="s">
        <v>10617</v>
      </c>
      <c r="LWN1" t="s">
        <v>10618</v>
      </c>
      <c r="LWO1" t="s">
        <v>10619</v>
      </c>
      <c r="LWP1" t="s">
        <v>10620</v>
      </c>
      <c r="LWQ1" t="s">
        <v>10621</v>
      </c>
      <c r="LWR1" t="s">
        <v>10622</v>
      </c>
      <c r="LWS1" t="s">
        <v>10623</v>
      </c>
      <c r="LWT1" t="s">
        <v>10624</v>
      </c>
      <c r="LWU1" t="s">
        <v>10625</v>
      </c>
      <c r="LWV1" t="s">
        <v>10626</v>
      </c>
      <c r="LWW1" t="s">
        <v>10627</v>
      </c>
      <c r="LWX1" t="s">
        <v>10628</v>
      </c>
      <c r="LWY1" t="s">
        <v>10629</v>
      </c>
      <c r="LWZ1" t="s">
        <v>10630</v>
      </c>
      <c r="LXA1" t="s">
        <v>10631</v>
      </c>
      <c r="LXB1" t="s">
        <v>10632</v>
      </c>
      <c r="LXC1" t="s">
        <v>10633</v>
      </c>
      <c r="LXD1" t="s">
        <v>10634</v>
      </c>
      <c r="LXE1" t="s">
        <v>10635</v>
      </c>
      <c r="LXF1" t="s">
        <v>10636</v>
      </c>
      <c r="LXG1" t="s">
        <v>10637</v>
      </c>
      <c r="LXH1" t="s">
        <v>10638</v>
      </c>
      <c r="LXI1" t="s">
        <v>10639</v>
      </c>
      <c r="LXJ1" t="s">
        <v>10640</v>
      </c>
      <c r="LXK1" t="s">
        <v>10641</v>
      </c>
      <c r="LXL1" t="s">
        <v>10642</v>
      </c>
      <c r="LXM1" t="s">
        <v>10643</v>
      </c>
      <c r="LXN1" t="s">
        <v>10644</v>
      </c>
      <c r="LXO1" t="s">
        <v>10645</v>
      </c>
      <c r="LXP1" t="s">
        <v>10646</v>
      </c>
      <c r="LXQ1" t="s">
        <v>10647</v>
      </c>
      <c r="LXR1" t="s">
        <v>10648</v>
      </c>
      <c r="LXS1" t="s">
        <v>10649</v>
      </c>
      <c r="LXT1" t="s">
        <v>10650</v>
      </c>
      <c r="LXU1" t="s">
        <v>10651</v>
      </c>
      <c r="LXV1" t="s">
        <v>10652</v>
      </c>
      <c r="LXW1" t="s">
        <v>10653</v>
      </c>
      <c r="LXX1" t="s">
        <v>10654</v>
      </c>
      <c r="LXY1" t="s">
        <v>10655</v>
      </c>
      <c r="LXZ1" t="s">
        <v>10656</v>
      </c>
      <c r="LYA1" t="s">
        <v>10657</v>
      </c>
      <c r="LYB1" t="s">
        <v>10658</v>
      </c>
      <c r="LYC1" t="s">
        <v>10659</v>
      </c>
      <c r="LYD1" t="s">
        <v>10660</v>
      </c>
      <c r="LYE1" t="s">
        <v>10661</v>
      </c>
      <c r="LYF1" t="s">
        <v>10662</v>
      </c>
      <c r="LYG1" t="s">
        <v>10663</v>
      </c>
      <c r="LYH1" t="s">
        <v>10664</v>
      </c>
      <c r="LYI1" t="s">
        <v>10665</v>
      </c>
      <c r="LYJ1" t="s">
        <v>10666</v>
      </c>
      <c r="LYK1" t="s">
        <v>10667</v>
      </c>
      <c r="LYL1" t="s">
        <v>10668</v>
      </c>
      <c r="LYM1" t="s">
        <v>10669</v>
      </c>
      <c r="LYN1" t="s">
        <v>10670</v>
      </c>
      <c r="LYO1" t="s">
        <v>10671</v>
      </c>
      <c r="LYP1" t="s">
        <v>10672</v>
      </c>
      <c r="LYQ1" t="s">
        <v>10673</v>
      </c>
      <c r="LYR1" t="s">
        <v>10674</v>
      </c>
      <c r="LYS1" t="s">
        <v>10675</v>
      </c>
      <c r="LYT1" t="s">
        <v>10676</v>
      </c>
      <c r="LYU1" t="s">
        <v>10677</v>
      </c>
      <c r="LYV1" t="s">
        <v>10678</v>
      </c>
      <c r="LYW1" t="s">
        <v>10679</v>
      </c>
      <c r="LYX1" t="s">
        <v>10680</v>
      </c>
      <c r="LYY1" t="s">
        <v>10681</v>
      </c>
      <c r="LYZ1" t="s">
        <v>10682</v>
      </c>
      <c r="LZA1" t="s">
        <v>10683</v>
      </c>
      <c r="LZB1" t="s">
        <v>10684</v>
      </c>
      <c r="LZC1" t="s">
        <v>10685</v>
      </c>
      <c r="LZD1" t="s">
        <v>10686</v>
      </c>
      <c r="LZE1" t="s">
        <v>10687</v>
      </c>
      <c r="LZF1" t="s">
        <v>10688</v>
      </c>
      <c r="LZG1" t="s">
        <v>10689</v>
      </c>
      <c r="LZH1" t="s">
        <v>10690</v>
      </c>
      <c r="LZI1" t="s">
        <v>10691</v>
      </c>
      <c r="LZJ1" t="s">
        <v>10692</v>
      </c>
      <c r="LZK1" t="s">
        <v>10693</v>
      </c>
      <c r="LZL1" t="s">
        <v>10694</v>
      </c>
      <c r="LZM1" t="s">
        <v>10695</v>
      </c>
      <c r="LZN1" t="s">
        <v>10696</v>
      </c>
      <c r="LZO1" t="s">
        <v>10697</v>
      </c>
      <c r="LZP1" t="s">
        <v>10698</v>
      </c>
      <c r="LZQ1" t="s">
        <v>10699</v>
      </c>
      <c r="LZR1" t="s">
        <v>10700</v>
      </c>
      <c r="LZS1" t="s">
        <v>10701</v>
      </c>
      <c r="LZT1" t="s">
        <v>10702</v>
      </c>
      <c r="LZU1" t="s">
        <v>10703</v>
      </c>
      <c r="LZV1" t="s">
        <v>10704</v>
      </c>
      <c r="LZW1" t="s">
        <v>10705</v>
      </c>
      <c r="LZX1" t="s">
        <v>10706</v>
      </c>
      <c r="LZY1" t="s">
        <v>10707</v>
      </c>
      <c r="LZZ1" t="s">
        <v>10708</v>
      </c>
      <c r="MAA1" t="s">
        <v>10709</v>
      </c>
      <c r="MAB1" t="s">
        <v>10710</v>
      </c>
      <c r="MAC1" t="s">
        <v>10711</v>
      </c>
      <c r="MAD1" t="s">
        <v>10712</v>
      </c>
      <c r="MAE1" t="s">
        <v>10713</v>
      </c>
      <c r="MAF1" t="s">
        <v>10714</v>
      </c>
      <c r="MAG1" t="s">
        <v>10715</v>
      </c>
      <c r="MAH1" t="s">
        <v>10716</v>
      </c>
      <c r="MAI1" t="s">
        <v>10717</v>
      </c>
      <c r="MAJ1" t="s">
        <v>10718</v>
      </c>
      <c r="MAK1" t="s">
        <v>10719</v>
      </c>
      <c r="MAL1" t="s">
        <v>10720</v>
      </c>
      <c r="MAM1" t="s">
        <v>10721</v>
      </c>
      <c r="MAN1" t="s">
        <v>10722</v>
      </c>
      <c r="MAO1" t="s">
        <v>10723</v>
      </c>
      <c r="MAP1" t="s">
        <v>10724</v>
      </c>
      <c r="MAQ1" t="s">
        <v>10725</v>
      </c>
      <c r="MAR1" t="s">
        <v>10726</v>
      </c>
      <c r="MAS1" t="s">
        <v>10727</v>
      </c>
      <c r="MAT1" t="s">
        <v>10728</v>
      </c>
      <c r="MAU1" t="s">
        <v>10729</v>
      </c>
      <c r="MAV1" t="s">
        <v>10730</v>
      </c>
      <c r="MAW1" t="s">
        <v>10731</v>
      </c>
      <c r="MAX1" t="s">
        <v>10732</v>
      </c>
      <c r="MAY1" t="s">
        <v>10733</v>
      </c>
      <c r="MAZ1" t="s">
        <v>10734</v>
      </c>
      <c r="MBA1" t="s">
        <v>10735</v>
      </c>
      <c r="MBB1" t="s">
        <v>10736</v>
      </c>
      <c r="MBC1" t="s">
        <v>10737</v>
      </c>
      <c r="MBD1" t="s">
        <v>10738</v>
      </c>
      <c r="MBE1" t="s">
        <v>10739</v>
      </c>
      <c r="MBF1" t="s">
        <v>10740</v>
      </c>
      <c r="MBG1" t="s">
        <v>10741</v>
      </c>
      <c r="MBH1" t="s">
        <v>10742</v>
      </c>
      <c r="MBI1" t="s">
        <v>10743</v>
      </c>
      <c r="MBJ1" t="s">
        <v>10744</v>
      </c>
      <c r="MBK1" t="s">
        <v>10745</v>
      </c>
      <c r="MBL1" t="s">
        <v>10746</v>
      </c>
      <c r="MBM1" t="s">
        <v>10747</v>
      </c>
      <c r="MBN1" t="s">
        <v>10748</v>
      </c>
      <c r="MBO1" t="s">
        <v>10749</v>
      </c>
      <c r="MBP1" t="s">
        <v>10750</v>
      </c>
      <c r="MBQ1" t="s">
        <v>10751</v>
      </c>
      <c r="MBR1" t="s">
        <v>10752</v>
      </c>
      <c r="MBS1" t="s">
        <v>10753</v>
      </c>
      <c r="MBT1" t="s">
        <v>10754</v>
      </c>
      <c r="MBU1" t="s">
        <v>10755</v>
      </c>
      <c r="MBV1" t="s">
        <v>10756</v>
      </c>
      <c r="MBW1" t="s">
        <v>10757</v>
      </c>
      <c r="MBX1" t="s">
        <v>10758</v>
      </c>
      <c r="MBY1" t="s">
        <v>10759</v>
      </c>
      <c r="MBZ1" t="s">
        <v>10760</v>
      </c>
      <c r="MCA1" t="s">
        <v>10761</v>
      </c>
      <c r="MCB1" t="s">
        <v>10762</v>
      </c>
      <c r="MCC1" t="s">
        <v>10763</v>
      </c>
      <c r="MCD1" t="s">
        <v>10764</v>
      </c>
      <c r="MCE1" t="s">
        <v>10765</v>
      </c>
      <c r="MCF1" t="s">
        <v>10766</v>
      </c>
      <c r="MCG1" t="s">
        <v>10767</v>
      </c>
      <c r="MCH1" t="s">
        <v>10768</v>
      </c>
      <c r="MCI1" t="s">
        <v>10769</v>
      </c>
      <c r="MCJ1" t="s">
        <v>10770</v>
      </c>
      <c r="MCK1" t="s">
        <v>10771</v>
      </c>
      <c r="MCL1" t="s">
        <v>10772</v>
      </c>
      <c r="MCM1" t="s">
        <v>10773</v>
      </c>
      <c r="MCN1" t="s">
        <v>10774</v>
      </c>
      <c r="MCO1" t="s">
        <v>10775</v>
      </c>
      <c r="MCP1" t="s">
        <v>10776</v>
      </c>
      <c r="MCQ1" t="s">
        <v>10777</v>
      </c>
      <c r="MCR1" t="s">
        <v>10778</v>
      </c>
      <c r="MCS1" t="s">
        <v>10779</v>
      </c>
      <c r="MCT1" t="s">
        <v>10780</v>
      </c>
      <c r="MCU1" t="s">
        <v>10781</v>
      </c>
      <c r="MCV1" t="s">
        <v>10782</v>
      </c>
      <c r="MCW1" t="s">
        <v>10783</v>
      </c>
      <c r="MCX1" t="s">
        <v>10784</v>
      </c>
      <c r="MCY1" t="s">
        <v>10785</v>
      </c>
      <c r="MCZ1" t="s">
        <v>10786</v>
      </c>
      <c r="MDA1" t="s">
        <v>10787</v>
      </c>
      <c r="MDB1" t="s">
        <v>10788</v>
      </c>
      <c r="MDC1" t="s">
        <v>10789</v>
      </c>
      <c r="MDD1" t="s">
        <v>10790</v>
      </c>
      <c r="MDE1" t="s">
        <v>10791</v>
      </c>
      <c r="MDF1" t="s">
        <v>10792</v>
      </c>
      <c r="MDG1" t="s">
        <v>10793</v>
      </c>
      <c r="MDH1" t="s">
        <v>10794</v>
      </c>
      <c r="MDI1" t="s">
        <v>10795</v>
      </c>
      <c r="MDJ1" t="s">
        <v>10796</v>
      </c>
      <c r="MDK1" t="s">
        <v>10797</v>
      </c>
      <c r="MDL1" t="s">
        <v>10798</v>
      </c>
      <c r="MDM1" t="s">
        <v>10799</v>
      </c>
      <c r="MDN1" t="s">
        <v>10800</v>
      </c>
      <c r="MDO1" t="s">
        <v>10801</v>
      </c>
      <c r="MDP1" t="s">
        <v>10802</v>
      </c>
      <c r="MDQ1" t="s">
        <v>10803</v>
      </c>
      <c r="MDR1" t="s">
        <v>10804</v>
      </c>
      <c r="MDS1" t="s">
        <v>10805</v>
      </c>
      <c r="MDT1" t="s">
        <v>10806</v>
      </c>
      <c r="MDU1" t="s">
        <v>10807</v>
      </c>
      <c r="MDV1" t="s">
        <v>10808</v>
      </c>
      <c r="MDW1" t="s">
        <v>10809</v>
      </c>
      <c r="MDX1" t="s">
        <v>10810</v>
      </c>
      <c r="MDY1" t="s">
        <v>10811</v>
      </c>
      <c r="MDZ1" t="s">
        <v>10812</v>
      </c>
      <c r="MEA1" t="s">
        <v>10813</v>
      </c>
      <c r="MEB1" t="s">
        <v>10814</v>
      </c>
      <c r="MEC1" t="s">
        <v>10815</v>
      </c>
      <c r="MED1" t="s">
        <v>10816</v>
      </c>
      <c r="MEE1" t="s">
        <v>10817</v>
      </c>
      <c r="MEF1" t="s">
        <v>10818</v>
      </c>
      <c r="MEG1" t="s">
        <v>10819</v>
      </c>
      <c r="MEH1" t="s">
        <v>10820</v>
      </c>
      <c r="MEI1" t="s">
        <v>10821</v>
      </c>
      <c r="MEJ1" t="s">
        <v>10822</v>
      </c>
      <c r="MEK1" t="s">
        <v>10823</v>
      </c>
      <c r="MEL1" t="s">
        <v>10824</v>
      </c>
      <c r="MEM1" t="s">
        <v>10825</v>
      </c>
      <c r="MEN1" t="s">
        <v>10826</v>
      </c>
      <c r="MEO1" t="s">
        <v>10827</v>
      </c>
      <c r="MEP1" t="s">
        <v>10828</v>
      </c>
      <c r="MEQ1" t="s">
        <v>10829</v>
      </c>
      <c r="MER1" t="s">
        <v>10830</v>
      </c>
      <c r="MES1" t="s">
        <v>10831</v>
      </c>
      <c r="MET1" t="s">
        <v>10832</v>
      </c>
      <c r="MEU1" t="s">
        <v>10833</v>
      </c>
      <c r="MEV1" t="s">
        <v>10834</v>
      </c>
      <c r="MEW1" t="s">
        <v>10835</v>
      </c>
      <c r="MEX1" t="s">
        <v>10836</v>
      </c>
      <c r="MEY1" t="s">
        <v>10837</v>
      </c>
      <c r="MEZ1" t="s">
        <v>10838</v>
      </c>
      <c r="MFA1" t="s">
        <v>10839</v>
      </c>
      <c r="MFB1" t="s">
        <v>10840</v>
      </c>
      <c r="MFC1" t="s">
        <v>10841</v>
      </c>
      <c r="MFD1" t="s">
        <v>10842</v>
      </c>
      <c r="MFE1" t="s">
        <v>10843</v>
      </c>
      <c r="MFF1" t="s">
        <v>10844</v>
      </c>
      <c r="MFG1" t="s">
        <v>10845</v>
      </c>
      <c r="MFH1" t="s">
        <v>10846</v>
      </c>
      <c r="MFI1" t="s">
        <v>10847</v>
      </c>
      <c r="MFJ1" t="s">
        <v>10848</v>
      </c>
      <c r="MFK1" t="s">
        <v>10849</v>
      </c>
      <c r="MFL1" t="s">
        <v>10850</v>
      </c>
      <c r="MFM1" t="s">
        <v>10851</v>
      </c>
      <c r="MFN1" t="s">
        <v>10852</v>
      </c>
      <c r="MFO1" t="s">
        <v>10853</v>
      </c>
      <c r="MFP1" t="s">
        <v>10854</v>
      </c>
      <c r="MFQ1" t="s">
        <v>10855</v>
      </c>
      <c r="MFR1" t="s">
        <v>10856</v>
      </c>
      <c r="MFS1" t="s">
        <v>10857</v>
      </c>
      <c r="MFT1" t="s">
        <v>10858</v>
      </c>
      <c r="MFU1" t="s">
        <v>10859</v>
      </c>
      <c r="MFV1" t="s">
        <v>10860</v>
      </c>
      <c r="MFW1" t="s">
        <v>10861</v>
      </c>
      <c r="MFX1" t="s">
        <v>10862</v>
      </c>
      <c r="MFY1" t="s">
        <v>10863</v>
      </c>
      <c r="MFZ1" t="s">
        <v>10864</v>
      </c>
      <c r="MGA1" t="s">
        <v>10865</v>
      </c>
      <c r="MGB1" t="s">
        <v>10866</v>
      </c>
      <c r="MGC1" t="s">
        <v>10867</v>
      </c>
      <c r="MGD1" t="s">
        <v>10868</v>
      </c>
      <c r="MGE1" t="s">
        <v>10869</v>
      </c>
      <c r="MGF1" t="s">
        <v>10870</v>
      </c>
      <c r="MGG1" t="s">
        <v>10871</v>
      </c>
      <c r="MGH1" t="s">
        <v>10872</v>
      </c>
      <c r="MGI1" t="s">
        <v>10873</v>
      </c>
      <c r="MGJ1" t="s">
        <v>10874</v>
      </c>
      <c r="MGK1" t="s">
        <v>10875</v>
      </c>
      <c r="MGL1" t="s">
        <v>10876</v>
      </c>
      <c r="MGM1" t="s">
        <v>10877</v>
      </c>
      <c r="MGN1" t="s">
        <v>10878</v>
      </c>
      <c r="MGO1" t="s">
        <v>10879</v>
      </c>
      <c r="MGP1" t="s">
        <v>10880</v>
      </c>
      <c r="MGQ1" t="s">
        <v>10881</v>
      </c>
      <c r="MGR1" t="s">
        <v>10882</v>
      </c>
      <c r="MGS1" t="s">
        <v>10883</v>
      </c>
      <c r="MGT1" t="s">
        <v>10884</v>
      </c>
      <c r="MGU1" t="s">
        <v>10885</v>
      </c>
      <c r="MGV1" t="s">
        <v>10886</v>
      </c>
      <c r="MGW1" t="s">
        <v>10887</v>
      </c>
      <c r="MGX1" t="s">
        <v>10888</v>
      </c>
      <c r="MGY1" t="s">
        <v>10889</v>
      </c>
      <c r="MGZ1" t="s">
        <v>10890</v>
      </c>
      <c r="MHA1" t="s">
        <v>10891</v>
      </c>
      <c r="MHB1" t="s">
        <v>10892</v>
      </c>
      <c r="MHC1" t="s">
        <v>10893</v>
      </c>
      <c r="MHD1" t="s">
        <v>10894</v>
      </c>
      <c r="MHE1" t="s">
        <v>10895</v>
      </c>
      <c r="MHF1" t="s">
        <v>10896</v>
      </c>
      <c r="MHG1" t="s">
        <v>10897</v>
      </c>
      <c r="MHH1" t="s">
        <v>10898</v>
      </c>
      <c r="MHI1" t="s">
        <v>10899</v>
      </c>
      <c r="MHJ1" t="s">
        <v>10900</v>
      </c>
      <c r="MHK1" t="s">
        <v>10901</v>
      </c>
      <c r="MHL1" t="s">
        <v>10902</v>
      </c>
      <c r="MHM1" t="s">
        <v>10903</v>
      </c>
      <c r="MHN1" t="s">
        <v>10904</v>
      </c>
      <c r="MHO1" t="s">
        <v>10905</v>
      </c>
      <c r="MHP1" t="s">
        <v>10906</v>
      </c>
      <c r="MHQ1" t="s">
        <v>10907</v>
      </c>
      <c r="MHR1" t="s">
        <v>10908</v>
      </c>
      <c r="MHS1" t="s">
        <v>10909</v>
      </c>
      <c r="MHT1" t="s">
        <v>10910</v>
      </c>
      <c r="MHU1" t="s">
        <v>10911</v>
      </c>
      <c r="MHV1" t="s">
        <v>10912</v>
      </c>
      <c r="MHW1" t="s">
        <v>10913</v>
      </c>
      <c r="MHX1" t="s">
        <v>10914</v>
      </c>
      <c r="MHY1" t="s">
        <v>10915</v>
      </c>
      <c r="MHZ1" t="s">
        <v>10916</v>
      </c>
      <c r="MIA1" t="s">
        <v>10917</v>
      </c>
      <c r="MIB1" t="s">
        <v>10918</v>
      </c>
      <c r="MIC1" t="s">
        <v>10919</v>
      </c>
      <c r="MID1" t="s">
        <v>10920</v>
      </c>
      <c r="MIE1" t="s">
        <v>10921</v>
      </c>
      <c r="MIF1" t="s">
        <v>10922</v>
      </c>
      <c r="MIG1" t="s">
        <v>10923</v>
      </c>
      <c r="MIH1" t="s">
        <v>10924</v>
      </c>
      <c r="MII1" t="s">
        <v>10925</v>
      </c>
      <c r="MIJ1" t="s">
        <v>10926</v>
      </c>
      <c r="MIK1" t="s">
        <v>10927</v>
      </c>
      <c r="MIL1" t="s">
        <v>10928</v>
      </c>
      <c r="MIM1" t="s">
        <v>10929</v>
      </c>
      <c r="MIN1" t="s">
        <v>10930</v>
      </c>
      <c r="MIO1" t="s">
        <v>10931</v>
      </c>
      <c r="MIP1" t="s">
        <v>10932</v>
      </c>
      <c r="MIQ1" t="s">
        <v>10933</v>
      </c>
      <c r="MIR1" t="s">
        <v>10934</v>
      </c>
      <c r="MIS1" t="s">
        <v>10935</v>
      </c>
      <c r="MIT1" t="s">
        <v>10936</v>
      </c>
      <c r="MIU1" t="s">
        <v>10937</v>
      </c>
      <c r="MIV1" t="s">
        <v>10938</v>
      </c>
      <c r="MIW1" t="s">
        <v>10939</v>
      </c>
      <c r="MIX1" t="s">
        <v>10940</v>
      </c>
      <c r="MIY1" t="s">
        <v>10941</v>
      </c>
      <c r="MIZ1" t="s">
        <v>10942</v>
      </c>
      <c r="MJA1" t="s">
        <v>10943</v>
      </c>
      <c r="MJB1" t="s">
        <v>10944</v>
      </c>
      <c r="MJC1" t="s">
        <v>10945</v>
      </c>
      <c r="MJD1" t="s">
        <v>10946</v>
      </c>
      <c r="MJE1" t="s">
        <v>10947</v>
      </c>
      <c r="MJF1" t="s">
        <v>10948</v>
      </c>
      <c r="MJG1" t="s">
        <v>10949</v>
      </c>
      <c r="MJH1" t="s">
        <v>10950</v>
      </c>
      <c r="MJI1" t="s">
        <v>10951</v>
      </c>
      <c r="MJJ1" t="s">
        <v>10952</v>
      </c>
      <c r="MJK1" t="s">
        <v>10953</v>
      </c>
      <c r="MJL1" t="s">
        <v>10954</v>
      </c>
      <c r="MJM1" t="s">
        <v>10955</v>
      </c>
      <c r="MJN1" t="s">
        <v>10956</v>
      </c>
      <c r="MJO1" t="s">
        <v>10957</v>
      </c>
      <c r="MJP1" t="s">
        <v>10958</v>
      </c>
      <c r="MJQ1" t="s">
        <v>10959</v>
      </c>
      <c r="MJR1" t="s">
        <v>10960</v>
      </c>
      <c r="MJS1" t="s">
        <v>10961</v>
      </c>
      <c r="MJT1" t="s">
        <v>10962</v>
      </c>
      <c r="MJU1" t="s">
        <v>10963</v>
      </c>
      <c r="MJV1" t="s">
        <v>10964</v>
      </c>
      <c r="MJW1" t="s">
        <v>10965</v>
      </c>
      <c r="MJX1" t="s">
        <v>10966</v>
      </c>
      <c r="MJY1" t="s">
        <v>10967</v>
      </c>
      <c r="MJZ1" t="s">
        <v>10968</v>
      </c>
      <c r="MKA1" t="s">
        <v>10969</v>
      </c>
      <c r="MKB1" t="s">
        <v>10970</v>
      </c>
      <c r="MKC1" t="s">
        <v>10971</v>
      </c>
      <c r="MKD1" t="s">
        <v>10972</v>
      </c>
      <c r="MKE1" t="s">
        <v>10973</v>
      </c>
      <c r="MKF1" t="s">
        <v>10974</v>
      </c>
      <c r="MKG1" t="s">
        <v>10975</v>
      </c>
      <c r="MKH1" t="s">
        <v>10976</v>
      </c>
      <c r="MKI1" t="s">
        <v>10977</v>
      </c>
      <c r="MKJ1" t="s">
        <v>10978</v>
      </c>
      <c r="MKK1" t="s">
        <v>10979</v>
      </c>
      <c r="MKL1" t="s">
        <v>10980</v>
      </c>
      <c r="MKM1" t="s">
        <v>10981</v>
      </c>
      <c r="MKN1" t="s">
        <v>10982</v>
      </c>
      <c r="MKO1" t="s">
        <v>10983</v>
      </c>
      <c r="MKP1" t="s">
        <v>10984</v>
      </c>
      <c r="MKQ1" t="s">
        <v>10985</v>
      </c>
      <c r="MKR1" t="s">
        <v>10986</v>
      </c>
      <c r="MKS1" t="s">
        <v>10987</v>
      </c>
      <c r="MKT1" t="s">
        <v>10988</v>
      </c>
      <c r="MKU1" t="s">
        <v>10989</v>
      </c>
      <c r="MKV1" t="s">
        <v>10990</v>
      </c>
      <c r="MKW1" t="s">
        <v>10991</v>
      </c>
      <c r="MKX1" t="s">
        <v>10992</v>
      </c>
      <c r="MKY1" t="s">
        <v>10993</v>
      </c>
      <c r="MKZ1" t="s">
        <v>10994</v>
      </c>
      <c r="MLA1" t="s">
        <v>10995</v>
      </c>
      <c r="MLB1" t="s">
        <v>10996</v>
      </c>
      <c r="MLC1" t="s">
        <v>10997</v>
      </c>
      <c r="MLD1" t="s">
        <v>10998</v>
      </c>
      <c r="MLE1" t="s">
        <v>10999</v>
      </c>
      <c r="MLF1" t="s">
        <v>11000</v>
      </c>
      <c r="MLG1" t="s">
        <v>11001</v>
      </c>
      <c r="MLH1" t="s">
        <v>11002</v>
      </c>
      <c r="MLI1" t="s">
        <v>11003</v>
      </c>
      <c r="MLJ1" t="s">
        <v>11004</v>
      </c>
      <c r="MLK1" t="s">
        <v>11005</v>
      </c>
      <c r="MLL1" t="s">
        <v>11006</v>
      </c>
      <c r="MLM1" t="s">
        <v>11007</v>
      </c>
      <c r="MLN1" t="s">
        <v>11008</v>
      </c>
      <c r="MLO1" t="s">
        <v>11009</v>
      </c>
      <c r="MLP1" t="s">
        <v>11010</v>
      </c>
      <c r="MLQ1" t="s">
        <v>11011</v>
      </c>
      <c r="MLR1" t="s">
        <v>11012</v>
      </c>
      <c r="MLS1" t="s">
        <v>11013</v>
      </c>
      <c r="MLT1" t="s">
        <v>11014</v>
      </c>
      <c r="MLU1" t="s">
        <v>11015</v>
      </c>
      <c r="MLV1" t="s">
        <v>11016</v>
      </c>
      <c r="MLW1" t="s">
        <v>11017</v>
      </c>
      <c r="MLX1" t="s">
        <v>11018</v>
      </c>
      <c r="MLY1" t="s">
        <v>11019</v>
      </c>
      <c r="MLZ1" t="s">
        <v>11020</v>
      </c>
      <c r="MMA1" t="s">
        <v>11021</v>
      </c>
      <c r="MMB1" t="s">
        <v>11022</v>
      </c>
      <c r="MMC1" t="s">
        <v>11023</v>
      </c>
      <c r="MMD1" t="s">
        <v>11024</v>
      </c>
      <c r="MME1" t="s">
        <v>11025</v>
      </c>
      <c r="MMF1" t="s">
        <v>11026</v>
      </c>
      <c r="MMG1" t="s">
        <v>11027</v>
      </c>
      <c r="MMH1" t="s">
        <v>11028</v>
      </c>
      <c r="MMI1" t="s">
        <v>11029</v>
      </c>
      <c r="MMJ1" t="s">
        <v>11030</v>
      </c>
      <c r="MMK1" t="s">
        <v>11031</v>
      </c>
      <c r="MML1" t="s">
        <v>11032</v>
      </c>
      <c r="MMM1" t="s">
        <v>11033</v>
      </c>
      <c r="MMN1" t="s">
        <v>11034</v>
      </c>
      <c r="MMO1" t="s">
        <v>11035</v>
      </c>
      <c r="MMP1" t="s">
        <v>11036</v>
      </c>
      <c r="MMQ1" t="s">
        <v>11037</v>
      </c>
      <c r="MMR1" t="s">
        <v>11038</v>
      </c>
      <c r="MMS1" t="s">
        <v>11039</v>
      </c>
      <c r="MMT1" t="s">
        <v>11040</v>
      </c>
      <c r="MMU1" t="s">
        <v>11041</v>
      </c>
      <c r="MMV1" t="s">
        <v>11042</v>
      </c>
      <c r="MMW1" t="s">
        <v>11043</v>
      </c>
      <c r="MMX1" t="s">
        <v>11044</v>
      </c>
      <c r="MMY1" t="s">
        <v>11045</v>
      </c>
      <c r="MMZ1" t="s">
        <v>11046</v>
      </c>
      <c r="MNA1" t="s">
        <v>11047</v>
      </c>
      <c r="MNB1" t="s">
        <v>11048</v>
      </c>
      <c r="MNC1" t="s">
        <v>11049</v>
      </c>
      <c r="MND1" t="s">
        <v>11050</v>
      </c>
      <c r="MNE1" t="s">
        <v>11051</v>
      </c>
      <c r="MNF1" t="s">
        <v>11052</v>
      </c>
      <c r="MNG1" t="s">
        <v>11053</v>
      </c>
      <c r="MNH1" t="s">
        <v>11054</v>
      </c>
      <c r="MNI1" t="s">
        <v>11055</v>
      </c>
      <c r="MNJ1" t="s">
        <v>11056</v>
      </c>
      <c r="MNK1" t="s">
        <v>11057</v>
      </c>
      <c r="MNL1" t="s">
        <v>11058</v>
      </c>
      <c r="MNM1" t="s">
        <v>11059</v>
      </c>
      <c r="MNN1" t="s">
        <v>11060</v>
      </c>
      <c r="MNO1" t="s">
        <v>11061</v>
      </c>
      <c r="MNP1" t="s">
        <v>11062</v>
      </c>
      <c r="MNQ1" t="s">
        <v>11063</v>
      </c>
      <c r="MNR1" t="s">
        <v>11064</v>
      </c>
      <c r="MNS1" t="s">
        <v>11065</v>
      </c>
      <c r="MNT1" t="s">
        <v>11066</v>
      </c>
      <c r="MNU1" t="s">
        <v>11067</v>
      </c>
      <c r="MNV1" t="s">
        <v>11068</v>
      </c>
      <c r="MNW1" t="s">
        <v>11069</v>
      </c>
      <c r="MNX1" t="s">
        <v>11070</v>
      </c>
      <c r="MNY1" t="s">
        <v>11071</v>
      </c>
      <c r="MNZ1" t="s">
        <v>11072</v>
      </c>
      <c r="MOA1" t="s">
        <v>11073</v>
      </c>
      <c r="MOB1" t="s">
        <v>11074</v>
      </c>
      <c r="MOC1" t="s">
        <v>11075</v>
      </c>
      <c r="MOD1" t="s">
        <v>11076</v>
      </c>
      <c r="MOE1" t="s">
        <v>11077</v>
      </c>
      <c r="MOF1" t="s">
        <v>11078</v>
      </c>
      <c r="MOG1" t="s">
        <v>11079</v>
      </c>
      <c r="MOH1" t="s">
        <v>11080</v>
      </c>
      <c r="MOI1" t="s">
        <v>11081</v>
      </c>
      <c r="MOJ1" t="s">
        <v>11082</v>
      </c>
      <c r="MOK1" t="s">
        <v>11083</v>
      </c>
      <c r="MOL1" t="s">
        <v>11084</v>
      </c>
      <c r="MOM1" t="s">
        <v>11085</v>
      </c>
      <c r="MON1" t="s">
        <v>11086</v>
      </c>
      <c r="MOO1" t="s">
        <v>11087</v>
      </c>
      <c r="MOP1" t="s">
        <v>11088</v>
      </c>
      <c r="MOQ1" t="s">
        <v>11089</v>
      </c>
      <c r="MOR1" t="s">
        <v>11090</v>
      </c>
      <c r="MOS1" t="s">
        <v>11091</v>
      </c>
      <c r="MOT1" t="s">
        <v>11092</v>
      </c>
      <c r="MOU1" t="s">
        <v>11093</v>
      </c>
      <c r="MOV1" t="s">
        <v>11094</v>
      </c>
      <c r="MOW1" t="s">
        <v>11095</v>
      </c>
      <c r="MOX1" t="s">
        <v>11096</v>
      </c>
      <c r="MOY1" t="s">
        <v>11097</v>
      </c>
      <c r="MOZ1" t="s">
        <v>11098</v>
      </c>
      <c r="MPA1" t="s">
        <v>11099</v>
      </c>
      <c r="MPB1" t="s">
        <v>11100</v>
      </c>
      <c r="MPC1" t="s">
        <v>11101</v>
      </c>
      <c r="MPD1" t="s">
        <v>11102</v>
      </c>
      <c r="MPE1" t="s">
        <v>11103</v>
      </c>
      <c r="MPF1" t="s">
        <v>11104</v>
      </c>
      <c r="MPG1" t="s">
        <v>11105</v>
      </c>
      <c r="MPH1" t="s">
        <v>11106</v>
      </c>
      <c r="MPI1" t="s">
        <v>11107</v>
      </c>
      <c r="MPJ1" t="s">
        <v>11108</v>
      </c>
      <c r="MPK1" t="s">
        <v>11109</v>
      </c>
      <c r="MPL1" t="s">
        <v>11110</v>
      </c>
      <c r="MPM1" t="s">
        <v>11111</v>
      </c>
      <c r="MPN1" t="s">
        <v>11112</v>
      </c>
      <c r="MPO1" t="s">
        <v>11113</v>
      </c>
      <c r="MPP1" t="s">
        <v>11114</v>
      </c>
      <c r="MPQ1" t="s">
        <v>11115</v>
      </c>
      <c r="MPR1" t="s">
        <v>11116</v>
      </c>
      <c r="MPS1" t="s">
        <v>11117</v>
      </c>
      <c r="MPT1" t="s">
        <v>11118</v>
      </c>
      <c r="MPU1" t="s">
        <v>11119</v>
      </c>
      <c r="MPV1" t="s">
        <v>11120</v>
      </c>
      <c r="MPW1" t="s">
        <v>11121</v>
      </c>
      <c r="MPX1" t="s">
        <v>11122</v>
      </c>
      <c r="MPY1" t="s">
        <v>11123</v>
      </c>
      <c r="MPZ1" t="s">
        <v>11124</v>
      </c>
      <c r="MQA1" t="s">
        <v>11125</v>
      </c>
      <c r="MQB1" t="s">
        <v>11126</v>
      </c>
      <c r="MQC1" t="s">
        <v>11127</v>
      </c>
      <c r="MQD1" t="s">
        <v>11128</v>
      </c>
      <c r="MQE1" t="s">
        <v>11129</v>
      </c>
      <c r="MQF1" t="s">
        <v>11130</v>
      </c>
      <c r="MQG1" t="s">
        <v>11131</v>
      </c>
      <c r="MQH1" t="s">
        <v>11132</v>
      </c>
      <c r="MQI1" t="s">
        <v>11133</v>
      </c>
      <c r="MQJ1" t="s">
        <v>11134</v>
      </c>
      <c r="MQK1" t="s">
        <v>11135</v>
      </c>
      <c r="MQL1" t="s">
        <v>11136</v>
      </c>
      <c r="MQM1" t="s">
        <v>11137</v>
      </c>
      <c r="MQN1" t="s">
        <v>11138</v>
      </c>
      <c r="MQO1" t="s">
        <v>11139</v>
      </c>
      <c r="MQP1" t="s">
        <v>11140</v>
      </c>
      <c r="MQQ1" t="s">
        <v>11141</v>
      </c>
      <c r="MQR1" t="s">
        <v>11142</v>
      </c>
      <c r="MQS1" t="s">
        <v>11143</v>
      </c>
      <c r="MQT1" t="s">
        <v>11144</v>
      </c>
      <c r="MQU1" t="s">
        <v>11145</v>
      </c>
      <c r="MQV1" t="s">
        <v>11146</v>
      </c>
      <c r="MQW1" t="s">
        <v>11147</v>
      </c>
      <c r="MQX1" t="s">
        <v>11148</v>
      </c>
      <c r="MQY1" t="s">
        <v>11149</v>
      </c>
      <c r="MQZ1" t="s">
        <v>11150</v>
      </c>
      <c r="MRA1" t="s">
        <v>11151</v>
      </c>
      <c r="MRB1" t="s">
        <v>11152</v>
      </c>
      <c r="MRC1" t="s">
        <v>11153</v>
      </c>
      <c r="MRD1" t="s">
        <v>11154</v>
      </c>
      <c r="MRE1" t="s">
        <v>11155</v>
      </c>
      <c r="MRF1" t="s">
        <v>11156</v>
      </c>
      <c r="MRG1" t="s">
        <v>11157</v>
      </c>
      <c r="MRH1" t="s">
        <v>11158</v>
      </c>
      <c r="MRI1" t="s">
        <v>11159</v>
      </c>
      <c r="MRJ1" t="s">
        <v>11160</v>
      </c>
      <c r="MRK1" t="s">
        <v>11161</v>
      </c>
      <c r="MRL1" t="s">
        <v>11162</v>
      </c>
      <c r="MRM1" t="s">
        <v>11163</v>
      </c>
      <c r="MRN1" t="s">
        <v>11164</v>
      </c>
      <c r="MRO1" t="s">
        <v>11165</v>
      </c>
      <c r="MRP1" t="s">
        <v>11166</v>
      </c>
      <c r="MRQ1" t="s">
        <v>11167</v>
      </c>
      <c r="MRR1" t="s">
        <v>11168</v>
      </c>
      <c r="MRS1" t="s">
        <v>11169</v>
      </c>
      <c r="MRT1" t="s">
        <v>11170</v>
      </c>
      <c r="MRU1" t="s">
        <v>11171</v>
      </c>
      <c r="MRV1" t="s">
        <v>11172</v>
      </c>
      <c r="MRW1" t="s">
        <v>11173</v>
      </c>
      <c r="MRX1" t="s">
        <v>11174</v>
      </c>
      <c r="MRY1" t="s">
        <v>11175</v>
      </c>
      <c r="MRZ1" t="s">
        <v>11176</v>
      </c>
      <c r="MSA1" t="s">
        <v>11177</v>
      </c>
      <c r="MSB1" t="s">
        <v>11178</v>
      </c>
      <c r="MSC1" t="s">
        <v>11179</v>
      </c>
      <c r="MSD1" t="s">
        <v>11180</v>
      </c>
      <c r="MSE1" t="s">
        <v>11181</v>
      </c>
      <c r="MSF1" t="s">
        <v>11182</v>
      </c>
      <c r="MSG1" t="s">
        <v>11183</v>
      </c>
      <c r="MSH1" t="s">
        <v>11184</v>
      </c>
      <c r="MSI1" t="s">
        <v>11185</v>
      </c>
      <c r="MSJ1" t="s">
        <v>11186</v>
      </c>
      <c r="MSK1" t="s">
        <v>11187</v>
      </c>
      <c r="MSL1" t="s">
        <v>11188</v>
      </c>
      <c r="MSM1" t="s">
        <v>11189</v>
      </c>
      <c r="MSN1" t="s">
        <v>11190</v>
      </c>
      <c r="MSO1" t="s">
        <v>11191</v>
      </c>
      <c r="MSP1" t="s">
        <v>11192</v>
      </c>
      <c r="MSQ1" t="s">
        <v>11193</v>
      </c>
      <c r="MSR1" t="s">
        <v>11194</v>
      </c>
      <c r="MSS1" t="s">
        <v>11195</v>
      </c>
      <c r="MST1" t="s">
        <v>11196</v>
      </c>
      <c r="MSU1" t="s">
        <v>11197</v>
      </c>
      <c r="MSV1" t="s">
        <v>11198</v>
      </c>
      <c r="MSW1" t="s">
        <v>11199</v>
      </c>
      <c r="MSX1" t="s">
        <v>11200</v>
      </c>
      <c r="MSY1" t="s">
        <v>11201</v>
      </c>
      <c r="MSZ1" t="s">
        <v>11202</v>
      </c>
      <c r="MTA1" t="s">
        <v>11203</v>
      </c>
      <c r="MTB1" t="s">
        <v>11204</v>
      </c>
      <c r="MTC1" t="s">
        <v>11205</v>
      </c>
      <c r="MTD1" t="s">
        <v>11206</v>
      </c>
      <c r="MTE1" t="s">
        <v>11207</v>
      </c>
      <c r="MTF1" t="s">
        <v>11208</v>
      </c>
      <c r="MTG1" t="s">
        <v>11209</v>
      </c>
      <c r="MTH1" t="s">
        <v>11210</v>
      </c>
      <c r="MTI1" t="s">
        <v>11211</v>
      </c>
      <c r="MTJ1" t="s">
        <v>11212</v>
      </c>
      <c r="MTK1" t="s">
        <v>11213</v>
      </c>
      <c r="MTL1" t="s">
        <v>11214</v>
      </c>
      <c r="MTM1" t="s">
        <v>11215</v>
      </c>
      <c r="MTN1" t="s">
        <v>11216</v>
      </c>
      <c r="MTO1" t="s">
        <v>11217</v>
      </c>
      <c r="MTP1" t="s">
        <v>11218</v>
      </c>
      <c r="MTQ1" t="s">
        <v>11219</v>
      </c>
      <c r="MTR1" t="s">
        <v>11220</v>
      </c>
      <c r="MTS1" t="s">
        <v>11221</v>
      </c>
      <c r="MTT1" t="s">
        <v>11222</v>
      </c>
      <c r="MTU1" t="s">
        <v>11223</v>
      </c>
      <c r="MTV1" t="s">
        <v>11224</v>
      </c>
      <c r="MTW1" t="s">
        <v>11225</v>
      </c>
      <c r="MTX1" t="s">
        <v>11226</v>
      </c>
      <c r="MTY1" t="s">
        <v>11227</v>
      </c>
      <c r="MTZ1" t="s">
        <v>11228</v>
      </c>
      <c r="MUA1" t="s">
        <v>11229</v>
      </c>
      <c r="MUB1" t="s">
        <v>11230</v>
      </c>
      <c r="MUC1" t="s">
        <v>11231</v>
      </c>
      <c r="MUD1" t="s">
        <v>11232</v>
      </c>
      <c r="MUE1" t="s">
        <v>11233</v>
      </c>
      <c r="MUF1" t="s">
        <v>11234</v>
      </c>
      <c r="MUG1" t="s">
        <v>11235</v>
      </c>
      <c r="MUH1" t="s">
        <v>11236</v>
      </c>
      <c r="MUI1" t="s">
        <v>11237</v>
      </c>
      <c r="MUJ1" t="s">
        <v>11238</v>
      </c>
      <c r="MUK1" t="s">
        <v>11239</v>
      </c>
      <c r="MUL1" t="s">
        <v>11240</v>
      </c>
      <c r="MUM1" t="s">
        <v>11241</v>
      </c>
      <c r="MUN1" t="s">
        <v>11242</v>
      </c>
      <c r="MUO1" t="s">
        <v>11243</v>
      </c>
      <c r="MUP1" t="s">
        <v>11244</v>
      </c>
      <c r="MUQ1" t="s">
        <v>11245</v>
      </c>
      <c r="MUR1" t="s">
        <v>11246</v>
      </c>
      <c r="MUS1" t="s">
        <v>11247</v>
      </c>
      <c r="MUT1" t="s">
        <v>11248</v>
      </c>
      <c r="MUU1" t="s">
        <v>11249</v>
      </c>
      <c r="MUV1" t="s">
        <v>11250</v>
      </c>
      <c r="MUW1" t="s">
        <v>11251</v>
      </c>
      <c r="MUX1" t="s">
        <v>11252</v>
      </c>
      <c r="MUY1" t="s">
        <v>11253</v>
      </c>
      <c r="MUZ1" t="s">
        <v>11254</v>
      </c>
      <c r="MVA1" t="s">
        <v>11255</v>
      </c>
      <c r="MVB1" t="s">
        <v>11256</v>
      </c>
      <c r="MVC1" t="s">
        <v>11257</v>
      </c>
      <c r="MVD1" t="s">
        <v>11258</v>
      </c>
      <c r="MVE1" t="s">
        <v>11259</v>
      </c>
      <c r="MVF1" t="s">
        <v>11260</v>
      </c>
      <c r="MVG1" t="s">
        <v>11261</v>
      </c>
      <c r="MVH1" t="s">
        <v>11262</v>
      </c>
      <c r="MVI1" t="s">
        <v>11263</v>
      </c>
      <c r="MVJ1" t="s">
        <v>11264</v>
      </c>
      <c r="MVK1" t="s">
        <v>11265</v>
      </c>
      <c r="MVL1" t="s">
        <v>11266</v>
      </c>
      <c r="MVM1" t="s">
        <v>11267</v>
      </c>
      <c r="MVN1" t="s">
        <v>11268</v>
      </c>
      <c r="MVO1" t="s">
        <v>11269</v>
      </c>
      <c r="MVP1" t="s">
        <v>11270</v>
      </c>
      <c r="MVQ1" t="s">
        <v>11271</v>
      </c>
      <c r="MVR1" t="s">
        <v>11272</v>
      </c>
      <c r="MVS1" t="s">
        <v>11273</v>
      </c>
      <c r="MVT1" t="s">
        <v>11274</v>
      </c>
      <c r="MVU1" t="s">
        <v>11275</v>
      </c>
      <c r="MVV1" t="s">
        <v>11276</v>
      </c>
      <c r="MVW1" t="s">
        <v>11277</v>
      </c>
      <c r="MVX1" t="s">
        <v>11278</v>
      </c>
      <c r="MVY1" t="s">
        <v>11279</v>
      </c>
      <c r="MVZ1" t="s">
        <v>11280</v>
      </c>
      <c r="MWA1" t="s">
        <v>11281</v>
      </c>
      <c r="MWB1" t="s">
        <v>11282</v>
      </c>
      <c r="MWC1" t="s">
        <v>11283</v>
      </c>
      <c r="MWD1" t="s">
        <v>11284</v>
      </c>
      <c r="MWE1" t="s">
        <v>11285</v>
      </c>
      <c r="MWF1" t="s">
        <v>11286</v>
      </c>
      <c r="MWG1" t="s">
        <v>11287</v>
      </c>
      <c r="MWH1" t="s">
        <v>11288</v>
      </c>
      <c r="MWI1" t="s">
        <v>11289</v>
      </c>
      <c r="MWJ1" t="s">
        <v>11290</v>
      </c>
      <c r="MWK1" t="s">
        <v>11291</v>
      </c>
      <c r="MWL1" t="s">
        <v>11292</v>
      </c>
      <c r="MWM1" t="s">
        <v>11293</v>
      </c>
      <c r="MWN1" t="s">
        <v>11294</v>
      </c>
      <c r="MWO1" t="s">
        <v>11295</v>
      </c>
      <c r="MWP1" t="s">
        <v>11296</v>
      </c>
      <c r="MWQ1" t="s">
        <v>11297</v>
      </c>
      <c r="MWR1" t="s">
        <v>11298</v>
      </c>
      <c r="MWS1" t="s">
        <v>11299</v>
      </c>
      <c r="MWT1" t="s">
        <v>11300</v>
      </c>
      <c r="MWU1" t="s">
        <v>11301</v>
      </c>
      <c r="MWV1" t="s">
        <v>11302</v>
      </c>
      <c r="MWW1" t="s">
        <v>11303</v>
      </c>
      <c r="MWX1" t="s">
        <v>11304</v>
      </c>
      <c r="MWY1" t="s">
        <v>11305</v>
      </c>
      <c r="MWZ1" t="s">
        <v>11306</v>
      </c>
      <c r="MXA1" t="s">
        <v>11307</v>
      </c>
      <c r="MXB1" t="s">
        <v>11308</v>
      </c>
      <c r="MXC1" t="s">
        <v>11309</v>
      </c>
      <c r="MXD1" t="s">
        <v>11310</v>
      </c>
      <c r="MXE1" t="s">
        <v>11311</v>
      </c>
      <c r="MXF1" t="s">
        <v>11312</v>
      </c>
      <c r="MXG1" t="s">
        <v>11313</v>
      </c>
      <c r="MXH1" t="s">
        <v>11314</v>
      </c>
      <c r="MXI1" t="s">
        <v>11315</v>
      </c>
      <c r="MXJ1" t="s">
        <v>11316</v>
      </c>
      <c r="MXK1" t="s">
        <v>11317</v>
      </c>
      <c r="MXL1" t="s">
        <v>11318</v>
      </c>
      <c r="MXM1" t="s">
        <v>11319</v>
      </c>
      <c r="MXN1" t="s">
        <v>11320</v>
      </c>
      <c r="MXO1" t="s">
        <v>11321</v>
      </c>
      <c r="MXP1" t="s">
        <v>11322</v>
      </c>
      <c r="MXQ1" t="s">
        <v>11323</v>
      </c>
      <c r="MXR1" t="s">
        <v>11324</v>
      </c>
      <c r="MXS1" t="s">
        <v>11325</v>
      </c>
      <c r="MXT1" t="s">
        <v>11326</v>
      </c>
      <c r="MXU1" t="s">
        <v>11327</v>
      </c>
      <c r="MXV1" t="s">
        <v>11328</v>
      </c>
      <c r="MXW1" t="s">
        <v>11329</v>
      </c>
      <c r="MXX1" t="s">
        <v>11330</v>
      </c>
      <c r="MXY1" t="s">
        <v>11331</v>
      </c>
      <c r="MXZ1" t="s">
        <v>11332</v>
      </c>
      <c r="MYA1" t="s">
        <v>11333</v>
      </c>
      <c r="MYB1" t="s">
        <v>11334</v>
      </c>
      <c r="MYC1" t="s">
        <v>11335</v>
      </c>
      <c r="MYD1" t="s">
        <v>11336</v>
      </c>
      <c r="MYE1" t="s">
        <v>11337</v>
      </c>
      <c r="MYF1" t="s">
        <v>11338</v>
      </c>
      <c r="MYG1" t="s">
        <v>11339</v>
      </c>
      <c r="MYH1" t="s">
        <v>11340</v>
      </c>
      <c r="MYI1" t="s">
        <v>11341</v>
      </c>
      <c r="MYJ1" t="s">
        <v>11342</v>
      </c>
      <c r="MYK1" t="s">
        <v>11343</v>
      </c>
      <c r="MYL1" t="s">
        <v>11344</v>
      </c>
      <c r="MYM1" t="s">
        <v>11345</v>
      </c>
      <c r="MYN1" t="s">
        <v>11346</v>
      </c>
      <c r="MYO1" t="s">
        <v>11347</v>
      </c>
      <c r="MYP1" t="s">
        <v>11348</v>
      </c>
      <c r="MYQ1" t="s">
        <v>11349</v>
      </c>
      <c r="MYR1" t="s">
        <v>11350</v>
      </c>
      <c r="MYS1" t="s">
        <v>11351</v>
      </c>
      <c r="MYT1" t="s">
        <v>11352</v>
      </c>
      <c r="MYU1" t="s">
        <v>11353</v>
      </c>
      <c r="MYV1" t="s">
        <v>11354</v>
      </c>
      <c r="MYW1" t="s">
        <v>11355</v>
      </c>
      <c r="MYX1" t="s">
        <v>11356</v>
      </c>
      <c r="MYY1" t="s">
        <v>11357</v>
      </c>
      <c r="MYZ1" t="s">
        <v>11358</v>
      </c>
      <c r="MZA1" t="s">
        <v>11359</v>
      </c>
      <c r="MZB1" t="s">
        <v>11360</v>
      </c>
      <c r="MZC1" t="s">
        <v>11361</v>
      </c>
      <c r="MZD1" t="s">
        <v>11362</v>
      </c>
      <c r="MZE1" t="s">
        <v>11363</v>
      </c>
      <c r="MZF1" t="s">
        <v>11364</v>
      </c>
      <c r="MZG1" t="s">
        <v>11365</v>
      </c>
      <c r="MZH1" t="s">
        <v>11366</v>
      </c>
      <c r="MZI1" t="s">
        <v>11367</v>
      </c>
      <c r="MZJ1" t="s">
        <v>11368</v>
      </c>
      <c r="MZK1" t="s">
        <v>11369</v>
      </c>
      <c r="MZL1" t="s">
        <v>11370</v>
      </c>
      <c r="MZM1" t="s">
        <v>11371</v>
      </c>
      <c r="MZN1" t="s">
        <v>11372</v>
      </c>
      <c r="MZO1" t="s">
        <v>11373</v>
      </c>
      <c r="MZP1" t="s">
        <v>11374</v>
      </c>
      <c r="MZQ1" t="s">
        <v>11375</v>
      </c>
      <c r="MZR1" t="s">
        <v>11376</v>
      </c>
      <c r="MZS1" t="s">
        <v>11377</v>
      </c>
      <c r="MZT1" t="s">
        <v>11378</v>
      </c>
      <c r="MZU1" t="s">
        <v>11379</v>
      </c>
      <c r="MZV1" t="s">
        <v>11380</v>
      </c>
      <c r="MZW1" t="s">
        <v>11381</v>
      </c>
      <c r="MZX1" t="s">
        <v>11382</v>
      </c>
      <c r="MZY1" t="s">
        <v>11383</v>
      </c>
      <c r="MZZ1" t="s">
        <v>11384</v>
      </c>
      <c r="NAA1" t="s">
        <v>11385</v>
      </c>
      <c r="NAB1" t="s">
        <v>11386</v>
      </c>
      <c r="NAC1" t="s">
        <v>11387</v>
      </c>
      <c r="NAD1" t="s">
        <v>11388</v>
      </c>
      <c r="NAE1" t="s">
        <v>11389</v>
      </c>
      <c r="NAF1" t="s">
        <v>11390</v>
      </c>
      <c r="NAG1" t="s">
        <v>11391</v>
      </c>
      <c r="NAH1" t="s">
        <v>11392</v>
      </c>
      <c r="NAI1" t="s">
        <v>11393</v>
      </c>
      <c r="NAJ1" t="s">
        <v>11394</v>
      </c>
      <c r="NAK1" t="s">
        <v>11395</v>
      </c>
      <c r="NAL1" t="s">
        <v>11396</v>
      </c>
      <c r="NAM1" t="s">
        <v>11397</v>
      </c>
      <c r="NAN1" t="s">
        <v>11398</v>
      </c>
      <c r="NAO1" t="s">
        <v>11399</v>
      </c>
      <c r="NAP1" t="s">
        <v>11400</v>
      </c>
      <c r="NAQ1" t="s">
        <v>11401</v>
      </c>
      <c r="NAR1" t="s">
        <v>11402</v>
      </c>
      <c r="NAS1" t="s">
        <v>11403</v>
      </c>
      <c r="NAT1" t="s">
        <v>11404</v>
      </c>
      <c r="NAU1" t="s">
        <v>11405</v>
      </c>
      <c r="NAV1" t="s">
        <v>11406</v>
      </c>
      <c r="NAW1" t="s">
        <v>11407</v>
      </c>
      <c r="NAX1" t="s">
        <v>11408</v>
      </c>
      <c r="NAY1" t="s">
        <v>11409</v>
      </c>
      <c r="NAZ1" t="s">
        <v>11410</v>
      </c>
      <c r="NBA1" t="s">
        <v>11411</v>
      </c>
      <c r="NBB1" t="s">
        <v>11412</v>
      </c>
      <c r="NBC1" t="s">
        <v>11413</v>
      </c>
      <c r="NBD1" t="s">
        <v>11414</v>
      </c>
      <c r="NBE1" t="s">
        <v>11415</v>
      </c>
      <c r="NBF1" t="s">
        <v>11416</v>
      </c>
      <c r="NBG1" t="s">
        <v>11417</v>
      </c>
      <c r="NBH1" t="s">
        <v>11418</v>
      </c>
      <c r="NBI1" t="s">
        <v>11419</v>
      </c>
      <c r="NBJ1" t="s">
        <v>11420</v>
      </c>
      <c r="NBK1" t="s">
        <v>11421</v>
      </c>
      <c r="NBL1" t="s">
        <v>11422</v>
      </c>
      <c r="NBM1" t="s">
        <v>11423</v>
      </c>
      <c r="NBN1" t="s">
        <v>11424</v>
      </c>
      <c r="NBO1" t="s">
        <v>11425</v>
      </c>
      <c r="NBP1" t="s">
        <v>11426</v>
      </c>
      <c r="NBQ1" t="s">
        <v>11427</v>
      </c>
      <c r="NBR1" t="s">
        <v>11428</v>
      </c>
      <c r="NBS1" t="s">
        <v>11429</v>
      </c>
      <c r="NBT1" t="s">
        <v>11430</v>
      </c>
      <c r="NBU1" t="s">
        <v>11431</v>
      </c>
      <c r="NBV1" t="s">
        <v>11432</v>
      </c>
      <c r="NBW1" t="s">
        <v>11433</v>
      </c>
      <c r="NBX1" t="s">
        <v>11434</v>
      </c>
      <c r="NBY1" t="s">
        <v>11435</v>
      </c>
      <c r="NBZ1" t="s">
        <v>11436</v>
      </c>
      <c r="NCA1" t="s">
        <v>11437</v>
      </c>
      <c r="NCB1" t="s">
        <v>11438</v>
      </c>
      <c r="NCC1" t="s">
        <v>11439</v>
      </c>
      <c r="NCD1" t="s">
        <v>11440</v>
      </c>
      <c r="NCE1" t="s">
        <v>11441</v>
      </c>
      <c r="NCF1" t="s">
        <v>11442</v>
      </c>
      <c r="NCG1" t="s">
        <v>11443</v>
      </c>
      <c r="NCH1" t="s">
        <v>11444</v>
      </c>
      <c r="NCI1" t="s">
        <v>11445</v>
      </c>
      <c r="NCJ1" t="s">
        <v>11446</v>
      </c>
      <c r="NCK1" t="s">
        <v>11447</v>
      </c>
      <c r="NCL1" t="s">
        <v>11448</v>
      </c>
      <c r="NCM1" t="s">
        <v>11449</v>
      </c>
      <c r="NCN1" t="s">
        <v>11450</v>
      </c>
      <c r="NCO1" t="s">
        <v>11451</v>
      </c>
      <c r="NCP1" t="s">
        <v>11452</v>
      </c>
      <c r="NCQ1" t="s">
        <v>11453</v>
      </c>
      <c r="NCR1" t="s">
        <v>11454</v>
      </c>
      <c r="NCS1" t="s">
        <v>11455</v>
      </c>
      <c r="NCT1" t="s">
        <v>11456</v>
      </c>
      <c r="NCU1" t="s">
        <v>11457</v>
      </c>
      <c r="NCV1" t="s">
        <v>11458</v>
      </c>
      <c r="NCW1" t="s">
        <v>11459</v>
      </c>
      <c r="NCX1" t="s">
        <v>11460</v>
      </c>
      <c r="NCY1" t="s">
        <v>11461</v>
      </c>
      <c r="NCZ1" t="s">
        <v>11462</v>
      </c>
      <c r="NDA1" t="s">
        <v>11463</v>
      </c>
      <c r="NDB1" t="s">
        <v>11464</v>
      </c>
      <c r="NDC1" t="s">
        <v>11465</v>
      </c>
      <c r="NDD1" t="s">
        <v>11466</v>
      </c>
      <c r="NDE1" t="s">
        <v>11467</v>
      </c>
      <c r="NDF1" t="s">
        <v>11468</v>
      </c>
      <c r="NDG1" t="s">
        <v>11469</v>
      </c>
      <c r="NDH1" t="s">
        <v>11470</v>
      </c>
      <c r="NDI1" t="s">
        <v>11471</v>
      </c>
      <c r="NDJ1" t="s">
        <v>11472</v>
      </c>
      <c r="NDK1" t="s">
        <v>11473</v>
      </c>
      <c r="NDL1" t="s">
        <v>11474</v>
      </c>
      <c r="NDM1" t="s">
        <v>11475</v>
      </c>
      <c r="NDN1" t="s">
        <v>11476</v>
      </c>
      <c r="NDO1" t="s">
        <v>11477</v>
      </c>
      <c r="NDP1" t="s">
        <v>11478</v>
      </c>
      <c r="NDQ1" t="s">
        <v>11479</v>
      </c>
      <c r="NDR1" t="s">
        <v>11480</v>
      </c>
      <c r="NDS1" t="s">
        <v>11481</v>
      </c>
      <c r="NDT1" t="s">
        <v>11482</v>
      </c>
      <c r="NDU1" t="s">
        <v>11483</v>
      </c>
      <c r="NDV1" t="s">
        <v>11484</v>
      </c>
      <c r="NDW1" t="s">
        <v>11485</v>
      </c>
      <c r="NDX1" t="s">
        <v>11486</v>
      </c>
      <c r="NDY1" t="s">
        <v>11487</v>
      </c>
      <c r="NDZ1" t="s">
        <v>11488</v>
      </c>
      <c r="NEA1" t="s">
        <v>11489</v>
      </c>
      <c r="NEB1" t="s">
        <v>11490</v>
      </c>
      <c r="NEC1" t="s">
        <v>11491</v>
      </c>
      <c r="NED1" t="s">
        <v>11492</v>
      </c>
      <c r="NEE1" t="s">
        <v>11493</v>
      </c>
      <c r="NEF1" t="s">
        <v>11494</v>
      </c>
      <c r="NEG1" t="s">
        <v>11495</v>
      </c>
      <c r="NEH1" t="s">
        <v>11496</v>
      </c>
      <c r="NEI1" t="s">
        <v>11497</v>
      </c>
      <c r="NEJ1" t="s">
        <v>11498</v>
      </c>
      <c r="NEK1" t="s">
        <v>11499</v>
      </c>
      <c r="NEL1" t="s">
        <v>11500</v>
      </c>
      <c r="NEM1" t="s">
        <v>11501</v>
      </c>
      <c r="NEN1" t="s">
        <v>11502</v>
      </c>
      <c r="NEO1" t="s">
        <v>11503</v>
      </c>
      <c r="NEP1" t="s">
        <v>11504</v>
      </c>
      <c r="NEQ1" t="s">
        <v>11505</v>
      </c>
      <c r="NER1" t="s">
        <v>11506</v>
      </c>
      <c r="NES1" t="s">
        <v>11507</v>
      </c>
      <c r="NET1" t="s">
        <v>11508</v>
      </c>
      <c r="NEU1" t="s">
        <v>11509</v>
      </c>
      <c r="NEV1" t="s">
        <v>11510</v>
      </c>
      <c r="NEW1" t="s">
        <v>11511</v>
      </c>
      <c r="NEX1" t="s">
        <v>11512</v>
      </c>
      <c r="NEY1" t="s">
        <v>11513</v>
      </c>
      <c r="NEZ1" t="s">
        <v>11514</v>
      </c>
      <c r="NFA1" t="s">
        <v>11515</v>
      </c>
      <c r="NFB1" t="s">
        <v>11516</v>
      </c>
      <c r="NFC1" t="s">
        <v>11517</v>
      </c>
      <c r="NFD1" t="s">
        <v>11518</v>
      </c>
      <c r="NFE1" t="s">
        <v>11519</v>
      </c>
      <c r="NFF1" t="s">
        <v>11520</v>
      </c>
      <c r="NFG1" t="s">
        <v>11521</v>
      </c>
      <c r="NFH1" t="s">
        <v>11522</v>
      </c>
      <c r="NFI1" t="s">
        <v>11523</v>
      </c>
      <c r="NFJ1" t="s">
        <v>11524</v>
      </c>
      <c r="NFK1" t="s">
        <v>11525</v>
      </c>
      <c r="NFL1" t="s">
        <v>11526</v>
      </c>
      <c r="NFM1" t="s">
        <v>11527</v>
      </c>
      <c r="NFN1" t="s">
        <v>11528</v>
      </c>
      <c r="NFO1" t="s">
        <v>11529</v>
      </c>
      <c r="NFP1" t="s">
        <v>11530</v>
      </c>
      <c r="NFQ1" t="s">
        <v>11531</v>
      </c>
      <c r="NFR1" t="s">
        <v>11532</v>
      </c>
      <c r="NFS1" t="s">
        <v>11533</v>
      </c>
      <c r="NFT1" t="s">
        <v>11534</v>
      </c>
      <c r="NFU1" t="s">
        <v>11535</v>
      </c>
      <c r="NFV1" t="s">
        <v>11536</v>
      </c>
      <c r="NFW1" t="s">
        <v>11537</v>
      </c>
      <c r="NFX1" t="s">
        <v>11538</v>
      </c>
      <c r="NFY1" t="s">
        <v>11539</v>
      </c>
      <c r="NFZ1" t="s">
        <v>11540</v>
      </c>
      <c r="NGA1" t="s">
        <v>11541</v>
      </c>
      <c r="NGB1" t="s">
        <v>11542</v>
      </c>
      <c r="NGC1" t="s">
        <v>11543</v>
      </c>
      <c r="NGD1" t="s">
        <v>11544</v>
      </c>
      <c r="NGE1" t="s">
        <v>11545</v>
      </c>
      <c r="NGF1" t="s">
        <v>11546</v>
      </c>
      <c r="NGG1" t="s">
        <v>11547</v>
      </c>
      <c r="NGH1" t="s">
        <v>11548</v>
      </c>
      <c r="NGI1" t="s">
        <v>11549</v>
      </c>
      <c r="NGJ1" t="s">
        <v>11550</v>
      </c>
      <c r="NGK1" t="s">
        <v>11551</v>
      </c>
      <c r="NGL1" t="s">
        <v>11552</v>
      </c>
      <c r="NGM1" t="s">
        <v>11553</v>
      </c>
      <c r="NGN1" t="s">
        <v>11554</v>
      </c>
      <c r="NGO1" t="s">
        <v>11555</v>
      </c>
      <c r="NGP1" t="s">
        <v>11556</v>
      </c>
      <c r="NGQ1" t="s">
        <v>11557</v>
      </c>
      <c r="NGR1" t="s">
        <v>11558</v>
      </c>
      <c r="NGS1" t="s">
        <v>11559</v>
      </c>
      <c r="NGT1" t="s">
        <v>11560</v>
      </c>
      <c r="NGU1" t="s">
        <v>11561</v>
      </c>
      <c r="NGV1" t="s">
        <v>11562</v>
      </c>
      <c r="NGW1" t="s">
        <v>11563</v>
      </c>
      <c r="NGX1" t="s">
        <v>11564</v>
      </c>
      <c r="NGY1" t="s">
        <v>11565</v>
      </c>
      <c r="NGZ1" t="s">
        <v>11566</v>
      </c>
      <c r="NHA1" t="s">
        <v>11567</v>
      </c>
      <c r="NHB1" t="s">
        <v>11568</v>
      </c>
      <c r="NHC1" t="s">
        <v>11569</v>
      </c>
      <c r="NHD1" t="s">
        <v>11570</v>
      </c>
      <c r="NHE1" t="s">
        <v>11571</v>
      </c>
      <c r="NHF1" t="s">
        <v>11572</v>
      </c>
      <c r="NHG1" t="s">
        <v>11573</v>
      </c>
      <c r="NHH1" t="s">
        <v>11574</v>
      </c>
      <c r="NHI1" t="s">
        <v>11575</v>
      </c>
      <c r="NHJ1" t="s">
        <v>11576</v>
      </c>
      <c r="NHK1" t="s">
        <v>11577</v>
      </c>
      <c r="NHL1" t="s">
        <v>11578</v>
      </c>
      <c r="NHM1" t="s">
        <v>11579</v>
      </c>
      <c r="NHN1" t="s">
        <v>11580</v>
      </c>
      <c r="NHO1" t="s">
        <v>11581</v>
      </c>
      <c r="NHP1" t="s">
        <v>11582</v>
      </c>
      <c r="NHQ1" t="s">
        <v>11583</v>
      </c>
      <c r="NHR1" t="s">
        <v>11584</v>
      </c>
      <c r="NHS1" t="s">
        <v>11585</v>
      </c>
      <c r="NHT1" t="s">
        <v>11586</v>
      </c>
      <c r="NHU1" t="s">
        <v>11587</v>
      </c>
      <c r="NHV1" t="s">
        <v>11588</v>
      </c>
      <c r="NHW1" t="s">
        <v>11589</v>
      </c>
      <c r="NHX1" t="s">
        <v>11590</v>
      </c>
      <c r="NHY1" t="s">
        <v>11591</v>
      </c>
      <c r="NHZ1" t="s">
        <v>11592</v>
      </c>
      <c r="NIA1" t="s">
        <v>11593</v>
      </c>
      <c r="NIB1" t="s">
        <v>11594</v>
      </c>
      <c r="NIC1" t="s">
        <v>11595</v>
      </c>
      <c r="NID1" t="s">
        <v>11596</v>
      </c>
      <c r="NIE1" t="s">
        <v>11597</v>
      </c>
      <c r="NIF1" t="s">
        <v>11598</v>
      </c>
      <c r="NIG1" t="s">
        <v>11599</v>
      </c>
      <c r="NIH1" t="s">
        <v>11600</v>
      </c>
      <c r="NII1" t="s">
        <v>11601</v>
      </c>
      <c r="NIJ1" t="s">
        <v>11602</v>
      </c>
      <c r="NIK1" t="s">
        <v>11603</v>
      </c>
      <c r="NIL1" t="s">
        <v>11604</v>
      </c>
      <c r="NIM1" t="s">
        <v>11605</v>
      </c>
      <c r="NIN1" t="s">
        <v>11606</v>
      </c>
      <c r="NIO1" t="s">
        <v>11607</v>
      </c>
      <c r="NIP1" t="s">
        <v>11608</v>
      </c>
      <c r="NIQ1" t="s">
        <v>11609</v>
      </c>
      <c r="NIR1" t="s">
        <v>11610</v>
      </c>
      <c r="NIS1" t="s">
        <v>11611</v>
      </c>
      <c r="NIT1" t="s">
        <v>11612</v>
      </c>
      <c r="NIU1" t="s">
        <v>11613</v>
      </c>
      <c r="NIV1" t="s">
        <v>11614</v>
      </c>
      <c r="NIW1" t="s">
        <v>11615</v>
      </c>
      <c r="NIX1" t="s">
        <v>11616</v>
      </c>
      <c r="NIY1" t="s">
        <v>11617</v>
      </c>
      <c r="NIZ1" t="s">
        <v>11618</v>
      </c>
      <c r="NJA1" t="s">
        <v>11619</v>
      </c>
      <c r="NJB1" t="s">
        <v>11620</v>
      </c>
      <c r="NJC1" t="s">
        <v>11621</v>
      </c>
      <c r="NJD1" t="s">
        <v>11622</v>
      </c>
      <c r="NJE1" t="s">
        <v>11623</v>
      </c>
      <c r="NJF1" t="s">
        <v>11624</v>
      </c>
      <c r="NJG1" t="s">
        <v>11625</v>
      </c>
      <c r="NJH1" t="s">
        <v>11626</v>
      </c>
      <c r="NJI1" t="s">
        <v>11627</v>
      </c>
      <c r="NJJ1" t="s">
        <v>11628</v>
      </c>
      <c r="NJK1" t="s">
        <v>11629</v>
      </c>
      <c r="NJL1" t="s">
        <v>11630</v>
      </c>
      <c r="NJM1" t="s">
        <v>11631</v>
      </c>
      <c r="NJN1" t="s">
        <v>11632</v>
      </c>
      <c r="NJO1" t="s">
        <v>11633</v>
      </c>
      <c r="NJP1" t="s">
        <v>11634</v>
      </c>
      <c r="NJQ1" t="s">
        <v>11635</v>
      </c>
      <c r="NJR1" t="s">
        <v>11636</v>
      </c>
      <c r="NJS1" t="s">
        <v>11637</v>
      </c>
      <c r="NJT1" t="s">
        <v>11638</v>
      </c>
      <c r="NJU1" t="s">
        <v>11639</v>
      </c>
      <c r="NJV1" t="s">
        <v>11640</v>
      </c>
      <c r="NJW1" t="s">
        <v>11641</v>
      </c>
      <c r="NJX1" t="s">
        <v>11642</v>
      </c>
      <c r="NJY1" t="s">
        <v>11643</v>
      </c>
      <c r="NJZ1" t="s">
        <v>11644</v>
      </c>
      <c r="NKA1" t="s">
        <v>11645</v>
      </c>
      <c r="NKB1" t="s">
        <v>11646</v>
      </c>
      <c r="NKC1" t="s">
        <v>11647</v>
      </c>
      <c r="NKD1" t="s">
        <v>11648</v>
      </c>
      <c r="NKE1" t="s">
        <v>11649</v>
      </c>
      <c r="NKF1" t="s">
        <v>11650</v>
      </c>
      <c r="NKG1" t="s">
        <v>11651</v>
      </c>
      <c r="NKH1" t="s">
        <v>11652</v>
      </c>
      <c r="NKI1" t="s">
        <v>11653</v>
      </c>
      <c r="NKJ1" t="s">
        <v>11654</v>
      </c>
      <c r="NKK1" t="s">
        <v>11655</v>
      </c>
      <c r="NKL1" t="s">
        <v>11656</v>
      </c>
      <c r="NKM1" t="s">
        <v>11657</v>
      </c>
      <c r="NKN1" t="s">
        <v>11658</v>
      </c>
      <c r="NKO1" t="s">
        <v>11659</v>
      </c>
      <c r="NKP1" t="s">
        <v>11660</v>
      </c>
      <c r="NKQ1" t="s">
        <v>11661</v>
      </c>
      <c r="NKR1" t="s">
        <v>11662</v>
      </c>
      <c r="NKS1" t="s">
        <v>11663</v>
      </c>
      <c r="NKT1" t="s">
        <v>11664</v>
      </c>
      <c r="NKU1" t="s">
        <v>11665</v>
      </c>
      <c r="NKV1" t="s">
        <v>11666</v>
      </c>
      <c r="NKW1" t="s">
        <v>11667</v>
      </c>
      <c r="NKX1" t="s">
        <v>11668</v>
      </c>
      <c r="NKY1" t="s">
        <v>11669</v>
      </c>
      <c r="NKZ1" t="s">
        <v>11670</v>
      </c>
      <c r="NLA1" t="s">
        <v>11671</v>
      </c>
      <c r="NLB1" t="s">
        <v>11672</v>
      </c>
      <c r="NLC1" t="s">
        <v>11673</v>
      </c>
      <c r="NLD1" t="s">
        <v>11674</v>
      </c>
      <c r="NLE1" t="s">
        <v>11675</v>
      </c>
      <c r="NLF1" t="s">
        <v>11676</v>
      </c>
      <c r="NLG1" t="s">
        <v>11677</v>
      </c>
      <c r="NLH1" t="s">
        <v>11678</v>
      </c>
      <c r="NLI1" t="s">
        <v>11679</v>
      </c>
      <c r="NLJ1" t="s">
        <v>11680</v>
      </c>
      <c r="NLK1" t="s">
        <v>11681</v>
      </c>
      <c r="NLL1" t="s">
        <v>11682</v>
      </c>
      <c r="NLM1" t="s">
        <v>11683</v>
      </c>
      <c r="NLN1" t="s">
        <v>11684</v>
      </c>
      <c r="NLO1" t="s">
        <v>11685</v>
      </c>
      <c r="NLP1" t="s">
        <v>11686</v>
      </c>
      <c r="NLQ1" t="s">
        <v>11687</v>
      </c>
      <c r="NLR1" t="s">
        <v>11688</v>
      </c>
      <c r="NLS1" t="s">
        <v>11689</v>
      </c>
      <c r="NLT1" t="s">
        <v>11690</v>
      </c>
      <c r="NLU1" t="s">
        <v>11691</v>
      </c>
      <c r="NLV1" t="s">
        <v>11692</v>
      </c>
      <c r="NLW1" t="s">
        <v>11693</v>
      </c>
      <c r="NLX1" t="s">
        <v>11694</v>
      </c>
      <c r="NLY1" t="s">
        <v>11695</v>
      </c>
      <c r="NLZ1" t="s">
        <v>11696</v>
      </c>
      <c r="NMA1" t="s">
        <v>11697</v>
      </c>
      <c r="NMB1" t="s">
        <v>11698</v>
      </c>
      <c r="NMC1" t="s">
        <v>11699</v>
      </c>
      <c r="NMD1" t="s">
        <v>11700</v>
      </c>
      <c r="NME1" t="s">
        <v>11701</v>
      </c>
      <c r="NMF1" t="s">
        <v>11702</v>
      </c>
      <c r="NMG1" t="s">
        <v>11703</v>
      </c>
      <c r="NMH1" t="s">
        <v>11704</v>
      </c>
      <c r="NMI1" t="s">
        <v>11705</v>
      </c>
      <c r="NMJ1" t="s">
        <v>11706</v>
      </c>
      <c r="NMK1" t="s">
        <v>11707</v>
      </c>
      <c r="NML1" t="s">
        <v>11708</v>
      </c>
      <c r="NMM1" t="s">
        <v>11709</v>
      </c>
      <c r="NMN1" t="s">
        <v>11710</v>
      </c>
      <c r="NMO1" t="s">
        <v>11711</v>
      </c>
      <c r="NMP1" t="s">
        <v>11712</v>
      </c>
      <c r="NMQ1" t="s">
        <v>11713</v>
      </c>
      <c r="NMR1" t="s">
        <v>11714</v>
      </c>
      <c r="NMS1" t="s">
        <v>11715</v>
      </c>
      <c r="NMT1" t="s">
        <v>11716</v>
      </c>
      <c r="NMU1" t="s">
        <v>11717</v>
      </c>
      <c r="NMV1" t="s">
        <v>11718</v>
      </c>
      <c r="NMW1" t="s">
        <v>11719</v>
      </c>
      <c r="NMX1" t="s">
        <v>11720</v>
      </c>
      <c r="NMY1" t="s">
        <v>11721</v>
      </c>
      <c r="NMZ1" t="s">
        <v>11722</v>
      </c>
      <c r="NNA1" t="s">
        <v>11723</v>
      </c>
      <c r="NNB1" t="s">
        <v>11724</v>
      </c>
      <c r="NNC1" t="s">
        <v>11725</v>
      </c>
      <c r="NND1" t="s">
        <v>11726</v>
      </c>
      <c r="NNE1" t="s">
        <v>11727</v>
      </c>
      <c r="NNF1" t="s">
        <v>11728</v>
      </c>
      <c r="NNG1" t="s">
        <v>11729</v>
      </c>
      <c r="NNH1" t="s">
        <v>11730</v>
      </c>
      <c r="NNI1" t="s">
        <v>11731</v>
      </c>
      <c r="NNJ1" t="s">
        <v>11732</v>
      </c>
      <c r="NNK1" t="s">
        <v>11733</v>
      </c>
      <c r="NNL1" t="s">
        <v>11734</v>
      </c>
      <c r="NNM1" t="s">
        <v>11735</v>
      </c>
      <c r="NNN1" t="s">
        <v>11736</v>
      </c>
      <c r="NNO1" t="s">
        <v>11737</v>
      </c>
      <c r="NNP1" t="s">
        <v>11738</v>
      </c>
      <c r="NNQ1" t="s">
        <v>11739</v>
      </c>
      <c r="NNR1" t="s">
        <v>11740</v>
      </c>
      <c r="NNS1" t="s">
        <v>11741</v>
      </c>
      <c r="NNT1" t="s">
        <v>11742</v>
      </c>
      <c r="NNU1" t="s">
        <v>11743</v>
      </c>
      <c r="NNV1" t="s">
        <v>11744</v>
      </c>
      <c r="NNW1" t="s">
        <v>11745</v>
      </c>
      <c r="NNX1" t="s">
        <v>11746</v>
      </c>
      <c r="NNY1" t="s">
        <v>11747</v>
      </c>
      <c r="NNZ1" t="s">
        <v>11748</v>
      </c>
      <c r="NOA1" t="s">
        <v>11749</v>
      </c>
      <c r="NOB1" t="s">
        <v>11750</v>
      </c>
      <c r="NOC1" t="s">
        <v>11751</v>
      </c>
      <c r="NOD1" t="s">
        <v>11752</v>
      </c>
      <c r="NOE1" t="s">
        <v>11753</v>
      </c>
      <c r="NOF1" t="s">
        <v>11754</v>
      </c>
      <c r="NOG1" t="s">
        <v>11755</v>
      </c>
      <c r="NOH1" t="s">
        <v>11756</v>
      </c>
      <c r="NOI1" t="s">
        <v>11757</v>
      </c>
      <c r="NOJ1" t="s">
        <v>11758</v>
      </c>
      <c r="NOK1" t="s">
        <v>11759</v>
      </c>
      <c r="NOL1" t="s">
        <v>11760</v>
      </c>
      <c r="NOM1" t="s">
        <v>11761</v>
      </c>
      <c r="NON1" t="s">
        <v>11762</v>
      </c>
      <c r="NOO1" t="s">
        <v>11763</v>
      </c>
      <c r="NOP1" t="s">
        <v>11764</v>
      </c>
      <c r="NOQ1" t="s">
        <v>11765</v>
      </c>
      <c r="NOR1" t="s">
        <v>11766</v>
      </c>
      <c r="NOS1" t="s">
        <v>11767</v>
      </c>
      <c r="NOT1" t="s">
        <v>11768</v>
      </c>
      <c r="NOU1" t="s">
        <v>11769</v>
      </c>
      <c r="NOV1" t="s">
        <v>11770</v>
      </c>
      <c r="NOW1" t="s">
        <v>11771</v>
      </c>
      <c r="NOX1" t="s">
        <v>11772</v>
      </c>
      <c r="NOY1" t="s">
        <v>11773</v>
      </c>
      <c r="NOZ1" t="s">
        <v>11774</v>
      </c>
      <c r="NPA1" t="s">
        <v>11775</v>
      </c>
      <c r="NPB1" t="s">
        <v>11776</v>
      </c>
      <c r="NPC1" t="s">
        <v>11777</v>
      </c>
      <c r="NPD1" t="s">
        <v>11778</v>
      </c>
      <c r="NPE1" t="s">
        <v>11779</v>
      </c>
      <c r="NPF1" t="s">
        <v>11780</v>
      </c>
      <c r="NPG1" t="s">
        <v>11781</v>
      </c>
      <c r="NPH1" t="s">
        <v>11782</v>
      </c>
      <c r="NPI1" t="s">
        <v>11783</v>
      </c>
      <c r="NPJ1" t="s">
        <v>11784</v>
      </c>
      <c r="NPK1" t="s">
        <v>11785</v>
      </c>
      <c r="NPL1" t="s">
        <v>11786</v>
      </c>
      <c r="NPM1" t="s">
        <v>11787</v>
      </c>
      <c r="NPN1" t="s">
        <v>11788</v>
      </c>
      <c r="NPO1" t="s">
        <v>11789</v>
      </c>
      <c r="NPP1" t="s">
        <v>11790</v>
      </c>
      <c r="NPQ1" t="s">
        <v>11791</v>
      </c>
      <c r="NPR1" t="s">
        <v>11792</v>
      </c>
      <c r="NPS1" t="s">
        <v>11793</v>
      </c>
      <c r="NPT1" t="s">
        <v>11794</v>
      </c>
      <c r="NPU1" t="s">
        <v>11795</v>
      </c>
      <c r="NPV1" t="s">
        <v>11796</v>
      </c>
      <c r="NPW1" t="s">
        <v>11797</v>
      </c>
      <c r="NPX1" t="s">
        <v>11798</v>
      </c>
      <c r="NPY1" t="s">
        <v>11799</v>
      </c>
      <c r="NPZ1" t="s">
        <v>11800</v>
      </c>
      <c r="NQA1" t="s">
        <v>11801</v>
      </c>
      <c r="NQB1" t="s">
        <v>11802</v>
      </c>
      <c r="NQC1" t="s">
        <v>11803</v>
      </c>
      <c r="NQD1" t="s">
        <v>11804</v>
      </c>
      <c r="NQE1" t="s">
        <v>11805</v>
      </c>
      <c r="NQF1" t="s">
        <v>11806</v>
      </c>
      <c r="NQG1" t="s">
        <v>11807</v>
      </c>
      <c r="NQH1" t="s">
        <v>11808</v>
      </c>
      <c r="NQI1" t="s">
        <v>11809</v>
      </c>
      <c r="NQJ1" t="s">
        <v>11810</v>
      </c>
      <c r="NQK1" t="s">
        <v>11811</v>
      </c>
      <c r="NQL1" t="s">
        <v>11812</v>
      </c>
      <c r="NQM1" t="s">
        <v>11813</v>
      </c>
      <c r="NQN1" t="s">
        <v>11814</v>
      </c>
      <c r="NQO1" t="s">
        <v>11815</v>
      </c>
      <c r="NQP1" t="s">
        <v>11816</v>
      </c>
      <c r="NQQ1" t="s">
        <v>11817</v>
      </c>
      <c r="NQR1" t="s">
        <v>11818</v>
      </c>
      <c r="NQS1" t="s">
        <v>11819</v>
      </c>
      <c r="NQT1" t="s">
        <v>11820</v>
      </c>
      <c r="NQU1" t="s">
        <v>11821</v>
      </c>
      <c r="NQV1" t="s">
        <v>11822</v>
      </c>
      <c r="NQW1" t="s">
        <v>11823</v>
      </c>
      <c r="NQX1" t="s">
        <v>11824</v>
      </c>
      <c r="NQY1" t="s">
        <v>11825</v>
      </c>
      <c r="NQZ1" t="s">
        <v>11826</v>
      </c>
      <c r="NRA1" t="s">
        <v>11827</v>
      </c>
      <c r="NRB1" t="s">
        <v>11828</v>
      </c>
      <c r="NRC1" t="s">
        <v>11829</v>
      </c>
      <c r="NRD1" t="s">
        <v>11830</v>
      </c>
      <c r="NRE1" t="s">
        <v>11831</v>
      </c>
      <c r="NRF1" t="s">
        <v>11832</v>
      </c>
      <c r="NRG1" t="s">
        <v>11833</v>
      </c>
      <c r="NRH1" t="s">
        <v>11834</v>
      </c>
      <c r="NRI1" t="s">
        <v>11835</v>
      </c>
      <c r="NRJ1" t="s">
        <v>11836</v>
      </c>
      <c r="NRK1" t="s">
        <v>11837</v>
      </c>
      <c r="NRL1" t="s">
        <v>11838</v>
      </c>
      <c r="NRM1" t="s">
        <v>11839</v>
      </c>
      <c r="NRN1" t="s">
        <v>11840</v>
      </c>
      <c r="NRO1" t="s">
        <v>11841</v>
      </c>
      <c r="NRP1" t="s">
        <v>11842</v>
      </c>
      <c r="NRQ1" t="s">
        <v>11843</v>
      </c>
      <c r="NRR1" t="s">
        <v>11844</v>
      </c>
      <c r="NRS1" t="s">
        <v>11845</v>
      </c>
      <c r="NRT1" t="s">
        <v>11846</v>
      </c>
      <c r="NRU1" t="s">
        <v>11847</v>
      </c>
      <c r="NRV1" t="s">
        <v>11848</v>
      </c>
      <c r="NRW1" t="s">
        <v>11849</v>
      </c>
      <c r="NRX1" t="s">
        <v>11850</v>
      </c>
      <c r="NRY1" t="s">
        <v>11851</v>
      </c>
      <c r="NRZ1" t="s">
        <v>11852</v>
      </c>
      <c r="NSA1" t="s">
        <v>11853</v>
      </c>
      <c r="NSB1" t="s">
        <v>11854</v>
      </c>
      <c r="NSC1" t="s">
        <v>11855</v>
      </c>
      <c r="NSD1" t="s">
        <v>11856</v>
      </c>
      <c r="NSE1" t="s">
        <v>11857</v>
      </c>
      <c r="NSF1" t="s">
        <v>11858</v>
      </c>
      <c r="NSG1" t="s">
        <v>11859</v>
      </c>
      <c r="NSH1" t="s">
        <v>11860</v>
      </c>
      <c r="NSI1" t="s">
        <v>11861</v>
      </c>
      <c r="NSJ1" t="s">
        <v>11862</v>
      </c>
      <c r="NSK1" t="s">
        <v>11863</v>
      </c>
      <c r="NSL1" t="s">
        <v>11864</v>
      </c>
      <c r="NSM1" t="s">
        <v>11865</v>
      </c>
      <c r="NSN1" t="s">
        <v>11866</v>
      </c>
      <c r="NSO1" t="s">
        <v>11867</v>
      </c>
      <c r="NSP1" t="s">
        <v>11868</v>
      </c>
      <c r="NSQ1" t="s">
        <v>11869</v>
      </c>
      <c r="NSR1" t="s">
        <v>11870</v>
      </c>
      <c r="NSS1" t="s">
        <v>11871</v>
      </c>
      <c r="NST1" t="s">
        <v>11872</v>
      </c>
      <c r="NSU1" t="s">
        <v>11873</v>
      </c>
      <c r="NSV1" t="s">
        <v>11874</v>
      </c>
      <c r="NSW1" t="s">
        <v>11875</v>
      </c>
      <c r="NSX1" t="s">
        <v>11876</v>
      </c>
      <c r="NSY1" t="s">
        <v>11877</v>
      </c>
      <c r="NSZ1" t="s">
        <v>11878</v>
      </c>
      <c r="NTA1" t="s">
        <v>11879</v>
      </c>
      <c r="NTB1" t="s">
        <v>11880</v>
      </c>
      <c r="NTC1" t="s">
        <v>11881</v>
      </c>
      <c r="NTD1" t="s">
        <v>11882</v>
      </c>
      <c r="NTE1" t="s">
        <v>11883</v>
      </c>
      <c r="NTF1" t="s">
        <v>11884</v>
      </c>
      <c r="NTG1" t="s">
        <v>11885</v>
      </c>
      <c r="NTH1" t="s">
        <v>11886</v>
      </c>
      <c r="NTI1" t="s">
        <v>11887</v>
      </c>
      <c r="NTJ1" t="s">
        <v>11888</v>
      </c>
      <c r="NTK1" t="s">
        <v>11889</v>
      </c>
      <c r="NTL1" t="s">
        <v>11890</v>
      </c>
      <c r="NTM1" t="s">
        <v>11891</v>
      </c>
      <c r="NTN1" t="s">
        <v>11892</v>
      </c>
      <c r="NTO1" t="s">
        <v>11893</v>
      </c>
      <c r="NTP1" t="s">
        <v>11894</v>
      </c>
      <c r="NTQ1" t="s">
        <v>11895</v>
      </c>
      <c r="NTR1" t="s">
        <v>11896</v>
      </c>
      <c r="NTS1" t="s">
        <v>11897</v>
      </c>
      <c r="NTT1" t="s">
        <v>11898</v>
      </c>
      <c r="NTU1" t="s">
        <v>11899</v>
      </c>
      <c r="NTV1" t="s">
        <v>11900</v>
      </c>
      <c r="NTW1" t="s">
        <v>11901</v>
      </c>
      <c r="NTX1" t="s">
        <v>11902</v>
      </c>
      <c r="NTY1" t="s">
        <v>11903</v>
      </c>
      <c r="NTZ1" t="s">
        <v>11904</v>
      </c>
      <c r="NUA1" t="s">
        <v>11905</v>
      </c>
      <c r="NUB1" t="s">
        <v>11906</v>
      </c>
      <c r="NUC1" t="s">
        <v>11907</v>
      </c>
      <c r="NUD1" t="s">
        <v>11908</v>
      </c>
      <c r="NUE1" t="s">
        <v>11909</v>
      </c>
      <c r="NUF1" t="s">
        <v>11910</v>
      </c>
      <c r="NUG1" t="s">
        <v>11911</v>
      </c>
      <c r="NUH1" t="s">
        <v>11912</v>
      </c>
      <c r="NUI1" t="s">
        <v>11913</v>
      </c>
      <c r="NUJ1" t="s">
        <v>11914</v>
      </c>
      <c r="NUK1" t="s">
        <v>11915</v>
      </c>
      <c r="NUL1" t="s">
        <v>11916</v>
      </c>
      <c r="NUM1" t="s">
        <v>11917</v>
      </c>
      <c r="NUN1" t="s">
        <v>11918</v>
      </c>
      <c r="NUO1" t="s">
        <v>11919</v>
      </c>
      <c r="NUP1" t="s">
        <v>11920</v>
      </c>
      <c r="NUQ1" t="s">
        <v>11921</v>
      </c>
      <c r="NUR1" t="s">
        <v>11922</v>
      </c>
      <c r="NUS1" t="s">
        <v>11923</v>
      </c>
      <c r="NUT1" t="s">
        <v>11924</v>
      </c>
      <c r="NUU1" t="s">
        <v>11925</v>
      </c>
      <c r="NUV1" t="s">
        <v>11926</v>
      </c>
      <c r="NUW1" t="s">
        <v>11927</v>
      </c>
      <c r="NUX1" t="s">
        <v>11928</v>
      </c>
      <c r="NUY1" t="s">
        <v>11929</v>
      </c>
      <c r="NUZ1" t="s">
        <v>11930</v>
      </c>
      <c r="NVA1" t="s">
        <v>11931</v>
      </c>
      <c r="NVB1" t="s">
        <v>11932</v>
      </c>
      <c r="NVC1" t="s">
        <v>11933</v>
      </c>
      <c r="NVD1" t="s">
        <v>11934</v>
      </c>
      <c r="NVE1" t="s">
        <v>11935</v>
      </c>
      <c r="NVF1" t="s">
        <v>11936</v>
      </c>
      <c r="NVG1" t="s">
        <v>11937</v>
      </c>
      <c r="NVH1" t="s">
        <v>11938</v>
      </c>
      <c r="NVI1" t="s">
        <v>11939</v>
      </c>
      <c r="NVJ1" t="s">
        <v>11940</v>
      </c>
      <c r="NVK1" t="s">
        <v>11941</v>
      </c>
      <c r="NVL1" t="s">
        <v>11942</v>
      </c>
      <c r="NVM1" t="s">
        <v>11943</v>
      </c>
      <c r="NVN1" t="s">
        <v>11944</v>
      </c>
      <c r="NVO1" t="s">
        <v>11945</v>
      </c>
      <c r="NVP1" t="s">
        <v>11946</v>
      </c>
      <c r="NVQ1" t="s">
        <v>11947</v>
      </c>
      <c r="NVR1" t="s">
        <v>11948</v>
      </c>
      <c r="NVS1" t="s">
        <v>11949</v>
      </c>
      <c r="NVT1" t="s">
        <v>11950</v>
      </c>
      <c r="NVU1" t="s">
        <v>11951</v>
      </c>
      <c r="NVV1" t="s">
        <v>11952</v>
      </c>
      <c r="NVW1" t="s">
        <v>11953</v>
      </c>
      <c r="NVX1" t="s">
        <v>11954</v>
      </c>
      <c r="NVY1" t="s">
        <v>11955</v>
      </c>
      <c r="NVZ1" t="s">
        <v>11956</v>
      </c>
      <c r="NWA1" t="s">
        <v>11957</v>
      </c>
      <c r="NWB1" t="s">
        <v>11958</v>
      </c>
      <c r="NWC1" t="s">
        <v>11959</v>
      </c>
      <c r="NWD1" t="s">
        <v>11960</v>
      </c>
      <c r="NWE1" t="s">
        <v>11961</v>
      </c>
      <c r="NWF1" t="s">
        <v>11962</v>
      </c>
      <c r="NWG1" t="s">
        <v>11963</v>
      </c>
      <c r="NWH1" t="s">
        <v>11964</v>
      </c>
      <c r="NWI1" t="s">
        <v>11965</v>
      </c>
      <c r="NWJ1" t="s">
        <v>11966</v>
      </c>
      <c r="NWK1" t="s">
        <v>11967</v>
      </c>
      <c r="NWL1" t="s">
        <v>11968</v>
      </c>
      <c r="NWM1" t="s">
        <v>11969</v>
      </c>
      <c r="NWN1" t="s">
        <v>11970</v>
      </c>
      <c r="NWO1" t="s">
        <v>11971</v>
      </c>
      <c r="NWP1" t="s">
        <v>11972</v>
      </c>
      <c r="NWQ1" t="s">
        <v>11973</v>
      </c>
      <c r="NWR1" t="s">
        <v>11974</v>
      </c>
      <c r="NWS1" t="s">
        <v>11975</v>
      </c>
      <c r="NWT1" t="s">
        <v>11976</v>
      </c>
      <c r="NWU1" t="s">
        <v>11977</v>
      </c>
      <c r="NWV1" t="s">
        <v>11978</v>
      </c>
      <c r="NWW1" t="s">
        <v>11979</v>
      </c>
      <c r="NWX1" t="s">
        <v>11980</v>
      </c>
      <c r="NWY1" t="s">
        <v>11981</v>
      </c>
      <c r="NWZ1" t="s">
        <v>11982</v>
      </c>
      <c r="NXA1" t="s">
        <v>11983</v>
      </c>
      <c r="NXB1" t="s">
        <v>11984</v>
      </c>
      <c r="NXC1" t="s">
        <v>11985</v>
      </c>
      <c r="NXD1" t="s">
        <v>11986</v>
      </c>
      <c r="NXE1" t="s">
        <v>11987</v>
      </c>
      <c r="NXF1" t="s">
        <v>11988</v>
      </c>
      <c r="NXG1" t="s">
        <v>11989</v>
      </c>
      <c r="NXH1" t="s">
        <v>11990</v>
      </c>
      <c r="NXI1" t="s">
        <v>11991</v>
      </c>
      <c r="NXJ1" t="s">
        <v>11992</v>
      </c>
      <c r="NXK1" t="s">
        <v>11993</v>
      </c>
      <c r="NXL1" t="s">
        <v>11994</v>
      </c>
      <c r="NXM1" t="s">
        <v>11995</v>
      </c>
      <c r="NXN1" t="s">
        <v>11996</v>
      </c>
      <c r="NXO1" t="s">
        <v>11997</v>
      </c>
      <c r="NXP1" t="s">
        <v>11998</v>
      </c>
      <c r="NXQ1" t="s">
        <v>11999</v>
      </c>
      <c r="NXR1" t="s">
        <v>12000</v>
      </c>
      <c r="NXS1" t="s">
        <v>12001</v>
      </c>
      <c r="NXT1" t="s">
        <v>12002</v>
      </c>
      <c r="NXU1" t="s">
        <v>12003</v>
      </c>
      <c r="NXV1" t="s">
        <v>12004</v>
      </c>
      <c r="NXW1" t="s">
        <v>12005</v>
      </c>
      <c r="NXX1" t="s">
        <v>12006</v>
      </c>
      <c r="NXY1" t="s">
        <v>12007</v>
      </c>
      <c r="NXZ1" t="s">
        <v>12008</v>
      </c>
      <c r="NYA1" t="s">
        <v>12009</v>
      </c>
      <c r="NYB1" t="s">
        <v>12010</v>
      </c>
      <c r="NYC1" t="s">
        <v>12011</v>
      </c>
      <c r="NYD1" t="s">
        <v>12012</v>
      </c>
      <c r="NYE1" t="s">
        <v>12013</v>
      </c>
      <c r="NYF1" t="s">
        <v>12014</v>
      </c>
      <c r="NYG1" t="s">
        <v>12015</v>
      </c>
      <c r="NYH1" t="s">
        <v>12016</v>
      </c>
      <c r="NYI1" t="s">
        <v>12017</v>
      </c>
      <c r="NYJ1" t="s">
        <v>12018</v>
      </c>
      <c r="NYK1" t="s">
        <v>12019</v>
      </c>
      <c r="NYL1" t="s">
        <v>12020</v>
      </c>
      <c r="NYM1" t="s">
        <v>12021</v>
      </c>
      <c r="NYN1" t="s">
        <v>12022</v>
      </c>
      <c r="NYO1" t="s">
        <v>12023</v>
      </c>
      <c r="NYP1" t="s">
        <v>12024</v>
      </c>
      <c r="NYQ1" t="s">
        <v>12025</v>
      </c>
      <c r="NYR1" t="s">
        <v>12026</v>
      </c>
      <c r="NYS1" t="s">
        <v>12027</v>
      </c>
      <c r="NYT1" t="s">
        <v>12028</v>
      </c>
      <c r="NYU1" t="s">
        <v>12029</v>
      </c>
      <c r="NYV1" t="s">
        <v>12030</v>
      </c>
      <c r="NYW1" t="s">
        <v>12031</v>
      </c>
      <c r="NYX1" t="s">
        <v>12032</v>
      </c>
      <c r="NYY1" t="s">
        <v>12033</v>
      </c>
      <c r="NYZ1" t="s">
        <v>12034</v>
      </c>
      <c r="NZA1" t="s">
        <v>12035</v>
      </c>
      <c r="NZB1" t="s">
        <v>12036</v>
      </c>
      <c r="NZC1" t="s">
        <v>12037</v>
      </c>
      <c r="NZD1" t="s">
        <v>12038</v>
      </c>
      <c r="NZE1" t="s">
        <v>12039</v>
      </c>
      <c r="NZF1" t="s">
        <v>12040</v>
      </c>
      <c r="NZG1" t="s">
        <v>12041</v>
      </c>
      <c r="NZH1" t="s">
        <v>12042</v>
      </c>
      <c r="NZI1" t="s">
        <v>12043</v>
      </c>
      <c r="NZJ1" t="s">
        <v>12044</v>
      </c>
      <c r="NZK1" t="s">
        <v>12045</v>
      </c>
      <c r="NZL1" t="s">
        <v>12046</v>
      </c>
      <c r="NZM1" t="s">
        <v>12047</v>
      </c>
      <c r="NZN1" t="s">
        <v>12048</v>
      </c>
      <c r="NZO1" t="s">
        <v>12049</v>
      </c>
      <c r="NZP1" t="s">
        <v>12050</v>
      </c>
      <c r="NZQ1" t="s">
        <v>12051</v>
      </c>
      <c r="NZR1" t="s">
        <v>12052</v>
      </c>
      <c r="NZS1" t="s">
        <v>12053</v>
      </c>
      <c r="NZT1" t="s">
        <v>12054</v>
      </c>
      <c r="NZU1" t="s">
        <v>12055</v>
      </c>
      <c r="NZV1" t="s">
        <v>12056</v>
      </c>
      <c r="NZW1" t="s">
        <v>12057</v>
      </c>
      <c r="NZX1" t="s">
        <v>12058</v>
      </c>
      <c r="NZY1" t="s">
        <v>12059</v>
      </c>
      <c r="NZZ1" t="s">
        <v>12060</v>
      </c>
      <c r="OAA1" t="s">
        <v>12061</v>
      </c>
      <c r="OAB1" t="s">
        <v>12062</v>
      </c>
      <c r="OAC1" t="s">
        <v>12063</v>
      </c>
      <c r="OAD1" t="s">
        <v>12064</v>
      </c>
      <c r="OAE1" t="s">
        <v>12065</v>
      </c>
      <c r="OAF1" t="s">
        <v>12066</v>
      </c>
      <c r="OAG1" t="s">
        <v>12067</v>
      </c>
      <c r="OAH1" t="s">
        <v>12068</v>
      </c>
      <c r="OAI1" t="s">
        <v>12069</v>
      </c>
      <c r="OAJ1" t="s">
        <v>12070</v>
      </c>
      <c r="OAK1" t="s">
        <v>12071</v>
      </c>
      <c r="OAL1" t="s">
        <v>12072</v>
      </c>
      <c r="OAM1" t="s">
        <v>12073</v>
      </c>
      <c r="OAN1" t="s">
        <v>12074</v>
      </c>
      <c r="OAO1" t="s">
        <v>12075</v>
      </c>
      <c r="OAP1" t="s">
        <v>12076</v>
      </c>
      <c r="OAQ1" t="s">
        <v>12077</v>
      </c>
      <c r="OAR1" t="s">
        <v>12078</v>
      </c>
      <c r="OAS1" t="s">
        <v>12079</v>
      </c>
      <c r="OAT1" t="s">
        <v>12080</v>
      </c>
      <c r="OAU1" t="s">
        <v>12081</v>
      </c>
      <c r="OAV1" t="s">
        <v>12082</v>
      </c>
      <c r="OAW1" t="s">
        <v>12083</v>
      </c>
      <c r="OAX1" t="s">
        <v>12084</v>
      </c>
      <c r="OAY1" t="s">
        <v>12085</v>
      </c>
      <c r="OAZ1" t="s">
        <v>12086</v>
      </c>
      <c r="OBA1" t="s">
        <v>12087</v>
      </c>
      <c r="OBB1" t="s">
        <v>12088</v>
      </c>
      <c r="OBC1" t="s">
        <v>12089</v>
      </c>
      <c r="OBD1" t="s">
        <v>12090</v>
      </c>
      <c r="OBE1" t="s">
        <v>12091</v>
      </c>
      <c r="OBF1" t="s">
        <v>12092</v>
      </c>
      <c r="OBG1" t="s">
        <v>12093</v>
      </c>
      <c r="OBH1" t="s">
        <v>12094</v>
      </c>
      <c r="OBI1" t="s">
        <v>12095</v>
      </c>
      <c r="OBJ1" t="s">
        <v>12096</v>
      </c>
      <c r="OBK1" t="s">
        <v>12097</v>
      </c>
      <c r="OBL1" t="s">
        <v>12098</v>
      </c>
      <c r="OBM1" t="s">
        <v>12099</v>
      </c>
      <c r="OBN1" t="s">
        <v>12100</v>
      </c>
      <c r="OBO1" t="s">
        <v>12101</v>
      </c>
      <c r="OBP1" t="s">
        <v>12102</v>
      </c>
      <c r="OBQ1" t="s">
        <v>12103</v>
      </c>
      <c r="OBR1" t="s">
        <v>12104</v>
      </c>
      <c r="OBS1" t="s">
        <v>12105</v>
      </c>
      <c r="OBT1" t="s">
        <v>12106</v>
      </c>
      <c r="OBU1" t="s">
        <v>12107</v>
      </c>
      <c r="OBV1" t="s">
        <v>12108</v>
      </c>
      <c r="OBW1" t="s">
        <v>12109</v>
      </c>
      <c r="OBX1" t="s">
        <v>12110</v>
      </c>
      <c r="OBY1" t="s">
        <v>12111</v>
      </c>
      <c r="OBZ1" t="s">
        <v>12112</v>
      </c>
      <c r="OCA1" t="s">
        <v>12113</v>
      </c>
      <c r="OCB1" t="s">
        <v>12114</v>
      </c>
      <c r="OCC1" t="s">
        <v>12115</v>
      </c>
      <c r="OCD1" t="s">
        <v>12116</v>
      </c>
      <c r="OCE1" t="s">
        <v>12117</v>
      </c>
      <c r="OCF1" t="s">
        <v>12118</v>
      </c>
      <c r="OCG1" t="s">
        <v>12119</v>
      </c>
      <c r="OCH1" t="s">
        <v>12120</v>
      </c>
      <c r="OCI1" t="s">
        <v>12121</v>
      </c>
      <c r="OCJ1" t="s">
        <v>12122</v>
      </c>
      <c r="OCK1" t="s">
        <v>12123</v>
      </c>
      <c r="OCL1" t="s">
        <v>12124</v>
      </c>
      <c r="OCM1" t="s">
        <v>12125</v>
      </c>
      <c r="OCN1" t="s">
        <v>12126</v>
      </c>
      <c r="OCO1" t="s">
        <v>12127</v>
      </c>
      <c r="OCP1" t="s">
        <v>12128</v>
      </c>
      <c r="OCQ1" t="s">
        <v>12129</v>
      </c>
      <c r="OCR1" t="s">
        <v>12130</v>
      </c>
      <c r="OCS1" t="s">
        <v>12131</v>
      </c>
      <c r="OCT1" t="s">
        <v>12132</v>
      </c>
      <c r="OCU1" t="s">
        <v>12133</v>
      </c>
      <c r="OCV1" t="s">
        <v>12134</v>
      </c>
      <c r="OCW1" t="s">
        <v>12135</v>
      </c>
      <c r="OCX1" t="s">
        <v>12136</v>
      </c>
      <c r="OCY1" t="s">
        <v>12137</v>
      </c>
      <c r="OCZ1" t="s">
        <v>12138</v>
      </c>
      <c r="ODA1" t="s">
        <v>12139</v>
      </c>
      <c r="ODB1" t="s">
        <v>12140</v>
      </c>
      <c r="ODC1" t="s">
        <v>12141</v>
      </c>
      <c r="ODD1" t="s">
        <v>12142</v>
      </c>
      <c r="ODE1" t="s">
        <v>12143</v>
      </c>
      <c r="ODF1" t="s">
        <v>12144</v>
      </c>
      <c r="ODG1" t="s">
        <v>12145</v>
      </c>
      <c r="ODH1" t="s">
        <v>12146</v>
      </c>
      <c r="ODI1" t="s">
        <v>12147</v>
      </c>
      <c r="ODJ1" t="s">
        <v>12148</v>
      </c>
      <c r="ODK1" t="s">
        <v>12149</v>
      </c>
      <c r="ODL1" t="s">
        <v>12150</v>
      </c>
      <c r="ODM1" t="s">
        <v>12151</v>
      </c>
      <c r="ODN1" t="s">
        <v>12152</v>
      </c>
      <c r="ODO1" t="s">
        <v>12153</v>
      </c>
      <c r="ODP1" t="s">
        <v>12154</v>
      </c>
      <c r="ODQ1" t="s">
        <v>12155</v>
      </c>
      <c r="ODR1" t="s">
        <v>12156</v>
      </c>
      <c r="ODS1" t="s">
        <v>12157</v>
      </c>
      <c r="ODT1" t="s">
        <v>12158</v>
      </c>
      <c r="ODU1" t="s">
        <v>12159</v>
      </c>
      <c r="ODV1" t="s">
        <v>12160</v>
      </c>
      <c r="ODW1" t="s">
        <v>12161</v>
      </c>
      <c r="ODX1" t="s">
        <v>12162</v>
      </c>
      <c r="ODY1" t="s">
        <v>12163</v>
      </c>
      <c r="ODZ1" t="s">
        <v>12164</v>
      </c>
      <c r="OEA1" t="s">
        <v>12165</v>
      </c>
      <c r="OEB1" t="s">
        <v>12166</v>
      </c>
      <c r="OEC1" t="s">
        <v>12167</v>
      </c>
      <c r="OED1" t="s">
        <v>12168</v>
      </c>
      <c r="OEE1" t="s">
        <v>12169</v>
      </c>
      <c r="OEF1" t="s">
        <v>12170</v>
      </c>
      <c r="OEG1" t="s">
        <v>12171</v>
      </c>
      <c r="OEH1" t="s">
        <v>12172</v>
      </c>
      <c r="OEI1" t="s">
        <v>12173</v>
      </c>
      <c r="OEJ1" t="s">
        <v>12174</v>
      </c>
      <c r="OEK1" t="s">
        <v>12175</v>
      </c>
      <c r="OEL1" t="s">
        <v>12176</v>
      </c>
      <c r="OEM1" t="s">
        <v>12177</v>
      </c>
      <c r="OEN1" t="s">
        <v>12178</v>
      </c>
      <c r="OEO1" t="s">
        <v>12179</v>
      </c>
      <c r="OEP1" t="s">
        <v>12180</v>
      </c>
      <c r="OEQ1" t="s">
        <v>12181</v>
      </c>
      <c r="OER1" t="s">
        <v>12182</v>
      </c>
      <c r="OES1" t="s">
        <v>12183</v>
      </c>
      <c r="OET1" t="s">
        <v>12184</v>
      </c>
      <c r="OEU1" t="s">
        <v>12185</v>
      </c>
      <c r="OEV1" t="s">
        <v>12186</v>
      </c>
      <c r="OEW1" t="s">
        <v>12187</v>
      </c>
      <c r="OEX1" t="s">
        <v>12188</v>
      </c>
      <c r="OEY1" t="s">
        <v>12189</v>
      </c>
      <c r="OEZ1" t="s">
        <v>12190</v>
      </c>
      <c r="OFA1" t="s">
        <v>12191</v>
      </c>
      <c r="OFB1" t="s">
        <v>12192</v>
      </c>
      <c r="OFC1" t="s">
        <v>12193</v>
      </c>
      <c r="OFD1" t="s">
        <v>12194</v>
      </c>
      <c r="OFE1" t="s">
        <v>12195</v>
      </c>
      <c r="OFF1" t="s">
        <v>12196</v>
      </c>
      <c r="OFG1" t="s">
        <v>12197</v>
      </c>
      <c r="OFH1" t="s">
        <v>12198</v>
      </c>
      <c r="OFI1" t="s">
        <v>12199</v>
      </c>
      <c r="OFJ1" t="s">
        <v>12200</v>
      </c>
      <c r="OFK1" t="s">
        <v>12201</v>
      </c>
      <c r="OFL1" t="s">
        <v>12202</v>
      </c>
      <c r="OFM1" t="s">
        <v>12203</v>
      </c>
      <c r="OFN1" t="s">
        <v>12204</v>
      </c>
      <c r="OFO1" t="s">
        <v>12205</v>
      </c>
      <c r="OFP1" t="s">
        <v>12206</v>
      </c>
      <c r="OFQ1" t="s">
        <v>12207</v>
      </c>
      <c r="OFR1" t="s">
        <v>12208</v>
      </c>
      <c r="OFS1" t="s">
        <v>12209</v>
      </c>
      <c r="OFT1" t="s">
        <v>12210</v>
      </c>
      <c r="OFU1" t="s">
        <v>12211</v>
      </c>
      <c r="OFV1" t="s">
        <v>12212</v>
      </c>
      <c r="OFW1" t="s">
        <v>12213</v>
      </c>
      <c r="OFX1" t="s">
        <v>12214</v>
      </c>
      <c r="OFY1" t="s">
        <v>12215</v>
      </c>
      <c r="OFZ1" t="s">
        <v>12216</v>
      </c>
      <c r="OGA1" t="s">
        <v>12217</v>
      </c>
      <c r="OGB1" t="s">
        <v>12218</v>
      </c>
      <c r="OGC1" t="s">
        <v>12219</v>
      </c>
      <c r="OGD1" t="s">
        <v>12220</v>
      </c>
      <c r="OGE1" t="s">
        <v>12221</v>
      </c>
      <c r="OGF1" t="s">
        <v>12222</v>
      </c>
      <c r="OGG1" t="s">
        <v>12223</v>
      </c>
      <c r="OGH1" t="s">
        <v>12224</v>
      </c>
      <c r="OGI1" t="s">
        <v>12225</v>
      </c>
      <c r="OGJ1" t="s">
        <v>12226</v>
      </c>
      <c r="OGK1" t="s">
        <v>12227</v>
      </c>
      <c r="OGL1" t="s">
        <v>12228</v>
      </c>
      <c r="OGM1" t="s">
        <v>12229</v>
      </c>
      <c r="OGN1" t="s">
        <v>12230</v>
      </c>
      <c r="OGO1" t="s">
        <v>12231</v>
      </c>
      <c r="OGP1" t="s">
        <v>12232</v>
      </c>
      <c r="OGQ1" t="s">
        <v>12233</v>
      </c>
      <c r="OGR1" t="s">
        <v>12234</v>
      </c>
      <c r="OGS1" t="s">
        <v>12235</v>
      </c>
      <c r="OGT1" t="s">
        <v>12236</v>
      </c>
      <c r="OGU1" t="s">
        <v>12237</v>
      </c>
      <c r="OGV1" t="s">
        <v>12238</v>
      </c>
      <c r="OGW1" t="s">
        <v>12239</v>
      </c>
      <c r="OGX1" t="s">
        <v>12240</v>
      </c>
      <c r="OGY1" t="s">
        <v>12241</v>
      </c>
      <c r="OGZ1" t="s">
        <v>12242</v>
      </c>
      <c r="OHA1" t="s">
        <v>12243</v>
      </c>
      <c r="OHB1" t="s">
        <v>12244</v>
      </c>
      <c r="OHC1" t="s">
        <v>12245</v>
      </c>
      <c r="OHD1" t="s">
        <v>12246</v>
      </c>
      <c r="OHE1" t="s">
        <v>12247</v>
      </c>
      <c r="OHF1" t="s">
        <v>12248</v>
      </c>
      <c r="OHG1" t="s">
        <v>12249</v>
      </c>
      <c r="OHH1" t="s">
        <v>12250</v>
      </c>
      <c r="OHI1" t="s">
        <v>12251</v>
      </c>
      <c r="OHJ1" t="s">
        <v>12252</v>
      </c>
      <c r="OHK1" t="s">
        <v>12253</v>
      </c>
      <c r="OHL1" t="s">
        <v>12254</v>
      </c>
      <c r="OHM1" t="s">
        <v>12255</v>
      </c>
      <c r="OHN1" t="s">
        <v>12256</v>
      </c>
      <c r="OHO1" t="s">
        <v>12257</v>
      </c>
      <c r="OHP1" t="s">
        <v>12258</v>
      </c>
      <c r="OHQ1" t="s">
        <v>12259</v>
      </c>
      <c r="OHR1" t="s">
        <v>12260</v>
      </c>
      <c r="OHS1" t="s">
        <v>12261</v>
      </c>
      <c r="OHT1" t="s">
        <v>12262</v>
      </c>
      <c r="OHU1" t="s">
        <v>12263</v>
      </c>
      <c r="OHV1" t="s">
        <v>12264</v>
      </c>
      <c r="OHW1" t="s">
        <v>12265</v>
      </c>
      <c r="OHX1" t="s">
        <v>12266</v>
      </c>
      <c r="OHY1" t="s">
        <v>12267</v>
      </c>
      <c r="OHZ1" t="s">
        <v>12268</v>
      </c>
      <c r="OIA1" t="s">
        <v>12269</v>
      </c>
      <c r="OIB1" t="s">
        <v>12270</v>
      </c>
      <c r="OIC1" t="s">
        <v>12271</v>
      </c>
      <c r="OID1" t="s">
        <v>12272</v>
      </c>
      <c r="OIE1" t="s">
        <v>12273</v>
      </c>
      <c r="OIF1" t="s">
        <v>12274</v>
      </c>
      <c r="OIG1" t="s">
        <v>12275</v>
      </c>
      <c r="OIH1" t="s">
        <v>12276</v>
      </c>
      <c r="OII1" t="s">
        <v>12277</v>
      </c>
      <c r="OIJ1" t="s">
        <v>12278</v>
      </c>
      <c r="OIK1" t="s">
        <v>12279</v>
      </c>
      <c r="OIL1" t="s">
        <v>12280</v>
      </c>
      <c r="OIM1" t="s">
        <v>12281</v>
      </c>
      <c r="OIN1" t="s">
        <v>12282</v>
      </c>
      <c r="OIO1" t="s">
        <v>12283</v>
      </c>
      <c r="OIP1" t="s">
        <v>12284</v>
      </c>
      <c r="OIQ1" t="s">
        <v>12285</v>
      </c>
      <c r="OIR1" t="s">
        <v>12286</v>
      </c>
      <c r="OIS1" t="s">
        <v>12287</v>
      </c>
      <c r="OIT1" t="s">
        <v>12288</v>
      </c>
      <c r="OIU1" t="s">
        <v>12289</v>
      </c>
      <c r="OIV1" t="s">
        <v>12290</v>
      </c>
      <c r="OIW1" t="s">
        <v>12291</v>
      </c>
      <c r="OIX1" t="s">
        <v>12292</v>
      </c>
      <c r="OIY1" t="s">
        <v>12293</v>
      </c>
      <c r="OIZ1" t="s">
        <v>12294</v>
      </c>
      <c r="OJA1" t="s">
        <v>12295</v>
      </c>
      <c r="OJB1" t="s">
        <v>12296</v>
      </c>
      <c r="OJC1" t="s">
        <v>12297</v>
      </c>
      <c r="OJD1" t="s">
        <v>12298</v>
      </c>
      <c r="OJE1" t="s">
        <v>12299</v>
      </c>
      <c r="OJF1" t="s">
        <v>12300</v>
      </c>
      <c r="OJG1" t="s">
        <v>12301</v>
      </c>
      <c r="OJH1" t="s">
        <v>12302</v>
      </c>
      <c r="OJI1" t="s">
        <v>12303</v>
      </c>
      <c r="OJJ1" t="s">
        <v>12304</v>
      </c>
      <c r="OJK1" t="s">
        <v>12305</v>
      </c>
      <c r="OJL1" t="s">
        <v>12306</v>
      </c>
      <c r="OJM1" t="s">
        <v>12307</v>
      </c>
      <c r="OJN1" t="s">
        <v>12308</v>
      </c>
      <c r="OJO1" t="s">
        <v>12309</v>
      </c>
      <c r="OJP1" t="s">
        <v>12310</v>
      </c>
      <c r="OJQ1" t="s">
        <v>12311</v>
      </c>
      <c r="OJR1" t="s">
        <v>12312</v>
      </c>
      <c r="OJS1" t="s">
        <v>12313</v>
      </c>
      <c r="OJT1" t="s">
        <v>12314</v>
      </c>
      <c r="OJU1" t="s">
        <v>12315</v>
      </c>
      <c r="OJV1" t="s">
        <v>12316</v>
      </c>
      <c r="OJW1" t="s">
        <v>12317</v>
      </c>
      <c r="OJX1" t="s">
        <v>12318</v>
      </c>
      <c r="OJY1" t="s">
        <v>12319</v>
      </c>
      <c r="OJZ1" t="s">
        <v>12320</v>
      </c>
      <c r="OKA1" t="s">
        <v>12321</v>
      </c>
      <c r="OKB1" t="s">
        <v>12322</v>
      </c>
      <c r="OKC1" t="s">
        <v>12323</v>
      </c>
      <c r="OKD1" t="s">
        <v>12324</v>
      </c>
      <c r="OKE1" t="s">
        <v>12325</v>
      </c>
      <c r="OKF1" t="s">
        <v>12326</v>
      </c>
      <c r="OKG1" t="s">
        <v>12327</v>
      </c>
      <c r="OKH1" t="s">
        <v>12328</v>
      </c>
      <c r="OKI1" t="s">
        <v>12329</v>
      </c>
      <c r="OKJ1" t="s">
        <v>12330</v>
      </c>
      <c r="OKK1" t="s">
        <v>12331</v>
      </c>
      <c r="OKL1" t="s">
        <v>12332</v>
      </c>
      <c r="OKM1" t="s">
        <v>12333</v>
      </c>
      <c r="OKN1" t="s">
        <v>12334</v>
      </c>
      <c r="OKO1" t="s">
        <v>12335</v>
      </c>
      <c r="OKP1" t="s">
        <v>12336</v>
      </c>
      <c r="OKQ1" t="s">
        <v>12337</v>
      </c>
      <c r="OKR1" t="s">
        <v>12338</v>
      </c>
      <c r="OKS1" t="s">
        <v>12339</v>
      </c>
      <c r="OKT1" t="s">
        <v>12340</v>
      </c>
      <c r="OKU1" t="s">
        <v>12341</v>
      </c>
      <c r="OKV1" t="s">
        <v>12342</v>
      </c>
      <c r="OKW1" t="s">
        <v>12343</v>
      </c>
      <c r="OKX1" t="s">
        <v>12344</v>
      </c>
      <c r="OKY1" t="s">
        <v>12345</v>
      </c>
      <c r="OKZ1" t="s">
        <v>12346</v>
      </c>
      <c r="OLA1" t="s">
        <v>12347</v>
      </c>
      <c r="OLB1" t="s">
        <v>12348</v>
      </c>
      <c r="OLC1" t="s">
        <v>12349</v>
      </c>
      <c r="OLD1" t="s">
        <v>12350</v>
      </c>
      <c r="OLE1" t="s">
        <v>12351</v>
      </c>
      <c r="OLF1" t="s">
        <v>12352</v>
      </c>
      <c r="OLG1" t="s">
        <v>12353</v>
      </c>
      <c r="OLH1" t="s">
        <v>12354</v>
      </c>
      <c r="OLI1" t="s">
        <v>12355</v>
      </c>
      <c r="OLJ1" t="s">
        <v>12356</v>
      </c>
      <c r="OLK1" t="s">
        <v>12357</v>
      </c>
      <c r="OLL1" t="s">
        <v>12358</v>
      </c>
      <c r="OLM1" t="s">
        <v>12359</v>
      </c>
      <c r="OLN1" t="s">
        <v>12360</v>
      </c>
      <c r="OLO1" t="s">
        <v>12361</v>
      </c>
      <c r="OLP1" t="s">
        <v>12362</v>
      </c>
      <c r="OLQ1" t="s">
        <v>12363</v>
      </c>
      <c r="OLR1" t="s">
        <v>12364</v>
      </c>
      <c r="OLS1" t="s">
        <v>12365</v>
      </c>
      <c r="OLT1" t="s">
        <v>12366</v>
      </c>
      <c r="OLU1" t="s">
        <v>12367</v>
      </c>
      <c r="OLV1" t="s">
        <v>12368</v>
      </c>
      <c r="OLW1" t="s">
        <v>12369</v>
      </c>
      <c r="OLX1" t="s">
        <v>12370</v>
      </c>
      <c r="OLY1" t="s">
        <v>12371</v>
      </c>
      <c r="OLZ1" t="s">
        <v>12372</v>
      </c>
      <c r="OMA1" t="s">
        <v>12373</v>
      </c>
      <c r="OMB1" t="s">
        <v>12374</v>
      </c>
      <c r="OMC1" t="s">
        <v>12375</v>
      </c>
      <c r="OMD1" t="s">
        <v>12376</v>
      </c>
      <c r="OME1" t="s">
        <v>12377</v>
      </c>
      <c r="OMF1" t="s">
        <v>12378</v>
      </c>
      <c r="OMG1" t="s">
        <v>12379</v>
      </c>
      <c r="OMH1" t="s">
        <v>12380</v>
      </c>
      <c r="OMI1" t="s">
        <v>12381</v>
      </c>
      <c r="OMJ1" t="s">
        <v>12382</v>
      </c>
      <c r="OMK1" t="s">
        <v>12383</v>
      </c>
      <c r="OML1" t="s">
        <v>12384</v>
      </c>
      <c r="OMM1" t="s">
        <v>12385</v>
      </c>
      <c r="OMN1" t="s">
        <v>12386</v>
      </c>
      <c r="OMO1" t="s">
        <v>12387</v>
      </c>
      <c r="OMP1" t="s">
        <v>12388</v>
      </c>
      <c r="OMQ1" t="s">
        <v>12389</v>
      </c>
      <c r="OMR1" t="s">
        <v>12390</v>
      </c>
      <c r="OMS1" t="s">
        <v>12391</v>
      </c>
      <c r="OMT1" t="s">
        <v>12392</v>
      </c>
      <c r="OMU1" t="s">
        <v>12393</v>
      </c>
      <c r="OMV1" t="s">
        <v>12394</v>
      </c>
      <c r="OMW1" t="s">
        <v>12395</v>
      </c>
      <c r="OMX1" t="s">
        <v>12396</v>
      </c>
      <c r="OMY1" t="s">
        <v>12397</v>
      </c>
      <c r="OMZ1" t="s">
        <v>12398</v>
      </c>
      <c r="ONA1" t="s">
        <v>12399</v>
      </c>
      <c r="ONB1" t="s">
        <v>12400</v>
      </c>
      <c r="ONC1" t="s">
        <v>12401</v>
      </c>
      <c r="OND1" t="s">
        <v>12402</v>
      </c>
      <c r="ONE1" t="s">
        <v>12403</v>
      </c>
      <c r="ONF1" t="s">
        <v>12404</v>
      </c>
      <c r="ONG1" t="s">
        <v>12405</v>
      </c>
      <c r="ONH1" t="s">
        <v>12406</v>
      </c>
      <c r="ONI1" t="s">
        <v>12407</v>
      </c>
      <c r="ONJ1" t="s">
        <v>12408</v>
      </c>
      <c r="ONK1" t="s">
        <v>12409</v>
      </c>
      <c r="ONL1" t="s">
        <v>12410</v>
      </c>
      <c r="ONM1" t="s">
        <v>12411</v>
      </c>
      <c r="ONN1" t="s">
        <v>12412</v>
      </c>
      <c r="ONO1" t="s">
        <v>12413</v>
      </c>
      <c r="ONP1" t="s">
        <v>12414</v>
      </c>
      <c r="ONQ1" t="s">
        <v>12415</v>
      </c>
      <c r="ONR1" t="s">
        <v>12416</v>
      </c>
      <c r="ONS1" t="s">
        <v>12417</v>
      </c>
      <c r="ONT1" t="s">
        <v>12418</v>
      </c>
      <c r="ONU1" t="s">
        <v>12419</v>
      </c>
      <c r="ONV1" t="s">
        <v>12420</v>
      </c>
      <c r="ONW1" t="s">
        <v>12421</v>
      </c>
      <c r="ONX1" t="s">
        <v>12422</v>
      </c>
      <c r="ONY1" t="s">
        <v>12423</v>
      </c>
      <c r="ONZ1" t="s">
        <v>12424</v>
      </c>
      <c r="OOA1" t="s">
        <v>12425</v>
      </c>
      <c r="OOB1" t="s">
        <v>12426</v>
      </c>
      <c r="OOC1" t="s">
        <v>12427</v>
      </c>
      <c r="OOD1" t="s">
        <v>12428</v>
      </c>
      <c r="OOE1" t="s">
        <v>12429</v>
      </c>
      <c r="OOF1" t="s">
        <v>12430</v>
      </c>
      <c r="OOG1" t="s">
        <v>12431</v>
      </c>
      <c r="OOH1" t="s">
        <v>12432</v>
      </c>
      <c r="OOI1" t="s">
        <v>12433</v>
      </c>
      <c r="OOJ1" t="s">
        <v>12434</v>
      </c>
      <c r="OOK1" t="s">
        <v>12435</v>
      </c>
      <c r="OOL1" t="s">
        <v>12436</v>
      </c>
      <c r="OOM1" t="s">
        <v>12437</v>
      </c>
      <c r="OON1" t="s">
        <v>12438</v>
      </c>
      <c r="OOO1" t="s">
        <v>12439</v>
      </c>
      <c r="OOP1" t="s">
        <v>12440</v>
      </c>
      <c r="OOQ1" t="s">
        <v>12441</v>
      </c>
      <c r="OOR1" t="s">
        <v>12442</v>
      </c>
      <c r="OOS1" t="s">
        <v>12443</v>
      </c>
      <c r="OOT1" t="s">
        <v>12444</v>
      </c>
      <c r="OOU1" t="s">
        <v>12445</v>
      </c>
      <c r="OOV1" t="s">
        <v>12446</v>
      </c>
      <c r="OOW1" t="s">
        <v>12447</v>
      </c>
      <c r="OOX1" t="s">
        <v>12448</v>
      </c>
      <c r="OOY1" t="s">
        <v>12449</v>
      </c>
      <c r="OOZ1" t="s">
        <v>12450</v>
      </c>
      <c r="OPA1" t="s">
        <v>12451</v>
      </c>
      <c r="OPB1" t="s">
        <v>12452</v>
      </c>
      <c r="OPC1" t="s">
        <v>12453</v>
      </c>
      <c r="OPD1" t="s">
        <v>12454</v>
      </c>
      <c r="OPE1" t="s">
        <v>12455</v>
      </c>
      <c r="OPF1" t="s">
        <v>12456</v>
      </c>
      <c r="OPG1" t="s">
        <v>12457</v>
      </c>
      <c r="OPH1" t="s">
        <v>12458</v>
      </c>
      <c r="OPI1" t="s">
        <v>12459</v>
      </c>
      <c r="OPJ1" t="s">
        <v>12460</v>
      </c>
      <c r="OPK1" t="s">
        <v>12461</v>
      </c>
      <c r="OPL1" t="s">
        <v>12462</v>
      </c>
      <c r="OPM1" t="s">
        <v>12463</v>
      </c>
      <c r="OPN1" t="s">
        <v>12464</v>
      </c>
      <c r="OPO1" t="s">
        <v>12465</v>
      </c>
      <c r="OPP1" t="s">
        <v>12466</v>
      </c>
      <c r="OPQ1" t="s">
        <v>12467</v>
      </c>
      <c r="OPR1" t="s">
        <v>12468</v>
      </c>
      <c r="OPS1" t="s">
        <v>12469</v>
      </c>
      <c r="OPT1" t="s">
        <v>12470</v>
      </c>
      <c r="OPU1" t="s">
        <v>12471</v>
      </c>
      <c r="OPV1" t="s">
        <v>12472</v>
      </c>
      <c r="OPW1" t="s">
        <v>12473</v>
      </c>
      <c r="OPX1" t="s">
        <v>12474</v>
      </c>
      <c r="OPY1" t="s">
        <v>12475</v>
      </c>
      <c r="OPZ1" t="s">
        <v>12476</v>
      </c>
      <c r="OQA1" t="s">
        <v>12477</v>
      </c>
      <c r="OQB1" t="s">
        <v>12478</v>
      </c>
      <c r="OQC1" t="s">
        <v>12479</v>
      </c>
      <c r="OQD1" t="s">
        <v>12480</v>
      </c>
      <c r="OQE1" t="s">
        <v>12481</v>
      </c>
      <c r="OQF1" t="s">
        <v>12482</v>
      </c>
      <c r="OQG1" t="s">
        <v>12483</v>
      </c>
      <c r="OQH1" t="s">
        <v>12484</v>
      </c>
      <c r="OQI1" t="s">
        <v>12485</v>
      </c>
      <c r="OQJ1" t="s">
        <v>12486</v>
      </c>
      <c r="OQK1" t="s">
        <v>12487</v>
      </c>
      <c r="OQL1" t="s">
        <v>12488</v>
      </c>
      <c r="OQM1" t="s">
        <v>12489</v>
      </c>
      <c r="OQN1" t="s">
        <v>12490</v>
      </c>
      <c r="OQO1" t="s">
        <v>12491</v>
      </c>
      <c r="OQP1" t="s">
        <v>12492</v>
      </c>
      <c r="OQQ1" t="s">
        <v>12493</v>
      </c>
      <c r="OQR1" t="s">
        <v>12494</v>
      </c>
      <c r="OQS1" t="s">
        <v>12495</v>
      </c>
      <c r="OQT1" t="s">
        <v>12496</v>
      </c>
      <c r="OQU1" t="s">
        <v>12497</v>
      </c>
      <c r="OQV1" t="s">
        <v>12498</v>
      </c>
      <c r="OQW1" t="s">
        <v>12499</v>
      </c>
      <c r="OQX1" t="s">
        <v>12500</v>
      </c>
      <c r="OQY1" t="s">
        <v>12501</v>
      </c>
      <c r="OQZ1" t="s">
        <v>12502</v>
      </c>
      <c r="ORA1" t="s">
        <v>12503</v>
      </c>
      <c r="ORB1" t="s">
        <v>12504</v>
      </c>
      <c r="ORC1" t="s">
        <v>12505</v>
      </c>
      <c r="ORD1" t="s">
        <v>12506</v>
      </c>
      <c r="ORE1" t="s">
        <v>12507</v>
      </c>
      <c r="ORF1" t="s">
        <v>12508</v>
      </c>
      <c r="ORG1" t="s">
        <v>12509</v>
      </c>
      <c r="ORH1" t="s">
        <v>12510</v>
      </c>
      <c r="ORI1" t="s">
        <v>12511</v>
      </c>
      <c r="ORJ1" t="s">
        <v>12512</v>
      </c>
      <c r="ORK1" t="s">
        <v>12513</v>
      </c>
      <c r="ORL1" t="s">
        <v>12514</v>
      </c>
      <c r="ORM1" t="s">
        <v>12515</v>
      </c>
      <c r="ORN1" t="s">
        <v>12516</v>
      </c>
      <c r="ORO1" t="s">
        <v>12517</v>
      </c>
      <c r="ORP1" t="s">
        <v>12518</v>
      </c>
      <c r="ORQ1" t="s">
        <v>12519</v>
      </c>
      <c r="ORR1" t="s">
        <v>12520</v>
      </c>
      <c r="ORS1" t="s">
        <v>12521</v>
      </c>
      <c r="ORT1" t="s">
        <v>12522</v>
      </c>
      <c r="ORU1" t="s">
        <v>12523</v>
      </c>
      <c r="ORV1" t="s">
        <v>12524</v>
      </c>
      <c r="ORW1" t="s">
        <v>12525</v>
      </c>
      <c r="ORX1" t="s">
        <v>12526</v>
      </c>
      <c r="ORY1" t="s">
        <v>12527</v>
      </c>
      <c r="ORZ1" t="s">
        <v>12528</v>
      </c>
      <c r="OSA1" t="s">
        <v>12529</v>
      </c>
      <c r="OSB1" t="s">
        <v>12530</v>
      </c>
      <c r="OSC1" t="s">
        <v>12531</v>
      </c>
      <c r="OSD1" t="s">
        <v>12532</v>
      </c>
      <c r="OSE1" t="s">
        <v>12533</v>
      </c>
      <c r="OSF1" t="s">
        <v>12534</v>
      </c>
      <c r="OSG1" t="s">
        <v>12535</v>
      </c>
      <c r="OSH1" t="s">
        <v>12536</v>
      </c>
      <c r="OSI1" t="s">
        <v>12537</v>
      </c>
      <c r="OSJ1" t="s">
        <v>12538</v>
      </c>
      <c r="OSK1" t="s">
        <v>12539</v>
      </c>
      <c r="OSL1" t="s">
        <v>12540</v>
      </c>
      <c r="OSM1" t="s">
        <v>12541</v>
      </c>
      <c r="OSN1" t="s">
        <v>12542</v>
      </c>
      <c r="OSO1" t="s">
        <v>12543</v>
      </c>
      <c r="OSP1" t="s">
        <v>12544</v>
      </c>
      <c r="OSQ1" t="s">
        <v>12545</v>
      </c>
      <c r="OSR1" t="s">
        <v>12546</v>
      </c>
      <c r="OSS1" t="s">
        <v>12547</v>
      </c>
      <c r="OST1" t="s">
        <v>12548</v>
      </c>
      <c r="OSU1" t="s">
        <v>12549</v>
      </c>
      <c r="OSV1" t="s">
        <v>12550</v>
      </c>
      <c r="OSW1" t="s">
        <v>12551</v>
      </c>
      <c r="OSX1" t="s">
        <v>12552</v>
      </c>
      <c r="OSY1" t="s">
        <v>12553</v>
      </c>
      <c r="OSZ1" t="s">
        <v>12554</v>
      </c>
      <c r="OTA1" t="s">
        <v>12555</v>
      </c>
      <c r="OTB1" t="s">
        <v>12556</v>
      </c>
      <c r="OTC1" t="s">
        <v>12557</v>
      </c>
      <c r="OTD1" t="s">
        <v>12558</v>
      </c>
      <c r="OTE1" t="s">
        <v>12559</v>
      </c>
      <c r="OTF1" t="s">
        <v>12560</v>
      </c>
      <c r="OTG1" t="s">
        <v>12561</v>
      </c>
      <c r="OTH1" t="s">
        <v>12562</v>
      </c>
      <c r="OTI1" t="s">
        <v>12563</v>
      </c>
      <c r="OTJ1" t="s">
        <v>12564</v>
      </c>
      <c r="OTK1" t="s">
        <v>12565</v>
      </c>
      <c r="OTL1" t="s">
        <v>12566</v>
      </c>
      <c r="OTM1" t="s">
        <v>12567</v>
      </c>
      <c r="OTN1" t="s">
        <v>12568</v>
      </c>
      <c r="OTO1" t="s">
        <v>12569</v>
      </c>
      <c r="OTP1" t="s">
        <v>12570</v>
      </c>
      <c r="OTQ1" t="s">
        <v>12571</v>
      </c>
      <c r="OTR1" t="s">
        <v>12572</v>
      </c>
      <c r="OTS1" t="s">
        <v>12573</v>
      </c>
      <c r="OTT1" t="s">
        <v>12574</v>
      </c>
      <c r="OTU1" t="s">
        <v>12575</v>
      </c>
      <c r="OTV1" t="s">
        <v>12576</v>
      </c>
      <c r="OTW1" t="s">
        <v>12577</v>
      </c>
      <c r="OTX1" t="s">
        <v>12578</v>
      </c>
      <c r="OTY1" t="s">
        <v>12579</v>
      </c>
      <c r="OTZ1" t="s">
        <v>12580</v>
      </c>
      <c r="OUA1" t="s">
        <v>12581</v>
      </c>
      <c r="OUB1" t="s">
        <v>12582</v>
      </c>
      <c r="OUC1" t="s">
        <v>12583</v>
      </c>
      <c r="OUD1" t="s">
        <v>12584</v>
      </c>
      <c r="OUE1" t="s">
        <v>12585</v>
      </c>
      <c r="OUF1" t="s">
        <v>12586</v>
      </c>
      <c r="OUG1" t="s">
        <v>12587</v>
      </c>
      <c r="OUH1" t="s">
        <v>12588</v>
      </c>
      <c r="OUI1" t="s">
        <v>12589</v>
      </c>
      <c r="OUJ1" t="s">
        <v>12590</v>
      </c>
      <c r="OUK1" t="s">
        <v>12591</v>
      </c>
      <c r="OUL1" t="s">
        <v>12592</v>
      </c>
      <c r="OUM1" t="s">
        <v>12593</v>
      </c>
      <c r="OUN1" t="s">
        <v>12594</v>
      </c>
      <c r="OUO1" t="s">
        <v>12595</v>
      </c>
      <c r="OUP1" t="s">
        <v>12596</v>
      </c>
      <c r="OUQ1" t="s">
        <v>12597</v>
      </c>
      <c r="OUR1" t="s">
        <v>12598</v>
      </c>
      <c r="OUS1" t="s">
        <v>12599</v>
      </c>
      <c r="OUT1" t="s">
        <v>12600</v>
      </c>
      <c r="OUU1" t="s">
        <v>12601</v>
      </c>
      <c r="OUV1" t="s">
        <v>12602</v>
      </c>
      <c r="OUW1" t="s">
        <v>12603</v>
      </c>
      <c r="OUX1" t="s">
        <v>12604</v>
      </c>
      <c r="OUY1" t="s">
        <v>12605</v>
      </c>
      <c r="OUZ1" t="s">
        <v>12606</v>
      </c>
      <c r="OVA1" t="s">
        <v>12607</v>
      </c>
      <c r="OVB1" t="s">
        <v>12608</v>
      </c>
      <c r="OVC1" t="s">
        <v>12609</v>
      </c>
      <c r="OVD1" t="s">
        <v>12610</v>
      </c>
      <c r="OVE1" t="s">
        <v>12611</v>
      </c>
      <c r="OVF1" t="s">
        <v>12612</v>
      </c>
      <c r="OVG1" t="s">
        <v>12613</v>
      </c>
      <c r="OVH1" t="s">
        <v>12614</v>
      </c>
      <c r="OVI1" t="s">
        <v>12615</v>
      </c>
      <c r="OVJ1" t="s">
        <v>12616</v>
      </c>
      <c r="OVK1" t="s">
        <v>12617</v>
      </c>
      <c r="OVL1" t="s">
        <v>12618</v>
      </c>
      <c r="OVM1" t="s">
        <v>12619</v>
      </c>
      <c r="OVN1" t="s">
        <v>12620</v>
      </c>
      <c r="OVO1" t="s">
        <v>12621</v>
      </c>
      <c r="OVP1" t="s">
        <v>12622</v>
      </c>
      <c r="OVQ1" t="s">
        <v>12623</v>
      </c>
      <c r="OVR1" t="s">
        <v>12624</v>
      </c>
      <c r="OVS1" t="s">
        <v>12625</v>
      </c>
      <c r="OVT1" t="s">
        <v>12626</v>
      </c>
      <c r="OVU1" t="s">
        <v>12627</v>
      </c>
      <c r="OVV1" t="s">
        <v>12628</v>
      </c>
      <c r="OVW1" t="s">
        <v>12629</v>
      </c>
      <c r="OVX1" t="s">
        <v>12630</v>
      </c>
      <c r="OVY1" t="s">
        <v>12631</v>
      </c>
      <c r="OVZ1" t="s">
        <v>12632</v>
      </c>
      <c r="OWA1" t="s">
        <v>12633</v>
      </c>
      <c r="OWB1" t="s">
        <v>12634</v>
      </c>
      <c r="OWC1" t="s">
        <v>12635</v>
      </c>
      <c r="OWD1" t="s">
        <v>12636</v>
      </c>
      <c r="OWE1" t="s">
        <v>12637</v>
      </c>
      <c r="OWF1" t="s">
        <v>12638</v>
      </c>
      <c r="OWG1" t="s">
        <v>12639</v>
      </c>
      <c r="OWH1" t="s">
        <v>12640</v>
      </c>
      <c r="OWI1" t="s">
        <v>12641</v>
      </c>
      <c r="OWJ1" t="s">
        <v>12642</v>
      </c>
      <c r="OWK1" t="s">
        <v>12643</v>
      </c>
      <c r="OWL1" t="s">
        <v>12644</v>
      </c>
      <c r="OWM1" t="s">
        <v>12645</v>
      </c>
      <c r="OWN1" t="s">
        <v>12646</v>
      </c>
      <c r="OWO1" t="s">
        <v>12647</v>
      </c>
      <c r="OWP1" t="s">
        <v>12648</v>
      </c>
      <c r="OWQ1" t="s">
        <v>12649</v>
      </c>
      <c r="OWR1" t="s">
        <v>12650</v>
      </c>
      <c r="OWS1" t="s">
        <v>12651</v>
      </c>
      <c r="OWT1" t="s">
        <v>12652</v>
      </c>
      <c r="OWU1" t="s">
        <v>12653</v>
      </c>
      <c r="OWV1" t="s">
        <v>12654</v>
      </c>
      <c r="OWW1" t="s">
        <v>12655</v>
      </c>
      <c r="OWX1" t="s">
        <v>12656</v>
      </c>
      <c r="OWY1" t="s">
        <v>12657</v>
      </c>
      <c r="OWZ1" t="s">
        <v>12658</v>
      </c>
      <c r="OXA1" t="s">
        <v>12659</v>
      </c>
      <c r="OXB1" t="s">
        <v>12660</v>
      </c>
      <c r="OXC1" t="s">
        <v>12661</v>
      </c>
      <c r="OXD1" t="s">
        <v>12662</v>
      </c>
      <c r="OXE1" t="s">
        <v>12663</v>
      </c>
      <c r="OXF1" t="s">
        <v>12664</v>
      </c>
      <c r="OXG1" t="s">
        <v>12665</v>
      </c>
      <c r="OXH1" t="s">
        <v>12666</v>
      </c>
      <c r="OXI1" t="s">
        <v>12667</v>
      </c>
      <c r="OXJ1" t="s">
        <v>12668</v>
      </c>
      <c r="OXK1" t="s">
        <v>12669</v>
      </c>
      <c r="OXL1" t="s">
        <v>12670</v>
      </c>
      <c r="OXM1" t="s">
        <v>12671</v>
      </c>
      <c r="OXN1" t="s">
        <v>12672</v>
      </c>
      <c r="OXO1" t="s">
        <v>12673</v>
      </c>
      <c r="OXP1" t="s">
        <v>12674</v>
      </c>
      <c r="OXQ1" t="s">
        <v>12675</v>
      </c>
      <c r="OXR1" t="s">
        <v>12676</v>
      </c>
      <c r="OXS1" t="s">
        <v>12677</v>
      </c>
      <c r="OXT1" t="s">
        <v>12678</v>
      </c>
      <c r="OXU1" t="s">
        <v>12679</v>
      </c>
      <c r="OXV1" t="s">
        <v>12680</v>
      </c>
      <c r="OXW1" t="s">
        <v>12681</v>
      </c>
      <c r="OXX1" t="s">
        <v>12682</v>
      </c>
      <c r="OXY1" t="s">
        <v>12683</v>
      </c>
      <c r="OXZ1" t="s">
        <v>12684</v>
      </c>
      <c r="OYA1" t="s">
        <v>12685</v>
      </c>
      <c r="OYB1" t="s">
        <v>12686</v>
      </c>
      <c r="OYC1" t="s">
        <v>12687</v>
      </c>
      <c r="OYD1" t="s">
        <v>12688</v>
      </c>
      <c r="OYE1" t="s">
        <v>12689</v>
      </c>
      <c r="OYF1" t="s">
        <v>12690</v>
      </c>
      <c r="OYG1" t="s">
        <v>12691</v>
      </c>
      <c r="OYH1" t="s">
        <v>12692</v>
      </c>
      <c r="OYI1" t="s">
        <v>12693</v>
      </c>
      <c r="OYJ1" t="s">
        <v>12694</v>
      </c>
      <c r="OYK1" t="s">
        <v>12695</v>
      </c>
      <c r="OYL1" t="s">
        <v>12696</v>
      </c>
      <c r="OYM1" t="s">
        <v>12697</v>
      </c>
      <c r="OYN1" t="s">
        <v>12698</v>
      </c>
      <c r="OYO1" t="s">
        <v>12699</v>
      </c>
      <c r="OYP1" t="s">
        <v>12700</v>
      </c>
      <c r="OYQ1" t="s">
        <v>12701</v>
      </c>
      <c r="OYR1" t="s">
        <v>12702</v>
      </c>
      <c r="OYS1" t="s">
        <v>12703</v>
      </c>
      <c r="OYT1" t="s">
        <v>12704</v>
      </c>
      <c r="OYU1" t="s">
        <v>12705</v>
      </c>
      <c r="OYV1" t="s">
        <v>12706</v>
      </c>
      <c r="OYW1" t="s">
        <v>12707</v>
      </c>
      <c r="OYX1" t="s">
        <v>12708</v>
      </c>
      <c r="OYY1" t="s">
        <v>12709</v>
      </c>
      <c r="OYZ1" t="s">
        <v>12710</v>
      </c>
      <c r="OZA1" t="s">
        <v>12711</v>
      </c>
      <c r="OZB1" t="s">
        <v>12712</v>
      </c>
      <c r="OZC1" t="s">
        <v>12713</v>
      </c>
      <c r="OZD1" t="s">
        <v>12714</v>
      </c>
      <c r="OZE1" t="s">
        <v>12715</v>
      </c>
      <c r="OZF1" t="s">
        <v>12716</v>
      </c>
      <c r="OZG1" t="s">
        <v>12717</v>
      </c>
      <c r="OZH1" t="s">
        <v>12718</v>
      </c>
      <c r="OZI1" t="s">
        <v>12719</v>
      </c>
      <c r="OZJ1" t="s">
        <v>12720</v>
      </c>
      <c r="OZK1" t="s">
        <v>12721</v>
      </c>
      <c r="OZL1" t="s">
        <v>12722</v>
      </c>
      <c r="OZM1" t="s">
        <v>12723</v>
      </c>
      <c r="OZN1" t="s">
        <v>12724</v>
      </c>
      <c r="OZO1" t="s">
        <v>12725</v>
      </c>
      <c r="OZP1" t="s">
        <v>12726</v>
      </c>
      <c r="OZQ1" t="s">
        <v>12727</v>
      </c>
      <c r="OZR1" t="s">
        <v>12728</v>
      </c>
      <c r="OZS1" t="s">
        <v>12729</v>
      </c>
      <c r="OZT1" t="s">
        <v>12730</v>
      </c>
      <c r="OZU1" t="s">
        <v>12731</v>
      </c>
      <c r="OZV1" t="s">
        <v>12732</v>
      </c>
      <c r="OZW1" t="s">
        <v>12733</v>
      </c>
      <c r="OZX1" t="s">
        <v>12734</v>
      </c>
      <c r="OZY1" t="s">
        <v>12735</v>
      </c>
      <c r="OZZ1" t="s">
        <v>12736</v>
      </c>
      <c r="PAA1" t="s">
        <v>12737</v>
      </c>
      <c r="PAB1" t="s">
        <v>12738</v>
      </c>
      <c r="PAC1" t="s">
        <v>12739</v>
      </c>
      <c r="PAD1" t="s">
        <v>12740</v>
      </c>
      <c r="PAE1" t="s">
        <v>12741</v>
      </c>
      <c r="PAF1" t="s">
        <v>12742</v>
      </c>
      <c r="PAG1" t="s">
        <v>12743</v>
      </c>
      <c r="PAH1" t="s">
        <v>12744</v>
      </c>
      <c r="PAI1" t="s">
        <v>12745</v>
      </c>
      <c r="PAJ1" t="s">
        <v>12746</v>
      </c>
      <c r="PAK1" t="s">
        <v>12747</v>
      </c>
      <c r="PAL1" t="s">
        <v>12748</v>
      </c>
      <c r="PAM1" t="s">
        <v>12749</v>
      </c>
      <c r="PAN1" t="s">
        <v>12750</v>
      </c>
      <c r="PAO1" t="s">
        <v>12751</v>
      </c>
      <c r="PAP1" t="s">
        <v>12752</v>
      </c>
      <c r="PAQ1" t="s">
        <v>12753</v>
      </c>
      <c r="PAR1" t="s">
        <v>12754</v>
      </c>
      <c r="PAS1" t="s">
        <v>12755</v>
      </c>
      <c r="PAT1" t="s">
        <v>12756</v>
      </c>
      <c r="PAU1" t="s">
        <v>12757</v>
      </c>
      <c r="PAV1" t="s">
        <v>12758</v>
      </c>
      <c r="PAW1" t="s">
        <v>12759</v>
      </c>
      <c r="PAX1" t="s">
        <v>12760</v>
      </c>
      <c r="PAY1" t="s">
        <v>12761</v>
      </c>
      <c r="PAZ1" t="s">
        <v>12762</v>
      </c>
      <c r="PBA1" t="s">
        <v>12763</v>
      </c>
      <c r="PBB1" t="s">
        <v>12764</v>
      </c>
      <c r="PBC1" t="s">
        <v>12765</v>
      </c>
      <c r="PBD1" t="s">
        <v>12766</v>
      </c>
      <c r="PBE1" t="s">
        <v>12767</v>
      </c>
      <c r="PBF1" t="s">
        <v>12768</v>
      </c>
      <c r="PBG1" t="s">
        <v>12769</v>
      </c>
      <c r="PBH1" t="s">
        <v>12770</v>
      </c>
      <c r="PBI1" t="s">
        <v>12771</v>
      </c>
      <c r="PBJ1" t="s">
        <v>12772</v>
      </c>
      <c r="PBK1" t="s">
        <v>12773</v>
      </c>
      <c r="PBL1" t="s">
        <v>12774</v>
      </c>
      <c r="PBM1" t="s">
        <v>12775</v>
      </c>
      <c r="PBN1" t="s">
        <v>12776</v>
      </c>
      <c r="PBO1" t="s">
        <v>12777</v>
      </c>
      <c r="PBP1" t="s">
        <v>12778</v>
      </c>
      <c r="PBQ1" t="s">
        <v>12779</v>
      </c>
      <c r="PBR1" t="s">
        <v>12780</v>
      </c>
      <c r="PBS1" t="s">
        <v>12781</v>
      </c>
      <c r="PBT1" t="s">
        <v>12782</v>
      </c>
      <c r="PBU1" t="s">
        <v>12783</v>
      </c>
      <c r="PBV1" t="s">
        <v>12784</v>
      </c>
      <c r="PBW1" t="s">
        <v>12785</v>
      </c>
      <c r="PBX1" t="s">
        <v>12786</v>
      </c>
      <c r="PBY1" t="s">
        <v>12787</v>
      </c>
      <c r="PBZ1" t="s">
        <v>12788</v>
      </c>
      <c r="PCA1" t="s">
        <v>12789</v>
      </c>
      <c r="PCB1" t="s">
        <v>12790</v>
      </c>
      <c r="PCC1" t="s">
        <v>12791</v>
      </c>
      <c r="PCD1" t="s">
        <v>12792</v>
      </c>
      <c r="PCE1" t="s">
        <v>12793</v>
      </c>
      <c r="PCF1" t="s">
        <v>12794</v>
      </c>
      <c r="PCG1" t="s">
        <v>12795</v>
      </c>
      <c r="PCH1" t="s">
        <v>12796</v>
      </c>
      <c r="PCI1" t="s">
        <v>12797</v>
      </c>
      <c r="PCJ1" t="s">
        <v>12798</v>
      </c>
      <c r="PCK1" t="s">
        <v>12799</v>
      </c>
      <c r="PCL1" t="s">
        <v>12800</v>
      </c>
      <c r="PCM1" t="s">
        <v>12801</v>
      </c>
      <c r="PCN1" t="s">
        <v>12802</v>
      </c>
      <c r="PCO1" t="s">
        <v>12803</v>
      </c>
      <c r="PCP1" t="s">
        <v>12804</v>
      </c>
      <c r="PCQ1" t="s">
        <v>12805</v>
      </c>
      <c r="PCR1" t="s">
        <v>12806</v>
      </c>
      <c r="PCS1" t="s">
        <v>12807</v>
      </c>
      <c r="PCT1" t="s">
        <v>12808</v>
      </c>
      <c r="PCU1" t="s">
        <v>12809</v>
      </c>
      <c r="PCV1" t="s">
        <v>12810</v>
      </c>
      <c r="PCW1" t="s">
        <v>12811</v>
      </c>
      <c r="PCX1" t="s">
        <v>12812</v>
      </c>
      <c r="PCY1" t="s">
        <v>12813</v>
      </c>
      <c r="PCZ1" t="s">
        <v>12814</v>
      </c>
      <c r="PDA1" t="s">
        <v>12815</v>
      </c>
      <c r="PDB1" t="s">
        <v>12816</v>
      </c>
      <c r="PDC1" t="s">
        <v>12817</v>
      </c>
      <c r="PDD1" t="s">
        <v>12818</v>
      </c>
      <c r="PDE1" t="s">
        <v>12819</v>
      </c>
      <c r="PDF1" t="s">
        <v>12820</v>
      </c>
      <c r="PDG1" t="s">
        <v>12821</v>
      </c>
      <c r="PDH1" t="s">
        <v>12822</v>
      </c>
      <c r="PDI1" t="s">
        <v>12823</v>
      </c>
      <c r="PDJ1" t="s">
        <v>12824</v>
      </c>
      <c r="PDK1" t="s">
        <v>12825</v>
      </c>
      <c r="PDL1" t="s">
        <v>12826</v>
      </c>
      <c r="PDM1" t="s">
        <v>12827</v>
      </c>
      <c r="PDN1" t="s">
        <v>12828</v>
      </c>
      <c r="PDO1" t="s">
        <v>12829</v>
      </c>
      <c r="PDP1" t="s">
        <v>12830</v>
      </c>
      <c r="PDQ1" t="s">
        <v>12831</v>
      </c>
      <c r="PDR1" t="s">
        <v>12832</v>
      </c>
      <c r="PDS1" t="s">
        <v>12833</v>
      </c>
      <c r="PDT1" t="s">
        <v>12834</v>
      </c>
      <c r="PDU1" t="s">
        <v>12835</v>
      </c>
      <c r="PDV1" t="s">
        <v>12836</v>
      </c>
      <c r="PDW1" t="s">
        <v>12837</v>
      </c>
      <c r="PDX1" t="s">
        <v>12838</v>
      </c>
      <c r="PDY1" t="s">
        <v>12839</v>
      </c>
      <c r="PDZ1" t="s">
        <v>12840</v>
      </c>
      <c r="PEA1" t="s">
        <v>12841</v>
      </c>
      <c r="PEB1" t="s">
        <v>12842</v>
      </c>
      <c r="PEC1" t="s">
        <v>12843</v>
      </c>
      <c r="PED1" t="s">
        <v>12844</v>
      </c>
      <c r="PEE1" t="s">
        <v>12845</v>
      </c>
      <c r="PEF1" t="s">
        <v>12846</v>
      </c>
      <c r="PEG1" t="s">
        <v>12847</v>
      </c>
      <c r="PEH1" t="s">
        <v>12848</v>
      </c>
      <c r="PEI1" t="s">
        <v>12849</v>
      </c>
      <c r="PEJ1" t="s">
        <v>12850</v>
      </c>
      <c r="PEK1" t="s">
        <v>12851</v>
      </c>
      <c r="PEL1" t="s">
        <v>12852</v>
      </c>
      <c r="PEM1" t="s">
        <v>12853</v>
      </c>
      <c r="PEN1" t="s">
        <v>12854</v>
      </c>
      <c r="PEO1" t="s">
        <v>12855</v>
      </c>
      <c r="PEP1" t="s">
        <v>12856</v>
      </c>
      <c r="PEQ1" t="s">
        <v>12857</v>
      </c>
      <c r="PER1" t="s">
        <v>12858</v>
      </c>
      <c r="PES1" t="s">
        <v>12859</v>
      </c>
      <c r="PET1" t="s">
        <v>12860</v>
      </c>
      <c r="PEU1" t="s">
        <v>12861</v>
      </c>
      <c r="PEV1" t="s">
        <v>12862</v>
      </c>
      <c r="PEW1" t="s">
        <v>12863</v>
      </c>
      <c r="PEX1" t="s">
        <v>12864</v>
      </c>
      <c r="PEY1" t="s">
        <v>12865</v>
      </c>
      <c r="PEZ1" t="s">
        <v>12866</v>
      </c>
      <c r="PFA1" t="s">
        <v>12867</v>
      </c>
      <c r="PFB1" t="s">
        <v>12868</v>
      </c>
      <c r="PFC1" t="s">
        <v>12869</v>
      </c>
      <c r="PFD1" t="s">
        <v>12870</v>
      </c>
      <c r="PFE1" t="s">
        <v>12871</v>
      </c>
      <c r="PFF1" t="s">
        <v>12872</v>
      </c>
      <c r="PFG1" t="s">
        <v>12873</v>
      </c>
      <c r="PFH1" t="s">
        <v>12874</v>
      </c>
      <c r="PFI1" t="s">
        <v>12875</v>
      </c>
      <c r="PFJ1" t="s">
        <v>12876</v>
      </c>
      <c r="PFK1" t="s">
        <v>12877</v>
      </c>
      <c r="PFL1" t="s">
        <v>12878</v>
      </c>
      <c r="PFM1" t="s">
        <v>12879</v>
      </c>
      <c r="PFN1" t="s">
        <v>12880</v>
      </c>
      <c r="PFO1" t="s">
        <v>12881</v>
      </c>
      <c r="PFP1" t="s">
        <v>12882</v>
      </c>
      <c r="PFQ1" t="s">
        <v>12883</v>
      </c>
      <c r="PFR1" t="s">
        <v>12884</v>
      </c>
      <c r="PFS1" t="s">
        <v>12885</v>
      </c>
      <c r="PFT1" t="s">
        <v>12886</v>
      </c>
      <c r="PFU1" t="s">
        <v>12887</v>
      </c>
      <c r="PFV1" t="s">
        <v>12888</v>
      </c>
      <c r="PFW1" t="s">
        <v>12889</v>
      </c>
      <c r="PFX1" t="s">
        <v>12890</v>
      </c>
      <c r="PFY1" t="s">
        <v>12891</v>
      </c>
      <c r="PFZ1" t="s">
        <v>12892</v>
      </c>
      <c r="PGA1" t="s">
        <v>12893</v>
      </c>
      <c r="PGB1" t="s">
        <v>12894</v>
      </c>
      <c r="PGC1" t="s">
        <v>12895</v>
      </c>
      <c r="PGD1" t="s">
        <v>12896</v>
      </c>
      <c r="PGE1" t="s">
        <v>12897</v>
      </c>
      <c r="PGF1" t="s">
        <v>12898</v>
      </c>
      <c r="PGG1" t="s">
        <v>12899</v>
      </c>
      <c r="PGH1" t="s">
        <v>12900</v>
      </c>
      <c r="PGI1" t="s">
        <v>12901</v>
      </c>
      <c r="PGJ1" t="s">
        <v>12902</v>
      </c>
      <c r="PGK1" t="s">
        <v>12903</v>
      </c>
      <c r="PGL1" t="s">
        <v>12904</v>
      </c>
      <c r="PGM1" t="s">
        <v>12905</v>
      </c>
      <c r="PGN1" t="s">
        <v>12906</v>
      </c>
      <c r="PGO1" t="s">
        <v>12907</v>
      </c>
      <c r="PGP1" t="s">
        <v>12908</v>
      </c>
      <c r="PGQ1" t="s">
        <v>12909</v>
      </c>
      <c r="PGR1" t="s">
        <v>12910</v>
      </c>
      <c r="PGS1" t="s">
        <v>12911</v>
      </c>
      <c r="PGT1" t="s">
        <v>12912</v>
      </c>
      <c r="PGU1" t="s">
        <v>12913</v>
      </c>
      <c r="PGV1" t="s">
        <v>12914</v>
      </c>
      <c r="PGW1" t="s">
        <v>12915</v>
      </c>
      <c r="PGX1" t="s">
        <v>12916</v>
      </c>
      <c r="PGY1" t="s">
        <v>12917</v>
      </c>
      <c r="PGZ1" t="s">
        <v>12918</v>
      </c>
      <c r="PHA1" t="s">
        <v>12919</v>
      </c>
      <c r="PHB1" t="s">
        <v>12920</v>
      </c>
      <c r="PHC1" t="s">
        <v>12921</v>
      </c>
      <c r="PHD1" t="s">
        <v>12922</v>
      </c>
      <c r="PHE1" t="s">
        <v>12923</v>
      </c>
      <c r="PHF1" t="s">
        <v>12924</v>
      </c>
      <c r="PHG1" t="s">
        <v>12925</v>
      </c>
      <c r="PHH1" t="s">
        <v>12926</v>
      </c>
      <c r="PHI1" t="s">
        <v>12927</v>
      </c>
      <c r="PHJ1" t="s">
        <v>12928</v>
      </c>
      <c r="PHK1" t="s">
        <v>12929</v>
      </c>
      <c r="PHL1" t="s">
        <v>12930</v>
      </c>
      <c r="PHM1" t="s">
        <v>12931</v>
      </c>
      <c r="PHN1" t="s">
        <v>12932</v>
      </c>
      <c r="PHO1" t="s">
        <v>12933</v>
      </c>
      <c r="PHP1" t="s">
        <v>12934</v>
      </c>
      <c r="PHQ1" t="s">
        <v>12935</v>
      </c>
      <c r="PHR1" t="s">
        <v>12936</v>
      </c>
      <c r="PHS1" t="s">
        <v>12937</v>
      </c>
      <c r="PHT1" t="s">
        <v>12938</v>
      </c>
      <c r="PHU1" t="s">
        <v>12939</v>
      </c>
      <c r="PHV1" t="s">
        <v>12940</v>
      </c>
      <c r="PHW1" t="s">
        <v>12941</v>
      </c>
      <c r="PHX1" t="s">
        <v>12942</v>
      </c>
      <c r="PHY1" t="s">
        <v>12943</v>
      </c>
      <c r="PHZ1" t="s">
        <v>12944</v>
      </c>
      <c r="PIA1" t="s">
        <v>12945</v>
      </c>
      <c r="PIB1" t="s">
        <v>12946</v>
      </c>
      <c r="PIC1" t="s">
        <v>12947</v>
      </c>
      <c r="PID1" t="s">
        <v>12948</v>
      </c>
      <c r="PIE1" t="s">
        <v>12949</v>
      </c>
      <c r="PIF1" t="s">
        <v>12950</v>
      </c>
      <c r="PIG1" t="s">
        <v>12951</v>
      </c>
      <c r="PIH1" t="s">
        <v>12952</v>
      </c>
      <c r="PII1" t="s">
        <v>12953</v>
      </c>
      <c r="PIJ1" t="s">
        <v>12954</v>
      </c>
      <c r="PIK1" t="s">
        <v>12955</v>
      </c>
      <c r="PIL1" t="s">
        <v>12956</v>
      </c>
      <c r="PIM1" t="s">
        <v>12957</v>
      </c>
      <c r="PIN1" t="s">
        <v>12958</v>
      </c>
      <c r="PIO1" t="s">
        <v>12959</v>
      </c>
      <c r="PIP1" t="s">
        <v>12960</v>
      </c>
      <c r="PIQ1" t="s">
        <v>12961</v>
      </c>
      <c r="PIR1" t="s">
        <v>12962</v>
      </c>
      <c r="PIS1" t="s">
        <v>12963</v>
      </c>
      <c r="PIT1" t="s">
        <v>12964</v>
      </c>
      <c r="PIU1" t="s">
        <v>12965</v>
      </c>
      <c r="PIV1" t="s">
        <v>12966</v>
      </c>
      <c r="PIW1" t="s">
        <v>12967</v>
      </c>
      <c r="PIX1" t="s">
        <v>12968</v>
      </c>
      <c r="PIY1" t="s">
        <v>12969</v>
      </c>
      <c r="PIZ1" t="s">
        <v>12970</v>
      </c>
      <c r="PJA1" t="s">
        <v>12971</v>
      </c>
      <c r="PJB1" t="s">
        <v>12972</v>
      </c>
      <c r="PJC1" t="s">
        <v>12973</v>
      </c>
      <c r="PJD1" t="s">
        <v>12974</v>
      </c>
      <c r="PJE1" t="s">
        <v>12975</v>
      </c>
      <c r="PJF1" t="s">
        <v>12976</v>
      </c>
      <c r="PJG1" t="s">
        <v>12977</v>
      </c>
      <c r="PJH1" t="s">
        <v>12978</v>
      </c>
      <c r="PJI1" t="s">
        <v>12979</v>
      </c>
      <c r="PJJ1" t="s">
        <v>12980</v>
      </c>
      <c r="PJK1" t="s">
        <v>12981</v>
      </c>
      <c r="PJL1" t="s">
        <v>12982</v>
      </c>
      <c r="PJM1" t="s">
        <v>12983</v>
      </c>
      <c r="PJN1" t="s">
        <v>12984</v>
      </c>
      <c r="PJO1" t="s">
        <v>12985</v>
      </c>
      <c r="PJP1" t="s">
        <v>12986</v>
      </c>
      <c r="PJQ1" t="s">
        <v>12987</v>
      </c>
      <c r="PJR1" t="s">
        <v>12988</v>
      </c>
      <c r="PJS1" t="s">
        <v>12989</v>
      </c>
      <c r="PJT1" t="s">
        <v>12990</v>
      </c>
      <c r="PJU1" t="s">
        <v>12991</v>
      </c>
      <c r="PJV1" t="s">
        <v>12992</v>
      </c>
      <c r="PJW1" t="s">
        <v>12993</v>
      </c>
      <c r="PJX1" t="s">
        <v>12994</v>
      </c>
      <c r="PJY1" t="s">
        <v>12995</v>
      </c>
      <c r="PJZ1" t="s">
        <v>12996</v>
      </c>
      <c r="PKA1" t="s">
        <v>12997</v>
      </c>
      <c r="PKB1" t="s">
        <v>12998</v>
      </c>
      <c r="PKC1" t="s">
        <v>12999</v>
      </c>
      <c r="PKD1" t="s">
        <v>13000</v>
      </c>
      <c r="PKE1" t="s">
        <v>13001</v>
      </c>
      <c r="PKF1" t="s">
        <v>13002</v>
      </c>
      <c r="PKG1" t="s">
        <v>13003</v>
      </c>
      <c r="PKH1" t="s">
        <v>13004</v>
      </c>
      <c r="PKI1" t="s">
        <v>13005</v>
      </c>
      <c r="PKJ1" t="s">
        <v>13006</v>
      </c>
      <c r="PKK1" t="s">
        <v>13007</v>
      </c>
      <c r="PKL1" t="s">
        <v>13008</v>
      </c>
      <c r="PKM1" t="s">
        <v>13009</v>
      </c>
      <c r="PKN1" t="s">
        <v>13010</v>
      </c>
      <c r="PKO1" t="s">
        <v>13011</v>
      </c>
      <c r="PKP1" t="s">
        <v>13012</v>
      </c>
      <c r="PKQ1" t="s">
        <v>13013</v>
      </c>
      <c r="PKR1" t="s">
        <v>13014</v>
      </c>
      <c r="PKS1" t="s">
        <v>13015</v>
      </c>
      <c r="PKT1" t="s">
        <v>13016</v>
      </c>
      <c r="PKU1" t="s">
        <v>13017</v>
      </c>
      <c r="PKV1" t="s">
        <v>13018</v>
      </c>
      <c r="PKW1" t="s">
        <v>13019</v>
      </c>
      <c r="PKX1" t="s">
        <v>13020</v>
      </c>
      <c r="PKY1" t="s">
        <v>13021</v>
      </c>
      <c r="PKZ1" t="s">
        <v>13022</v>
      </c>
      <c r="PLA1" t="s">
        <v>13023</v>
      </c>
      <c r="PLB1" t="s">
        <v>13024</v>
      </c>
      <c r="PLC1" t="s">
        <v>13025</v>
      </c>
      <c r="PLD1" t="s">
        <v>13026</v>
      </c>
      <c r="PLE1" t="s">
        <v>13027</v>
      </c>
      <c r="PLF1" t="s">
        <v>13028</v>
      </c>
      <c r="PLG1" t="s">
        <v>13029</v>
      </c>
      <c r="PLH1" t="s">
        <v>13030</v>
      </c>
      <c r="PLI1" t="s">
        <v>13031</v>
      </c>
      <c r="PLJ1" t="s">
        <v>13032</v>
      </c>
      <c r="PLK1" t="s">
        <v>13033</v>
      </c>
      <c r="PLL1" t="s">
        <v>13034</v>
      </c>
      <c r="PLM1" t="s">
        <v>13035</v>
      </c>
      <c r="PLN1" t="s">
        <v>13036</v>
      </c>
      <c r="PLO1" t="s">
        <v>13037</v>
      </c>
      <c r="PLP1" t="s">
        <v>13038</v>
      </c>
      <c r="PLQ1" t="s">
        <v>13039</v>
      </c>
      <c r="PLR1" t="s">
        <v>13040</v>
      </c>
      <c r="PLS1" t="s">
        <v>13041</v>
      </c>
      <c r="PLT1" t="s">
        <v>13042</v>
      </c>
      <c r="PLU1" t="s">
        <v>13043</v>
      </c>
      <c r="PLV1" t="s">
        <v>13044</v>
      </c>
      <c r="PLW1" t="s">
        <v>13045</v>
      </c>
      <c r="PLX1" t="s">
        <v>13046</v>
      </c>
      <c r="PLY1" t="s">
        <v>13047</v>
      </c>
      <c r="PLZ1" t="s">
        <v>13048</v>
      </c>
      <c r="PMA1" t="s">
        <v>13049</v>
      </c>
      <c r="PMB1" t="s">
        <v>13050</v>
      </c>
      <c r="PMC1" t="s">
        <v>13051</v>
      </c>
      <c r="PMD1" t="s">
        <v>13052</v>
      </c>
      <c r="PME1" t="s">
        <v>13053</v>
      </c>
      <c r="PMF1" t="s">
        <v>13054</v>
      </c>
      <c r="PMG1" t="s">
        <v>13055</v>
      </c>
      <c r="PMH1" t="s">
        <v>13056</v>
      </c>
      <c r="PMI1" t="s">
        <v>13057</v>
      </c>
      <c r="PMJ1" t="s">
        <v>13058</v>
      </c>
      <c r="PMK1" t="s">
        <v>13059</v>
      </c>
      <c r="PML1" t="s">
        <v>13060</v>
      </c>
      <c r="PMM1" t="s">
        <v>13061</v>
      </c>
      <c r="PMN1" t="s">
        <v>13062</v>
      </c>
      <c r="PMO1" t="s">
        <v>13063</v>
      </c>
      <c r="PMP1" t="s">
        <v>13064</v>
      </c>
      <c r="PMQ1" t="s">
        <v>13065</v>
      </c>
      <c r="PMR1" t="s">
        <v>13066</v>
      </c>
      <c r="PMS1" t="s">
        <v>13067</v>
      </c>
      <c r="PMT1" t="s">
        <v>13068</v>
      </c>
      <c r="PMU1" t="s">
        <v>13069</v>
      </c>
      <c r="PMV1" t="s">
        <v>13070</v>
      </c>
      <c r="PMW1" t="s">
        <v>13071</v>
      </c>
      <c r="PMX1" t="s">
        <v>13072</v>
      </c>
      <c r="PMY1" t="s">
        <v>13073</v>
      </c>
      <c r="PMZ1" t="s">
        <v>13074</v>
      </c>
      <c r="PNA1" t="s">
        <v>13075</v>
      </c>
      <c r="PNB1" t="s">
        <v>13076</v>
      </c>
      <c r="PNC1" t="s">
        <v>13077</v>
      </c>
      <c r="PND1" t="s">
        <v>13078</v>
      </c>
      <c r="PNE1" t="s">
        <v>13079</v>
      </c>
      <c r="PNF1" t="s">
        <v>13080</v>
      </c>
      <c r="PNG1" t="s">
        <v>13081</v>
      </c>
      <c r="PNH1" t="s">
        <v>13082</v>
      </c>
      <c r="PNI1" t="s">
        <v>13083</v>
      </c>
      <c r="PNJ1" t="s">
        <v>13084</v>
      </c>
      <c r="PNK1" t="s">
        <v>13085</v>
      </c>
      <c r="PNL1" t="s">
        <v>13086</v>
      </c>
      <c r="PNM1" t="s">
        <v>13087</v>
      </c>
      <c r="PNN1" t="s">
        <v>13088</v>
      </c>
      <c r="PNO1" t="s">
        <v>13089</v>
      </c>
      <c r="PNP1" t="s">
        <v>13090</v>
      </c>
      <c r="PNQ1" t="s">
        <v>13091</v>
      </c>
      <c r="PNR1" t="s">
        <v>13092</v>
      </c>
      <c r="PNS1" t="s">
        <v>13093</v>
      </c>
      <c r="PNT1" t="s">
        <v>13094</v>
      </c>
      <c r="PNU1" t="s">
        <v>13095</v>
      </c>
      <c r="PNV1" t="s">
        <v>13096</v>
      </c>
      <c r="PNW1" t="s">
        <v>13097</v>
      </c>
      <c r="PNX1" t="s">
        <v>13098</v>
      </c>
      <c r="PNY1" t="s">
        <v>13099</v>
      </c>
      <c r="PNZ1" t="s">
        <v>13100</v>
      </c>
      <c r="POA1" t="s">
        <v>13101</v>
      </c>
      <c r="POB1" t="s">
        <v>13102</v>
      </c>
      <c r="POC1" t="s">
        <v>13103</v>
      </c>
      <c r="POD1" t="s">
        <v>13104</v>
      </c>
      <c r="POE1" t="s">
        <v>13105</v>
      </c>
      <c r="POF1" t="s">
        <v>13106</v>
      </c>
      <c r="POG1" t="s">
        <v>13107</v>
      </c>
      <c r="POH1" t="s">
        <v>13108</v>
      </c>
      <c r="POI1" t="s">
        <v>13109</v>
      </c>
      <c r="POJ1" t="s">
        <v>13110</v>
      </c>
      <c r="POK1" t="s">
        <v>13111</v>
      </c>
      <c r="POL1" t="s">
        <v>13112</v>
      </c>
      <c r="POM1" t="s">
        <v>13113</v>
      </c>
      <c r="PON1" t="s">
        <v>13114</v>
      </c>
      <c r="POO1" t="s">
        <v>13115</v>
      </c>
      <c r="POP1" t="s">
        <v>13116</v>
      </c>
      <c r="POQ1" t="s">
        <v>13117</v>
      </c>
      <c r="POR1" t="s">
        <v>13118</v>
      </c>
      <c r="POS1" t="s">
        <v>13119</v>
      </c>
      <c r="POT1" t="s">
        <v>13120</v>
      </c>
      <c r="POU1" t="s">
        <v>13121</v>
      </c>
      <c r="POV1" t="s">
        <v>13122</v>
      </c>
      <c r="POW1" t="s">
        <v>13123</v>
      </c>
      <c r="POX1" t="s">
        <v>13124</v>
      </c>
      <c r="POY1" t="s">
        <v>13125</v>
      </c>
      <c r="POZ1" t="s">
        <v>13126</v>
      </c>
      <c r="PPA1" t="s">
        <v>13127</v>
      </c>
      <c r="PPB1" t="s">
        <v>13128</v>
      </c>
      <c r="PPC1" t="s">
        <v>13129</v>
      </c>
      <c r="PPD1" t="s">
        <v>13130</v>
      </c>
      <c r="PPE1" t="s">
        <v>13131</v>
      </c>
      <c r="PPF1" t="s">
        <v>13132</v>
      </c>
      <c r="PPG1" t="s">
        <v>13133</v>
      </c>
      <c r="PPH1" t="s">
        <v>13134</v>
      </c>
      <c r="PPI1" t="s">
        <v>13135</v>
      </c>
      <c r="PPJ1" t="s">
        <v>13136</v>
      </c>
      <c r="PPK1" t="s">
        <v>13137</v>
      </c>
      <c r="PPL1" t="s">
        <v>13138</v>
      </c>
      <c r="PPM1" t="s">
        <v>13139</v>
      </c>
      <c r="PPN1" t="s">
        <v>13140</v>
      </c>
      <c r="PPO1" t="s">
        <v>13141</v>
      </c>
      <c r="PPP1" t="s">
        <v>13142</v>
      </c>
      <c r="PPQ1" t="s">
        <v>13143</v>
      </c>
      <c r="PPR1" t="s">
        <v>13144</v>
      </c>
      <c r="PPS1" t="s">
        <v>13145</v>
      </c>
      <c r="PPT1" t="s">
        <v>13146</v>
      </c>
      <c r="PPU1" t="s">
        <v>13147</v>
      </c>
      <c r="PPV1" t="s">
        <v>13148</v>
      </c>
      <c r="PPW1" t="s">
        <v>13149</v>
      </c>
      <c r="PPX1" t="s">
        <v>13150</v>
      </c>
      <c r="PPY1" t="s">
        <v>13151</v>
      </c>
      <c r="PPZ1" t="s">
        <v>13152</v>
      </c>
      <c r="PQA1" t="s">
        <v>13153</v>
      </c>
      <c r="PQB1" t="s">
        <v>13154</v>
      </c>
      <c r="PQC1" t="s">
        <v>13155</v>
      </c>
      <c r="PQD1" t="s">
        <v>13156</v>
      </c>
      <c r="PQE1" t="s">
        <v>13157</v>
      </c>
      <c r="PQF1" t="s">
        <v>13158</v>
      </c>
      <c r="PQG1" t="s">
        <v>13159</v>
      </c>
      <c r="PQH1" t="s">
        <v>13160</v>
      </c>
      <c r="PQI1" t="s">
        <v>13161</v>
      </c>
      <c r="PQJ1" t="s">
        <v>13162</v>
      </c>
      <c r="PQK1" t="s">
        <v>13163</v>
      </c>
      <c r="PQL1" t="s">
        <v>13164</v>
      </c>
      <c r="PQM1" t="s">
        <v>13165</v>
      </c>
      <c r="PQN1" t="s">
        <v>13166</v>
      </c>
      <c r="PQO1" t="s">
        <v>13167</v>
      </c>
      <c r="PQP1" t="s">
        <v>13168</v>
      </c>
      <c r="PQQ1" t="s">
        <v>13169</v>
      </c>
      <c r="PQR1" t="s">
        <v>13170</v>
      </c>
      <c r="PQS1" t="s">
        <v>13171</v>
      </c>
      <c r="PQT1" t="s">
        <v>13172</v>
      </c>
      <c r="PQU1" t="s">
        <v>13173</v>
      </c>
      <c r="PQV1" t="s">
        <v>13174</v>
      </c>
      <c r="PQW1" t="s">
        <v>13175</v>
      </c>
      <c r="PQX1" t="s">
        <v>13176</v>
      </c>
      <c r="PQY1" t="s">
        <v>13177</v>
      </c>
      <c r="PQZ1" t="s">
        <v>13178</v>
      </c>
      <c r="PRA1" t="s">
        <v>13179</v>
      </c>
      <c r="PRB1" t="s">
        <v>13180</v>
      </c>
      <c r="PRC1" t="s">
        <v>13181</v>
      </c>
      <c r="PRD1" t="s">
        <v>13182</v>
      </c>
      <c r="PRE1" t="s">
        <v>13183</v>
      </c>
      <c r="PRF1" t="s">
        <v>13184</v>
      </c>
      <c r="PRG1" t="s">
        <v>13185</v>
      </c>
      <c r="PRH1" t="s">
        <v>13186</v>
      </c>
      <c r="PRI1" t="s">
        <v>13187</v>
      </c>
      <c r="PRJ1" t="s">
        <v>13188</v>
      </c>
      <c r="PRK1" t="s">
        <v>13189</v>
      </c>
      <c r="PRL1" t="s">
        <v>13190</v>
      </c>
      <c r="PRM1" t="s">
        <v>13191</v>
      </c>
      <c r="PRN1" t="s">
        <v>13192</v>
      </c>
      <c r="PRO1" t="s">
        <v>13193</v>
      </c>
      <c r="PRP1" t="s">
        <v>13194</v>
      </c>
      <c r="PRQ1" t="s">
        <v>13195</v>
      </c>
      <c r="PRR1" t="s">
        <v>13196</v>
      </c>
      <c r="PRS1" t="s">
        <v>13197</v>
      </c>
      <c r="PRT1" t="s">
        <v>13198</v>
      </c>
      <c r="PRU1" t="s">
        <v>13199</v>
      </c>
      <c r="PRV1" t="s">
        <v>13200</v>
      </c>
      <c r="PRW1" t="s">
        <v>13201</v>
      </c>
      <c r="PRX1" t="s">
        <v>13202</v>
      </c>
      <c r="PRY1" t="s">
        <v>13203</v>
      </c>
      <c r="PRZ1" t="s">
        <v>13204</v>
      </c>
      <c r="PSA1" t="s">
        <v>13205</v>
      </c>
      <c r="PSB1" t="s">
        <v>13206</v>
      </c>
      <c r="PSC1" t="s">
        <v>13207</v>
      </c>
      <c r="PSD1" t="s">
        <v>13208</v>
      </c>
      <c r="PSE1" t="s">
        <v>13209</v>
      </c>
      <c r="PSF1" t="s">
        <v>13210</v>
      </c>
      <c r="PSG1" t="s">
        <v>13211</v>
      </c>
      <c r="PSH1" t="s">
        <v>13212</v>
      </c>
      <c r="PSI1" t="s">
        <v>13213</v>
      </c>
      <c r="PSJ1" t="s">
        <v>13214</v>
      </c>
      <c r="PSK1" t="s">
        <v>13215</v>
      </c>
      <c r="PSL1" t="s">
        <v>13216</v>
      </c>
      <c r="PSM1" t="s">
        <v>13217</v>
      </c>
      <c r="PSN1" t="s">
        <v>13218</v>
      </c>
      <c r="PSO1" t="s">
        <v>13219</v>
      </c>
      <c r="PSP1" t="s">
        <v>13220</v>
      </c>
      <c r="PSQ1" t="s">
        <v>13221</v>
      </c>
      <c r="PSR1" t="s">
        <v>13222</v>
      </c>
      <c r="PSS1" t="s">
        <v>13223</v>
      </c>
      <c r="PST1" t="s">
        <v>13224</v>
      </c>
      <c r="PSU1" t="s">
        <v>13225</v>
      </c>
      <c r="PSV1" t="s">
        <v>13226</v>
      </c>
      <c r="PSW1" t="s">
        <v>13227</v>
      </c>
      <c r="PSX1" t="s">
        <v>13228</v>
      </c>
      <c r="PSY1" t="s">
        <v>13229</v>
      </c>
      <c r="PSZ1" t="s">
        <v>13230</v>
      </c>
      <c r="PTA1" t="s">
        <v>13231</v>
      </c>
      <c r="PTB1" t="s">
        <v>13232</v>
      </c>
      <c r="PTC1" t="s">
        <v>13233</v>
      </c>
      <c r="PTD1" t="s">
        <v>13234</v>
      </c>
      <c r="PTE1" t="s">
        <v>13235</v>
      </c>
      <c r="PTF1" t="s">
        <v>13236</v>
      </c>
      <c r="PTG1" t="s">
        <v>13237</v>
      </c>
      <c r="PTH1" t="s">
        <v>13238</v>
      </c>
      <c r="PTI1" t="s">
        <v>13239</v>
      </c>
      <c r="PTJ1" t="s">
        <v>13240</v>
      </c>
      <c r="PTK1" t="s">
        <v>13241</v>
      </c>
      <c r="PTL1" t="s">
        <v>13242</v>
      </c>
      <c r="PTM1" t="s">
        <v>13243</v>
      </c>
      <c r="PTN1" t="s">
        <v>13244</v>
      </c>
      <c r="PTO1" t="s">
        <v>13245</v>
      </c>
      <c r="PTP1" t="s">
        <v>13246</v>
      </c>
      <c r="PTQ1" t="s">
        <v>13247</v>
      </c>
      <c r="PTR1" t="s">
        <v>13248</v>
      </c>
      <c r="PTS1" t="s">
        <v>13249</v>
      </c>
      <c r="PTT1" t="s">
        <v>13250</v>
      </c>
      <c r="PTU1" t="s">
        <v>13251</v>
      </c>
      <c r="PTV1" t="s">
        <v>13252</v>
      </c>
      <c r="PTW1" t="s">
        <v>13253</v>
      </c>
      <c r="PTX1" t="s">
        <v>13254</v>
      </c>
      <c r="PTY1" t="s">
        <v>13255</v>
      </c>
      <c r="PTZ1" t="s">
        <v>13256</v>
      </c>
      <c r="PUA1" t="s">
        <v>13257</v>
      </c>
      <c r="PUB1" t="s">
        <v>13258</v>
      </c>
      <c r="PUC1" t="s">
        <v>13259</v>
      </c>
      <c r="PUD1" t="s">
        <v>13260</v>
      </c>
      <c r="PUE1" t="s">
        <v>13261</v>
      </c>
      <c r="PUF1" t="s">
        <v>13262</v>
      </c>
      <c r="PUG1" t="s">
        <v>13263</v>
      </c>
      <c r="PUH1" t="s">
        <v>13264</v>
      </c>
      <c r="PUI1" t="s">
        <v>13265</v>
      </c>
      <c r="PUJ1" t="s">
        <v>13266</v>
      </c>
      <c r="PUK1" t="s">
        <v>13267</v>
      </c>
      <c r="PUL1" t="s">
        <v>13268</v>
      </c>
      <c r="PUM1" t="s">
        <v>13269</v>
      </c>
      <c r="PUN1" t="s">
        <v>13270</v>
      </c>
      <c r="PUO1" t="s">
        <v>13271</v>
      </c>
      <c r="PUP1" t="s">
        <v>13272</v>
      </c>
      <c r="PUQ1" t="s">
        <v>13273</v>
      </c>
      <c r="PUR1" t="s">
        <v>13274</v>
      </c>
      <c r="PUS1" t="s">
        <v>13275</v>
      </c>
      <c r="PUT1" t="s">
        <v>13276</v>
      </c>
      <c r="PUU1" t="s">
        <v>13277</v>
      </c>
      <c r="PUV1" t="s">
        <v>13278</v>
      </c>
      <c r="PUW1" t="s">
        <v>13279</v>
      </c>
      <c r="PUX1" t="s">
        <v>13280</v>
      </c>
      <c r="PUY1" t="s">
        <v>13281</v>
      </c>
      <c r="PUZ1" t="s">
        <v>13282</v>
      </c>
      <c r="PVA1" t="s">
        <v>13283</v>
      </c>
      <c r="PVB1" t="s">
        <v>13284</v>
      </c>
      <c r="PVC1" t="s">
        <v>13285</v>
      </c>
      <c r="PVD1" t="s">
        <v>13286</v>
      </c>
      <c r="PVE1" t="s">
        <v>13287</v>
      </c>
      <c r="PVF1" t="s">
        <v>13288</v>
      </c>
      <c r="PVG1" t="s">
        <v>13289</v>
      </c>
      <c r="PVH1" t="s">
        <v>13290</v>
      </c>
      <c r="PVI1" t="s">
        <v>13291</v>
      </c>
      <c r="PVJ1" t="s">
        <v>13292</v>
      </c>
      <c r="PVK1" t="s">
        <v>13293</v>
      </c>
      <c r="PVL1" t="s">
        <v>13294</v>
      </c>
      <c r="PVM1" t="s">
        <v>13295</v>
      </c>
      <c r="PVN1" t="s">
        <v>13296</v>
      </c>
      <c r="PVO1" t="s">
        <v>13297</v>
      </c>
      <c r="PVP1" t="s">
        <v>13298</v>
      </c>
      <c r="PVQ1" t="s">
        <v>13299</v>
      </c>
      <c r="PVR1" t="s">
        <v>13300</v>
      </c>
      <c r="PVS1" t="s">
        <v>13301</v>
      </c>
      <c r="PVT1" t="s">
        <v>13302</v>
      </c>
      <c r="PVU1" t="s">
        <v>13303</v>
      </c>
      <c r="PVV1" t="s">
        <v>13304</v>
      </c>
      <c r="PVW1" t="s">
        <v>13305</v>
      </c>
      <c r="PVX1" t="s">
        <v>13306</v>
      </c>
      <c r="PVY1" t="s">
        <v>13307</v>
      </c>
      <c r="PVZ1" t="s">
        <v>13308</v>
      </c>
      <c r="PWA1" t="s">
        <v>13309</v>
      </c>
      <c r="PWB1" t="s">
        <v>13310</v>
      </c>
      <c r="PWC1" t="s">
        <v>13311</v>
      </c>
      <c r="PWD1" t="s">
        <v>13312</v>
      </c>
      <c r="PWE1" t="s">
        <v>13313</v>
      </c>
      <c r="PWF1" t="s">
        <v>13314</v>
      </c>
      <c r="PWG1" t="s">
        <v>13315</v>
      </c>
      <c r="PWH1" t="s">
        <v>13316</v>
      </c>
      <c r="PWI1" t="s">
        <v>13317</v>
      </c>
      <c r="PWJ1" t="s">
        <v>13318</v>
      </c>
      <c r="PWK1" t="s">
        <v>13319</v>
      </c>
      <c r="PWL1" t="s">
        <v>13320</v>
      </c>
      <c r="PWM1" t="s">
        <v>13321</v>
      </c>
      <c r="PWN1" t="s">
        <v>13322</v>
      </c>
      <c r="PWO1" t="s">
        <v>13323</v>
      </c>
      <c r="PWP1" t="s">
        <v>13324</v>
      </c>
      <c r="PWQ1" t="s">
        <v>13325</v>
      </c>
      <c r="PWR1" t="s">
        <v>13326</v>
      </c>
      <c r="PWS1" t="s">
        <v>13327</v>
      </c>
      <c r="PWT1" t="s">
        <v>13328</v>
      </c>
      <c r="PWU1" t="s">
        <v>13329</v>
      </c>
      <c r="PWV1" t="s">
        <v>13330</v>
      </c>
      <c r="PWW1" t="s">
        <v>13331</v>
      </c>
      <c r="PWX1" t="s">
        <v>13332</v>
      </c>
      <c r="PWY1" t="s">
        <v>13333</v>
      </c>
      <c r="PWZ1" t="s">
        <v>13334</v>
      </c>
      <c r="PXA1" t="s">
        <v>13335</v>
      </c>
      <c r="PXB1" t="s">
        <v>13336</v>
      </c>
      <c r="PXC1" t="s">
        <v>13337</v>
      </c>
      <c r="PXD1" t="s">
        <v>13338</v>
      </c>
      <c r="PXE1" t="s">
        <v>13339</v>
      </c>
      <c r="PXF1" t="s">
        <v>13340</v>
      </c>
      <c r="PXG1" t="s">
        <v>13341</v>
      </c>
      <c r="PXH1" t="s">
        <v>13342</v>
      </c>
      <c r="PXI1" t="s">
        <v>13343</v>
      </c>
      <c r="PXJ1" t="s">
        <v>13344</v>
      </c>
      <c r="PXK1" t="s">
        <v>13345</v>
      </c>
      <c r="PXL1" t="s">
        <v>13346</v>
      </c>
      <c r="PXM1" t="s">
        <v>13347</v>
      </c>
      <c r="PXN1" t="s">
        <v>13348</v>
      </c>
      <c r="PXO1" t="s">
        <v>13349</v>
      </c>
      <c r="PXP1" t="s">
        <v>13350</v>
      </c>
      <c r="PXQ1" t="s">
        <v>13351</v>
      </c>
      <c r="PXR1" t="s">
        <v>13352</v>
      </c>
      <c r="PXS1" t="s">
        <v>13353</v>
      </c>
      <c r="PXT1" t="s">
        <v>13354</v>
      </c>
      <c r="PXU1" t="s">
        <v>13355</v>
      </c>
      <c r="PXV1" t="s">
        <v>13356</v>
      </c>
      <c r="PXW1" t="s">
        <v>13357</v>
      </c>
      <c r="PXX1" t="s">
        <v>13358</v>
      </c>
      <c r="PXY1" t="s">
        <v>13359</v>
      </c>
      <c r="PXZ1" t="s">
        <v>13360</v>
      </c>
      <c r="PYA1" t="s">
        <v>13361</v>
      </c>
      <c r="PYB1" t="s">
        <v>13362</v>
      </c>
      <c r="PYC1" t="s">
        <v>13363</v>
      </c>
      <c r="PYD1" t="s">
        <v>13364</v>
      </c>
      <c r="PYE1" t="s">
        <v>13365</v>
      </c>
      <c r="PYF1" t="s">
        <v>13366</v>
      </c>
      <c r="PYG1" t="s">
        <v>13367</v>
      </c>
      <c r="PYH1" t="s">
        <v>13368</v>
      </c>
      <c r="PYI1" t="s">
        <v>13369</v>
      </c>
      <c r="PYJ1" t="s">
        <v>13370</v>
      </c>
      <c r="PYK1" t="s">
        <v>13371</v>
      </c>
      <c r="PYL1" t="s">
        <v>13372</v>
      </c>
      <c r="PYM1" t="s">
        <v>13373</v>
      </c>
      <c r="PYN1" t="s">
        <v>13374</v>
      </c>
      <c r="PYO1" t="s">
        <v>13375</v>
      </c>
      <c r="PYP1" t="s">
        <v>13376</v>
      </c>
      <c r="PYQ1" t="s">
        <v>13377</v>
      </c>
      <c r="PYR1" t="s">
        <v>13378</v>
      </c>
      <c r="PYS1" t="s">
        <v>13379</v>
      </c>
      <c r="PYT1" t="s">
        <v>13380</v>
      </c>
      <c r="PYU1" t="s">
        <v>13381</v>
      </c>
      <c r="PYV1" t="s">
        <v>13382</v>
      </c>
      <c r="PYW1" t="s">
        <v>13383</v>
      </c>
      <c r="PYX1" t="s">
        <v>13384</v>
      </c>
      <c r="PYY1" t="s">
        <v>13385</v>
      </c>
      <c r="PYZ1" t="s">
        <v>13386</v>
      </c>
      <c r="PZA1" t="s">
        <v>13387</v>
      </c>
      <c r="PZB1" t="s">
        <v>13388</v>
      </c>
      <c r="PZC1" t="s">
        <v>13389</v>
      </c>
      <c r="PZD1" t="s">
        <v>13390</v>
      </c>
      <c r="PZE1" t="s">
        <v>13391</v>
      </c>
      <c r="PZF1" t="s">
        <v>13392</v>
      </c>
      <c r="PZG1" t="s">
        <v>13393</v>
      </c>
      <c r="PZH1" t="s">
        <v>13394</v>
      </c>
      <c r="PZI1" t="s">
        <v>13395</v>
      </c>
      <c r="PZJ1" t="s">
        <v>13396</v>
      </c>
      <c r="PZK1" t="s">
        <v>13397</v>
      </c>
      <c r="PZL1" t="s">
        <v>13398</v>
      </c>
      <c r="PZM1" t="s">
        <v>13399</v>
      </c>
      <c r="PZN1" t="s">
        <v>13400</v>
      </c>
      <c r="PZO1" t="s">
        <v>13401</v>
      </c>
      <c r="PZP1" t="s">
        <v>13402</v>
      </c>
      <c r="PZQ1" t="s">
        <v>13403</v>
      </c>
      <c r="PZR1" t="s">
        <v>13404</v>
      </c>
      <c r="PZS1" t="s">
        <v>13405</v>
      </c>
      <c r="PZT1" t="s">
        <v>13406</v>
      </c>
      <c r="PZU1" t="s">
        <v>13407</v>
      </c>
      <c r="PZV1" t="s">
        <v>13408</v>
      </c>
      <c r="PZW1" t="s">
        <v>13409</v>
      </c>
      <c r="PZX1" t="s">
        <v>13410</v>
      </c>
      <c r="PZY1" t="s">
        <v>13411</v>
      </c>
      <c r="PZZ1" t="s">
        <v>13412</v>
      </c>
      <c r="QAA1" t="s">
        <v>13413</v>
      </c>
      <c r="QAB1" t="s">
        <v>13414</v>
      </c>
      <c r="QAC1" t="s">
        <v>13415</v>
      </c>
      <c r="QAD1" t="s">
        <v>13416</v>
      </c>
      <c r="QAE1" t="s">
        <v>13417</v>
      </c>
      <c r="QAF1" t="s">
        <v>13418</v>
      </c>
      <c r="QAG1" t="s">
        <v>13419</v>
      </c>
      <c r="QAH1" t="s">
        <v>13420</v>
      </c>
      <c r="QAI1" t="s">
        <v>13421</v>
      </c>
      <c r="QAJ1" t="s">
        <v>13422</v>
      </c>
      <c r="QAK1" t="s">
        <v>13423</v>
      </c>
      <c r="QAL1" t="s">
        <v>13424</v>
      </c>
      <c r="QAM1" t="s">
        <v>13425</v>
      </c>
      <c r="QAN1" t="s">
        <v>13426</v>
      </c>
      <c r="QAO1" t="s">
        <v>13427</v>
      </c>
      <c r="QAP1" t="s">
        <v>13428</v>
      </c>
      <c r="QAQ1" t="s">
        <v>13429</v>
      </c>
      <c r="QAR1" t="s">
        <v>13430</v>
      </c>
      <c r="QAS1" t="s">
        <v>13431</v>
      </c>
      <c r="QAT1" t="s">
        <v>13432</v>
      </c>
      <c r="QAU1" t="s">
        <v>13433</v>
      </c>
      <c r="QAV1" t="s">
        <v>13434</v>
      </c>
      <c r="QAW1" t="s">
        <v>13435</v>
      </c>
      <c r="QAX1" t="s">
        <v>13436</v>
      </c>
      <c r="QAY1" t="s">
        <v>13437</v>
      </c>
      <c r="QAZ1" t="s">
        <v>13438</v>
      </c>
      <c r="QBA1" t="s">
        <v>13439</v>
      </c>
      <c r="QBB1" t="s">
        <v>13440</v>
      </c>
      <c r="QBC1" t="s">
        <v>13441</v>
      </c>
      <c r="QBD1" t="s">
        <v>13442</v>
      </c>
      <c r="QBE1" t="s">
        <v>13443</v>
      </c>
      <c r="QBF1" t="s">
        <v>13444</v>
      </c>
      <c r="QBG1" t="s">
        <v>13445</v>
      </c>
      <c r="QBH1" t="s">
        <v>13446</v>
      </c>
      <c r="QBI1" t="s">
        <v>13447</v>
      </c>
      <c r="QBJ1" t="s">
        <v>13448</v>
      </c>
      <c r="QBK1" t="s">
        <v>13449</v>
      </c>
      <c r="QBL1" t="s">
        <v>13450</v>
      </c>
      <c r="QBM1" t="s">
        <v>13451</v>
      </c>
      <c r="QBN1" t="s">
        <v>13452</v>
      </c>
      <c r="QBO1" t="s">
        <v>13453</v>
      </c>
      <c r="QBP1" t="s">
        <v>13454</v>
      </c>
      <c r="QBQ1" t="s">
        <v>13455</v>
      </c>
      <c r="QBR1" t="s">
        <v>13456</v>
      </c>
      <c r="QBS1" t="s">
        <v>13457</v>
      </c>
      <c r="QBT1" t="s">
        <v>13458</v>
      </c>
      <c r="QBU1" t="s">
        <v>13459</v>
      </c>
      <c r="QBV1" t="s">
        <v>13460</v>
      </c>
      <c r="QBW1" t="s">
        <v>13461</v>
      </c>
      <c r="QBX1" t="s">
        <v>13462</v>
      </c>
      <c r="QBY1" t="s">
        <v>13463</v>
      </c>
      <c r="QBZ1" t="s">
        <v>13464</v>
      </c>
      <c r="QCA1" t="s">
        <v>13465</v>
      </c>
      <c r="QCB1" t="s">
        <v>13466</v>
      </c>
      <c r="QCC1" t="s">
        <v>13467</v>
      </c>
      <c r="QCD1" t="s">
        <v>13468</v>
      </c>
      <c r="QCE1" t="s">
        <v>13469</v>
      </c>
      <c r="QCF1" t="s">
        <v>13470</v>
      </c>
      <c r="QCG1" t="s">
        <v>13471</v>
      </c>
      <c r="QCH1" t="s">
        <v>13472</v>
      </c>
      <c r="QCI1" t="s">
        <v>13473</v>
      </c>
      <c r="QCJ1" t="s">
        <v>13474</v>
      </c>
      <c r="QCK1" t="s">
        <v>13475</v>
      </c>
      <c r="QCL1" t="s">
        <v>13476</v>
      </c>
      <c r="QCM1" t="s">
        <v>13477</v>
      </c>
      <c r="QCN1" t="s">
        <v>13478</v>
      </c>
      <c r="QCO1" t="s">
        <v>13479</v>
      </c>
      <c r="QCP1" t="s">
        <v>13480</v>
      </c>
      <c r="QCQ1" t="s">
        <v>13481</v>
      </c>
      <c r="QCR1" t="s">
        <v>13482</v>
      </c>
      <c r="QCS1" t="s">
        <v>13483</v>
      </c>
      <c r="QCT1" t="s">
        <v>13484</v>
      </c>
      <c r="QCU1" t="s">
        <v>13485</v>
      </c>
      <c r="QCV1" t="s">
        <v>13486</v>
      </c>
      <c r="QCW1" t="s">
        <v>13487</v>
      </c>
      <c r="QCX1" t="s">
        <v>13488</v>
      </c>
      <c r="QCY1" t="s">
        <v>13489</v>
      </c>
      <c r="QCZ1" t="s">
        <v>13490</v>
      </c>
      <c r="QDA1" t="s">
        <v>13491</v>
      </c>
      <c r="QDB1" t="s">
        <v>13492</v>
      </c>
      <c r="QDC1" t="s">
        <v>13493</v>
      </c>
      <c r="QDD1" t="s">
        <v>13494</v>
      </c>
      <c r="QDE1" t="s">
        <v>13495</v>
      </c>
      <c r="QDF1" t="s">
        <v>13496</v>
      </c>
      <c r="QDG1" t="s">
        <v>13497</v>
      </c>
      <c r="QDH1" t="s">
        <v>13498</v>
      </c>
      <c r="QDI1" t="s">
        <v>13499</v>
      </c>
      <c r="QDJ1" t="s">
        <v>13500</v>
      </c>
      <c r="QDK1" t="s">
        <v>13501</v>
      </c>
      <c r="QDL1" t="s">
        <v>13502</v>
      </c>
      <c r="QDM1" t="s">
        <v>13503</v>
      </c>
      <c r="QDN1" t="s">
        <v>13504</v>
      </c>
      <c r="QDO1" t="s">
        <v>13505</v>
      </c>
      <c r="QDP1" t="s">
        <v>13506</v>
      </c>
      <c r="QDQ1" t="s">
        <v>13507</v>
      </c>
      <c r="QDR1" t="s">
        <v>13508</v>
      </c>
      <c r="QDS1" t="s">
        <v>13509</v>
      </c>
      <c r="QDT1" t="s">
        <v>13510</v>
      </c>
      <c r="QDU1" t="s">
        <v>13511</v>
      </c>
      <c r="QDV1" t="s">
        <v>13512</v>
      </c>
      <c r="QDW1" t="s">
        <v>13513</v>
      </c>
      <c r="QDX1" t="s">
        <v>13514</v>
      </c>
      <c r="QDY1" t="s">
        <v>13515</v>
      </c>
      <c r="QDZ1" t="s">
        <v>13516</v>
      </c>
      <c r="QEA1" t="s">
        <v>13517</v>
      </c>
      <c r="QEB1" t="s">
        <v>13518</v>
      </c>
      <c r="QEC1" t="s">
        <v>13519</v>
      </c>
      <c r="QED1" t="s">
        <v>13520</v>
      </c>
      <c r="QEE1" t="s">
        <v>13521</v>
      </c>
      <c r="QEF1" t="s">
        <v>13522</v>
      </c>
      <c r="QEG1" t="s">
        <v>13523</v>
      </c>
      <c r="QEH1" t="s">
        <v>13524</v>
      </c>
      <c r="QEI1" t="s">
        <v>13525</v>
      </c>
      <c r="QEJ1" t="s">
        <v>13526</v>
      </c>
      <c r="QEK1" t="s">
        <v>13527</v>
      </c>
      <c r="QEL1" t="s">
        <v>13528</v>
      </c>
      <c r="QEM1" t="s">
        <v>13529</v>
      </c>
      <c r="QEN1" t="s">
        <v>13530</v>
      </c>
      <c r="QEO1" t="s">
        <v>13531</v>
      </c>
      <c r="QEP1" t="s">
        <v>13532</v>
      </c>
      <c r="QEQ1" t="s">
        <v>13533</v>
      </c>
      <c r="QER1" t="s">
        <v>13534</v>
      </c>
      <c r="QES1" t="s">
        <v>13535</v>
      </c>
      <c r="QET1" t="s">
        <v>13536</v>
      </c>
      <c r="QEU1" t="s">
        <v>13537</v>
      </c>
      <c r="QEV1" t="s">
        <v>13538</v>
      </c>
      <c r="QEW1" t="s">
        <v>13539</v>
      </c>
      <c r="QEX1" t="s">
        <v>13540</v>
      </c>
      <c r="QEY1" t="s">
        <v>13541</v>
      </c>
      <c r="QEZ1" t="s">
        <v>13542</v>
      </c>
      <c r="QFA1" t="s">
        <v>13543</v>
      </c>
      <c r="QFB1" t="s">
        <v>13544</v>
      </c>
      <c r="QFC1" t="s">
        <v>13545</v>
      </c>
      <c r="QFD1" t="s">
        <v>13546</v>
      </c>
      <c r="QFE1" t="s">
        <v>13547</v>
      </c>
      <c r="QFF1" t="s">
        <v>13548</v>
      </c>
      <c r="QFG1" t="s">
        <v>13549</v>
      </c>
      <c r="QFH1" t="s">
        <v>13550</v>
      </c>
      <c r="QFI1" t="s">
        <v>13551</v>
      </c>
      <c r="QFJ1" t="s">
        <v>13552</v>
      </c>
      <c r="QFK1" t="s">
        <v>13553</v>
      </c>
      <c r="QFL1" t="s">
        <v>13554</v>
      </c>
      <c r="QFM1" t="s">
        <v>13555</v>
      </c>
      <c r="QFN1" t="s">
        <v>13556</v>
      </c>
      <c r="QFO1" t="s">
        <v>13557</v>
      </c>
      <c r="QFP1" t="s">
        <v>13558</v>
      </c>
      <c r="QFQ1" t="s">
        <v>13559</v>
      </c>
      <c r="QFR1" t="s">
        <v>13560</v>
      </c>
      <c r="QFS1" t="s">
        <v>13561</v>
      </c>
      <c r="QFT1" t="s">
        <v>13562</v>
      </c>
      <c r="QFU1" t="s">
        <v>13563</v>
      </c>
      <c r="QFV1" t="s">
        <v>13564</v>
      </c>
      <c r="QFW1" t="s">
        <v>13565</v>
      </c>
      <c r="QFX1" t="s">
        <v>13566</v>
      </c>
      <c r="QFY1" t="s">
        <v>13567</v>
      </c>
      <c r="QFZ1" t="s">
        <v>13568</v>
      </c>
      <c r="QGA1" t="s">
        <v>13569</v>
      </c>
      <c r="QGB1" t="s">
        <v>13570</v>
      </c>
      <c r="QGC1" t="s">
        <v>13571</v>
      </c>
      <c r="QGD1" t="s">
        <v>13572</v>
      </c>
      <c r="QGE1" t="s">
        <v>13573</v>
      </c>
      <c r="QGF1" t="s">
        <v>13574</v>
      </c>
      <c r="QGG1" t="s">
        <v>13575</v>
      </c>
      <c r="QGH1" t="s">
        <v>13576</v>
      </c>
      <c r="QGI1" t="s">
        <v>13577</v>
      </c>
      <c r="QGJ1" t="s">
        <v>13578</v>
      </c>
      <c r="QGK1" t="s">
        <v>13579</v>
      </c>
      <c r="QGL1" t="s">
        <v>13580</v>
      </c>
      <c r="QGM1" t="s">
        <v>13581</v>
      </c>
      <c r="QGN1" t="s">
        <v>13582</v>
      </c>
      <c r="QGO1" t="s">
        <v>13583</v>
      </c>
      <c r="QGP1" t="s">
        <v>13584</v>
      </c>
      <c r="QGQ1" t="s">
        <v>13585</v>
      </c>
      <c r="QGR1" t="s">
        <v>13586</v>
      </c>
      <c r="QGS1" t="s">
        <v>13587</v>
      </c>
      <c r="QGT1" t="s">
        <v>13588</v>
      </c>
      <c r="QGU1" t="s">
        <v>13589</v>
      </c>
      <c r="QGV1" t="s">
        <v>13590</v>
      </c>
      <c r="QGW1" t="s">
        <v>13591</v>
      </c>
      <c r="QGX1" t="s">
        <v>13592</v>
      </c>
      <c r="QGY1" t="s">
        <v>13593</v>
      </c>
      <c r="QGZ1" t="s">
        <v>13594</v>
      </c>
      <c r="QHA1" t="s">
        <v>13595</v>
      </c>
      <c r="QHB1" t="s">
        <v>13596</v>
      </c>
      <c r="QHC1" t="s">
        <v>13597</v>
      </c>
      <c r="QHD1" t="s">
        <v>13598</v>
      </c>
      <c r="QHE1" t="s">
        <v>13599</v>
      </c>
      <c r="QHF1" t="s">
        <v>13600</v>
      </c>
      <c r="QHG1" t="s">
        <v>13601</v>
      </c>
      <c r="QHH1" t="s">
        <v>13602</v>
      </c>
      <c r="QHI1" t="s">
        <v>13603</v>
      </c>
      <c r="QHJ1" t="s">
        <v>13604</v>
      </c>
      <c r="QHK1" t="s">
        <v>13605</v>
      </c>
      <c r="QHL1" t="s">
        <v>13606</v>
      </c>
      <c r="QHM1" t="s">
        <v>13607</v>
      </c>
      <c r="QHN1" t="s">
        <v>13608</v>
      </c>
      <c r="QHO1" t="s">
        <v>13609</v>
      </c>
      <c r="QHP1" t="s">
        <v>13610</v>
      </c>
      <c r="QHQ1" t="s">
        <v>13611</v>
      </c>
      <c r="QHR1" t="s">
        <v>13612</v>
      </c>
      <c r="QHS1" t="s">
        <v>13613</v>
      </c>
      <c r="QHT1" t="s">
        <v>13614</v>
      </c>
      <c r="QHU1" t="s">
        <v>13615</v>
      </c>
      <c r="QHV1" t="s">
        <v>13616</v>
      </c>
      <c r="QHW1" t="s">
        <v>13617</v>
      </c>
      <c r="QHX1" t="s">
        <v>13618</v>
      </c>
      <c r="QHY1" t="s">
        <v>13619</v>
      </c>
      <c r="QHZ1" t="s">
        <v>13620</v>
      </c>
      <c r="QIA1" t="s">
        <v>13621</v>
      </c>
      <c r="QIB1" t="s">
        <v>13622</v>
      </c>
      <c r="QIC1" t="s">
        <v>13623</v>
      </c>
      <c r="QID1" t="s">
        <v>13624</v>
      </c>
      <c r="QIE1" t="s">
        <v>13625</v>
      </c>
      <c r="QIF1" t="s">
        <v>13626</v>
      </c>
      <c r="QIG1" t="s">
        <v>13627</v>
      </c>
      <c r="QIH1" t="s">
        <v>13628</v>
      </c>
      <c r="QII1" t="s">
        <v>13629</v>
      </c>
      <c r="QIJ1" t="s">
        <v>13630</v>
      </c>
      <c r="QIK1" t="s">
        <v>13631</v>
      </c>
      <c r="QIL1" t="s">
        <v>13632</v>
      </c>
      <c r="QIM1" t="s">
        <v>13633</v>
      </c>
      <c r="QIN1" t="s">
        <v>13634</v>
      </c>
      <c r="QIO1" t="s">
        <v>13635</v>
      </c>
      <c r="QIP1" t="s">
        <v>13636</v>
      </c>
      <c r="QIQ1" t="s">
        <v>13637</v>
      </c>
      <c r="QIR1" t="s">
        <v>13638</v>
      </c>
      <c r="QIS1" t="s">
        <v>13639</v>
      </c>
      <c r="QIT1" t="s">
        <v>13640</v>
      </c>
      <c r="QIU1" t="s">
        <v>13641</v>
      </c>
      <c r="QIV1" t="s">
        <v>13642</v>
      </c>
      <c r="QIW1" t="s">
        <v>13643</v>
      </c>
      <c r="QIX1" t="s">
        <v>13644</v>
      </c>
      <c r="QIY1" t="s">
        <v>13645</v>
      </c>
      <c r="QIZ1" t="s">
        <v>13646</v>
      </c>
      <c r="QJA1" t="s">
        <v>13647</v>
      </c>
      <c r="QJB1" t="s">
        <v>13648</v>
      </c>
      <c r="QJC1" t="s">
        <v>13649</v>
      </c>
      <c r="QJD1" t="s">
        <v>13650</v>
      </c>
      <c r="QJE1" t="s">
        <v>13651</v>
      </c>
      <c r="QJF1" t="s">
        <v>13652</v>
      </c>
      <c r="QJG1" t="s">
        <v>13653</v>
      </c>
      <c r="QJH1" t="s">
        <v>13654</v>
      </c>
      <c r="QJI1" t="s">
        <v>13655</v>
      </c>
      <c r="QJJ1" t="s">
        <v>13656</v>
      </c>
      <c r="QJK1" t="s">
        <v>13657</v>
      </c>
      <c r="QJL1" t="s">
        <v>13658</v>
      </c>
      <c r="QJM1" t="s">
        <v>13659</v>
      </c>
      <c r="QJN1" t="s">
        <v>13660</v>
      </c>
      <c r="QJO1" t="s">
        <v>13661</v>
      </c>
      <c r="QJP1" t="s">
        <v>13662</v>
      </c>
      <c r="QJQ1" t="s">
        <v>13663</v>
      </c>
      <c r="QJR1" t="s">
        <v>13664</v>
      </c>
      <c r="QJS1" t="s">
        <v>13665</v>
      </c>
      <c r="QJT1" t="s">
        <v>13666</v>
      </c>
      <c r="QJU1" t="s">
        <v>13667</v>
      </c>
      <c r="QJV1" t="s">
        <v>13668</v>
      </c>
      <c r="QJW1" t="s">
        <v>13669</v>
      </c>
      <c r="QJX1" t="s">
        <v>13670</v>
      </c>
      <c r="QJY1" t="s">
        <v>13671</v>
      </c>
      <c r="QJZ1" t="s">
        <v>13672</v>
      </c>
      <c r="QKA1" t="s">
        <v>13673</v>
      </c>
      <c r="QKB1" t="s">
        <v>13674</v>
      </c>
      <c r="QKC1" t="s">
        <v>13675</v>
      </c>
      <c r="QKD1" t="s">
        <v>13676</v>
      </c>
      <c r="QKE1" t="s">
        <v>13677</v>
      </c>
      <c r="QKF1" t="s">
        <v>13678</v>
      </c>
      <c r="QKG1" t="s">
        <v>13679</v>
      </c>
      <c r="QKH1" t="s">
        <v>13680</v>
      </c>
      <c r="QKI1" t="s">
        <v>13681</v>
      </c>
      <c r="QKJ1" t="s">
        <v>13682</v>
      </c>
      <c r="QKK1" t="s">
        <v>13683</v>
      </c>
      <c r="QKL1" t="s">
        <v>13684</v>
      </c>
      <c r="QKM1" t="s">
        <v>13685</v>
      </c>
      <c r="QKN1" t="s">
        <v>13686</v>
      </c>
      <c r="QKO1" t="s">
        <v>13687</v>
      </c>
      <c r="QKP1" t="s">
        <v>13688</v>
      </c>
      <c r="QKQ1" t="s">
        <v>13689</v>
      </c>
      <c r="QKR1" t="s">
        <v>13690</v>
      </c>
      <c r="QKS1" t="s">
        <v>13691</v>
      </c>
      <c r="QKT1" t="s">
        <v>13692</v>
      </c>
      <c r="QKU1" t="s">
        <v>13693</v>
      </c>
      <c r="QKV1" t="s">
        <v>13694</v>
      </c>
      <c r="QKW1" t="s">
        <v>13695</v>
      </c>
      <c r="QKX1" t="s">
        <v>13696</v>
      </c>
      <c r="QKY1" t="s">
        <v>13697</v>
      </c>
      <c r="QKZ1" t="s">
        <v>13698</v>
      </c>
      <c r="QLA1" t="s">
        <v>13699</v>
      </c>
      <c r="QLB1" t="s">
        <v>13700</v>
      </c>
      <c r="QLC1" t="s">
        <v>13701</v>
      </c>
      <c r="QLD1" t="s">
        <v>13702</v>
      </c>
      <c r="QLE1" t="s">
        <v>13703</v>
      </c>
      <c r="QLF1" t="s">
        <v>13704</v>
      </c>
      <c r="QLG1" t="s">
        <v>13705</v>
      </c>
      <c r="QLH1" t="s">
        <v>13706</v>
      </c>
      <c r="QLI1" t="s">
        <v>13707</v>
      </c>
      <c r="QLJ1" t="s">
        <v>13708</v>
      </c>
      <c r="QLK1" t="s">
        <v>13709</v>
      </c>
      <c r="QLL1" t="s">
        <v>13710</v>
      </c>
      <c r="QLM1" t="s">
        <v>13711</v>
      </c>
      <c r="QLN1" t="s">
        <v>13712</v>
      </c>
      <c r="QLO1" t="s">
        <v>13713</v>
      </c>
      <c r="QLP1" t="s">
        <v>13714</v>
      </c>
      <c r="QLQ1" t="s">
        <v>13715</v>
      </c>
      <c r="QLR1" t="s">
        <v>13716</v>
      </c>
      <c r="QLS1" t="s">
        <v>13717</v>
      </c>
      <c r="QLT1" t="s">
        <v>13718</v>
      </c>
      <c r="QLU1" t="s">
        <v>13719</v>
      </c>
      <c r="QLV1" t="s">
        <v>13720</v>
      </c>
      <c r="QLW1" t="s">
        <v>13721</v>
      </c>
      <c r="QLX1" t="s">
        <v>13722</v>
      </c>
      <c r="QLY1" t="s">
        <v>13723</v>
      </c>
      <c r="QLZ1" t="s">
        <v>13724</v>
      </c>
      <c r="QMA1" t="s">
        <v>13725</v>
      </c>
      <c r="QMB1" t="s">
        <v>13726</v>
      </c>
      <c r="QMC1" t="s">
        <v>13727</v>
      </c>
      <c r="QMD1" t="s">
        <v>13728</v>
      </c>
      <c r="QME1" t="s">
        <v>13729</v>
      </c>
      <c r="QMF1" t="s">
        <v>13730</v>
      </c>
      <c r="QMG1" t="s">
        <v>13731</v>
      </c>
      <c r="QMH1" t="s">
        <v>13732</v>
      </c>
      <c r="QMI1" t="s">
        <v>13733</v>
      </c>
      <c r="QMJ1" t="s">
        <v>13734</v>
      </c>
      <c r="QMK1" t="s">
        <v>13735</v>
      </c>
      <c r="QML1" t="s">
        <v>13736</v>
      </c>
      <c r="QMM1" t="s">
        <v>13737</v>
      </c>
      <c r="QMN1" t="s">
        <v>13738</v>
      </c>
      <c r="QMO1" t="s">
        <v>13739</v>
      </c>
      <c r="QMP1" t="s">
        <v>13740</v>
      </c>
      <c r="QMQ1" t="s">
        <v>13741</v>
      </c>
      <c r="QMR1" t="s">
        <v>13742</v>
      </c>
      <c r="QMS1" t="s">
        <v>13743</v>
      </c>
      <c r="QMT1" t="s">
        <v>13744</v>
      </c>
      <c r="QMU1" t="s">
        <v>13745</v>
      </c>
      <c r="QMV1" t="s">
        <v>13746</v>
      </c>
      <c r="QMW1" t="s">
        <v>13747</v>
      </c>
      <c r="QMX1" t="s">
        <v>13748</v>
      </c>
      <c r="QMY1" t="s">
        <v>13749</v>
      </c>
      <c r="QMZ1" t="s">
        <v>13750</v>
      </c>
      <c r="QNA1" t="s">
        <v>13751</v>
      </c>
      <c r="QNB1" t="s">
        <v>13752</v>
      </c>
      <c r="QNC1" t="s">
        <v>13753</v>
      </c>
      <c r="QND1" t="s">
        <v>13754</v>
      </c>
      <c r="QNE1" t="s">
        <v>13755</v>
      </c>
      <c r="QNF1" t="s">
        <v>13756</v>
      </c>
      <c r="QNG1" t="s">
        <v>13757</v>
      </c>
      <c r="QNH1" t="s">
        <v>13758</v>
      </c>
      <c r="QNI1" t="s">
        <v>13759</v>
      </c>
      <c r="QNJ1" t="s">
        <v>13760</v>
      </c>
      <c r="QNK1" t="s">
        <v>13761</v>
      </c>
      <c r="QNL1" t="s">
        <v>13762</v>
      </c>
      <c r="QNM1" t="s">
        <v>13763</v>
      </c>
      <c r="QNN1" t="s">
        <v>13764</v>
      </c>
      <c r="QNO1" t="s">
        <v>13765</v>
      </c>
      <c r="QNP1" t="s">
        <v>13766</v>
      </c>
      <c r="QNQ1" t="s">
        <v>13767</v>
      </c>
      <c r="QNR1" t="s">
        <v>13768</v>
      </c>
      <c r="QNS1" t="s">
        <v>13769</v>
      </c>
      <c r="QNT1" t="s">
        <v>13770</v>
      </c>
      <c r="QNU1" t="s">
        <v>13771</v>
      </c>
      <c r="QNV1" t="s">
        <v>13772</v>
      </c>
      <c r="QNW1" t="s">
        <v>13773</v>
      </c>
      <c r="QNX1" t="s">
        <v>13774</v>
      </c>
      <c r="QNY1" t="s">
        <v>13775</v>
      </c>
      <c r="QNZ1" t="s">
        <v>13776</v>
      </c>
      <c r="QOA1" t="s">
        <v>13777</v>
      </c>
      <c r="QOB1" t="s">
        <v>13778</v>
      </c>
      <c r="QOC1" t="s">
        <v>13779</v>
      </c>
      <c r="QOD1" t="s">
        <v>13780</v>
      </c>
      <c r="QOE1" t="s">
        <v>13781</v>
      </c>
      <c r="QOF1" t="s">
        <v>13782</v>
      </c>
      <c r="QOG1" t="s">
        <v>13783</v>
      </c>
      <c r="QOH1" t="s">
        <v>13784</v>
      </c>
      <c r="QOI1" t="s">
        <v>13785</v>
      </c>
      <c r="QOJ1" t="s">
        <v>13786</v>
      </c>
      <c r="QOK1" t="s">
        <v>13787</v>
      </c>
      <c r="QOL1" t="s">
        <v>13788</v>
      </c>
      <c r="QOM1" t="s">
        <v>13789</v>
      </c>
      <c r="QON1" t="s">
        <v>13790</v>
      </c>
      <c r="QOO1" t="s">
        <v>13791</v>
      </c>
      <c r="QOP1" t="s">
        <v>13792</v>
      </c>
      <c r="QOQ1" t="s">
        <v>13793</v>
      </c>
      <c r="QOR1" t="s">
        <v>13794</v>
      </c>
      <c r="QOS1" t="s">
        <v>13795</v>
      </c>
      <c r="QOT1" t="s">
        <v>13796</v>
      </c>
      <c r="QOU1" t="s">
        <v>13797</v>
      </c>
      <c r="QOV1" t="s">
        <v>13798</v>
      </c>
      <c r="QOW1" t="s">
        <v>13799</v>
      </c>
      <c r="QOX1" t="s">
        <v>13800</v>
      </c>
      <c r="QOY1" t="s">
        <v>13801</v>
      </c>
      <c r="QOZ1" t="s">
        <v>13802</v>
      </c>
      <c r="QPA1" t="s">
        <v>13803</v>
      </c>
      <c r="QPB1" t="s">
        <v>13804</v>
      </c>
      <c r="QPC1" t="s">
        <v>13805</v>
      </c>
      <c r="QPD1" t="s">
        <v>13806</v>
      </c>
      <c r="QPE1" t="s">
        <v>13807</v>
      </c>
      <c r="QPF1" t="s">
        <v>13808</v>
      </c>
      <c r="QPG1" t="s">
        <v>13809</v>
      </c>
      <c r="QPH1" t="s">
        <v>13810</v>
      </c>
      <c r="QPI1" t="s">
        <v>13811</v>
      </c>
      <c r="QPJ1" t="s">
        <v>13812</v>
      </c>
      <c r="QPK1" t="s">
        <v>13813</v>
      </c>
      <c r="QPL1" t="s">
        <v>13814</v>
      </c>
      <c r="QPM1" t="s">
        <v>13815</v>
      </c>
      <c r="QPN1" t="s">
        <v>13816</v>
      </c>
      <c r="QPO1" t="s">
        <v>13817</v>
      </c>
      <c r="QPP1" t="s">
        <v>13818</v>
      </c>
      <c r="QPQ1" t="s">
        <v>13819</v>
      </c>
      <c r="QPR1" t="s">
        <v>13820</v>
      </c>
      <c r="QPS1" t="s">
        <v>13821</v>
      </c>
      <c r="QPT1" t="s">
        <v>13822</v>
      </c>
      <c r="QPU1" t="s">
        <v>13823</v>
      </c>
      <c r="QPV1" t="s">
        <v>13824</v>
      </c>
      <c r="QPW1" t="s">
        <v>13825</v>
      </c>
      <c r="QPX1" t="s">
        <v>13826</v>
      </c>
      <c r="QPY1" t="s">
        <v>13827</v>
      </c>
      <c r="QPZ1" t="s">
        <v>13828</v>
      </c>
      <c r="QQA1" t="s">
        <v>13829</v>
      </c>
      <c r="QQB1" t="s">
        <v>13830</v>
      </c>
      <c r="QQC1" t="s">
        <v>13831</v>
      </c>
      <c r="QQD1" t="s">
        <v>13832</v>
      </c>
      <c r="QQE1" t="s">
        <v>13833</v>
      </c>
      <c r="QQF1" t="s">
        <v>13834</v>
      </c>
      <c r="QQG1" t="s">
        <v>13835</v>
      </c>
      <c r="QQH1" t="s">
        <v>13836</v>
      </c>
      <c r="QQI1" t="s">
        <v>13837</v>
      </c>
      <c r="QQJ1" t="s">
        <v>13838</v>
      </c>
      <c r="QQK1" t="s">
        <v>13839</v>
      </c>
      <c r="QQL1" t="s">
        <v>13840</v>
      </c>
      <c r="QQM1" t="s">
        <v>13841</v>
      </c>
      <c r="QQN1" t="s">
        <v>13842</v>
      </c>
      <c r="QQO1" t="s">
        <v>13843</v>
      </c>
      <c r="QQP1" t="s">
        <v>13844</v>
      </c>
      <c r="QQQ1" t="s">
        <v>13845</v>
      </c>
      <c r="QQR1" t="s">
        <v>13846</v>
      </c>
      <c r="QQS1" t="s">
        <v>13847</v>
      </c>
      <c r="QQT1" t="s">
        <v>13848</v>
      </c>
      <c r="QQU1" t="s">
        <v>13849</v>
      </c>
      <c r="QQV1" t="s">
        <v>13850</v>
      </c>
      <c r="QQW1" t="s">
        <v>13851</v>
      </c>
      <c r="QQX1" t="s">
        <v>13852</v>
      </c>
      <c r="QQY1" t="s">
        <v>13853</v>
      </c>
      <c r="QQZ1" t="s">
        <v>13854</v>
      </c>
      <c r="QRA1" t="s">
        <v>13855</v>
      </c>
      <c r="QRB1" t="s">
        <v>13856</v>
      </c>
      <c r="QRC1" t="s">
        <v>13857</v>
      </c>
      <c r="QRD1" t="s">
        <v>13858</v>
      </c>
      <c r="QRE1" t="s">
        <v>13859</v>
      </c>
      <c r="QRF1" t="s">
        <v>13860</v>
      </c>
      <c r="QRG1" t="s">
        <v>13861</v>
      </c>
      <c r="QRH1" t="s">
        <v>13862</v>
      </c>
      <c r="QRI1" t="s">
        <v>13863</v>
      </c>
      <c r="QRJ1" t="s">
        <v>13864</v>
      </c>
      <c r="QRK1" t="s">
        <v>13865</v>
      </c>
      <c r="QRL1" t="s">
        <v>13866</v>
      </c>
      <c r="QRM1" t="s">
        <v>13867</v>
      </c>
      <c r="QRN1" t="s">
        <v>13868</v>
      </c>
      <c r="QRO1" t="s">
        <v>13869</v>
      </c>
      <c r="QRP1" t="s">
        <v>13870</v>
      </c>
      <c r="QRQ1" t="s">
        <v>13871</v>
      </c>
      <c r="QRR1" t="s">
        <v>13872</v>
      </c>
      <c r="QRS1" t="s">
        <v>13873</v>
      </c>
      <c r="QRT1" t="s">
        <v>13874</v>
      </c>
      <c r="QRU1" t="s">
        <v>13875</v>
      </c>
      <c r="QRV1" t="s">
        <v>13876</v>
      </c>
      <c r="QRW1" t="s">
        <v>13877</v>
      </c>
      <c r="QRX1" t="s">
        <v>13878</v>
      </c>
      <c r="QRY1" t="s">
        <v>13879</v>
      </c>
      <c r="QRZ1" t="s">
        <v>13880</v>
      </c>
      <c r="QSA1" t="s">
        <v>13881</v>
      </c>
      <c r="QSB1" t="s">
        <v>13882</v>
      </c>
      <c r="QSC1" t="s">
        <v>13883</v>
      </c>
      <c r="QSD1" t="s">
        <v>13884</v>
      </c>
      <c r="QSE1" t="s">
        <v>13885</v>
      </c>
      <c r="QSF1" t="s">
        <v>13886</v>
      </c>
      <c r="QSG1" t="s">
        <v>13887</v>
      </c>
      <c r="QSH1" t="s">
        <v>13888</v>
      </c>
      <c r="QSI1" t="s">
        <v>13889</v>
      </c>
      <c r="QSJ1" t="s">
        <v>13890</v>
      </c>
      <c r="QSK1" t="s">
        <v>13891</v>
      </c>
      <c r="QSL1" t="s">
        <v>13892</v>
      </c>
      <c r="QSM1" t="s">
        <v>13893</v>
      </c>
      <c r="QSN1" t="s">
        <v>13894</v>
      </c>
      <c r="QSO1" t="s">
        <v>13895</v>
      </c>
      <c r="QSP1" t="s">
        <v>13896</v>
      </c>
      <c r="QSQ1" t="s">
        <v>13897</v>
      </c>
      <c r="QSR1" t="s">
        <v>13898</v>
      </c>
      <c r="QSS1" t="s">
        <v>13899</v>
      </c>
      <c r="QST1" t="s">
        <v>13900</v>
      </c>
      <c r="QSU1" t="s">
        <v>13901</v>
      </c>
      <c r="QSV1" t="s">
        <v>13902</v>
      </c>
      <c r="QSW1" t="s">
        <v>13903</v>
      </c>
      <c r="QSX1" t="s">
        <v>13904</v>
      </c>
      <c r="QSY1" t="s">
        <v>13905</v>
      </c>
      <c r="QSZ1" t="s">
        <v>13906</v>
      </c>
      <c r="QTA1" t="s">
        <v>13907</v>
      </c>
      <c r="QTB1" t="s">
        <v>13908</v>
      </c>
      <c r="QTC1" t="s">
        <v>13909</v>
      </c>
      <c r="QTD1" t="s">
        <v>13910</v>
      </c>
      <c r="QTE1" t="s">
        <v>13911</v>
      </c>
      <c r="QTF1" t="s">
        <v>13912</v>
      </c>
      <c r="QTG1" t="s">
        <v>13913</v>
      </c>
      <c r="QTH1" t="s">
        <v>13914</v>
      </c>
      <c r="QTI1" t="s">
        <v>13915</v>
      </c>
      <c r="QTJ1" t="s">
        <v>13916</v>
      </c>
      <c r="QTK1" t="s">
        <v>13917</v>
      </c>
      <c r="QTL1" t="s">
        <v>13918</v>
      </c>
      <c r="QTM1" t="s">
        <v>13919</v>
      </c>
      <c r="QTN1" t="s">
        <v>13920</v>
      </c>
      <c r="QTO1" t="s">
        <v>13921</v>
      </c>
      <c r="QTP1" t="s">
        <v>13922</v>
      </c>
      <c r="QTQ1" t="s">
        <v>13923</v>
      </c>
      <c r="QTR1" t="s">
        <v>13924</v>
      </c>
      <c r="QTS1" t="s">
        <v>13925</v>
      </c>
      <c r="QTT1" t="s">
        <v>13926</v>
      </c>
      <c r="QTU1" t="s">
        <v>13927</v>
      </c>
      <c r="QTV1" t="s">
        <v>13928</v>
      </c>
      <c r="QTW1" t="s">
        <v>13929</v>
      </c>
      <c r="QTX1" t="s">
        <v>13930</v>
      </c>
      <c r="QTY1" t="s">
        <v>13931</v>
      </c>
      <c r="QTZ1" t="s">
        <v>13932</v>
      </c>
      <c r="QUA1" t="s">
        <v>13933</v>
      </c>
      <c r="QUB1" t="s">
        <v>13934</v>
      </c>
      <c r="QUC1" t="s">
        <v>13935</v>
      </c>
      <c r="QUD1" t="s">
        <v>13936</v>
      </c>
      <c r="QUE1" t="s">
        <v>13937</v>
      </c>
      <c r="QUF1" t="s">
        <v>13938</v>
      </c>
      <c r="QUG1" t="s">
        <v>13939</v>
      </c>
      <c r="QUH1" t="s">
        <v>13940</v>
      </c>
      <c r="QUI1" t="s">
        <v>13941</v>
      </c>
      <c r="QUJ1" t="s">
        <v>13942</v>
      </c>
      <c r="QUK1" t="s">
        <v>13943</v>
      </c>
      <c r="QUL1" t="s">
        <v>13944</v>
      </c>
      <c r="QUM1" t="s">
        <v>13945</v>
      </c>
      <c r="QUN1" t="s">
        <v>13946</v>
      </c>
      <c r="QUO1" t="s">
        <v>13947</v>
      </c>
      <c r="QUP1" t="s">
        <v>13948</v>
      </c>
      <c r="QUQ1" t="s">
        <v>13949</v>
      </c>
      <c r="QUR1" t="s">
        <v>13950</v>
      </c>
      <c r="QUS1" t="s">
        <v>13951</v>
      </c>
      <c r="QUT1" t="s">
        <v>13952</v>
      </c>
      <c r="QUU1" t="s">
        <v>13953</v>
      </c>
      <c r="QUV1" t="s">
        <v>13954</v>
      </c>
      <c r="QUW1" t="s">
        <v>13955</v>
      </c>
      <c r="QUX1" t="s">
        <v>13956</v>
      </c>
      <c r="QUY1" t="s">
        <v>13957</v>
      </c>
      <c r="QUZ1" t="s">
        <v>13958</v>
      </c>
      <c r="QVA1" t="s">
        <v>13959</v>
      </c>
      <c r="QVB1" t="s">
        <v>13960</v>
      </c>
      <c r="QVC1" t="s">
        <v>13961</v>
      </c>
      <c r="QVD1" t="s">
        <v>13962</v>
      </c>
      <c r="QVE1" t="s">
        <v>13963</v>
      </c>
      <c r="QVF1" t="s">
        <v>13964</v>
      </c>
      <c r="QVG1" t="s">
        <v>13965</v>
      </c>
      <c r="QVH1" t="s">
        <v>13966</v>
      </c>
      <c r="QVI1" t="s">
        <v>13967</v>
      </c>
      <c r="QVJ1" t="s">
        <v>13968</v>
      </c>
      <c r="QVK1" t="s">
        <v>13969</v>
      </c>
      <c r="QVL1" t="s">
        <v>13970</v>
      </c>
      <c r="QVM1" t="s">
        <v>13971</v>
      </c>
      <c r="QVN1" t="s">
        <v>13972</v>
      </c>
      <c r="QVO1" t="s">
        <v>13973</v>
      </c>
      <c r="QVP1" t="s">
        <v>13974</v>
      </c>
      <c r="QVQ1" t="s">
        <v>13975</v>
      </c>
      <c r="QVR1" t="s">
        <v>13976</v>
      </c>
      <c r="QVS1" t="s">
        <v>13977</v>
      </c>
      <c r="QVT1" t="s">
        <v>13978</v>
      </c>
      <c r="QVU1" t="s">
        <v>13979</v>
      </c>
      <c r="QVV1" t="s">
        <v>13980</v>
      </c>
      <c r="QVW1" t="s">
        <v>13981</v>
      </c>
      <c r="QVX1" t="s">
        <v>13982</v>
      </c>
      <c r="QVY1" t="s">
        <v>13983</v>
      </c>
      <c r="QVZ1" t="s">
        <v>13984</v>
      </c>
      <c r="QWA1" t="s">
        <v>13985</v>
      </c>
      <c r="QWB1" t="s">
        <v>13986</v>
      </c>
      <c r="QWC1" t="s">
        <v>13987</v>
      </c>
      <c r="QWD1" t="s">
        <v>13988</v>
      </c>
      <c r="QWE1" t="s">
        <v>13989</v>
      </c>
      <c r="QWF1" t="s">
        <v>13990</v>
      </c>
      <c r="QWG1" t="s">
        <v>13991</v>
      </c>
      <c r="QWH1" t="s">
        <v>13992</v>
      </c>
      <c r="QWI1" t="s">
        <v>13993</v>
      </c>
      <c r="QWJ1" t="s">
        <v>13994</v>
      </c>
      <c r="QWK1" t="s">
        <v>13995</v>
      </c>
      <c r="QWL1" t="s">
        <v>13996</v>
      </c>
      <c r="QWM1" t="s">
        <v>13997</v>
      </c>
      <c r="QWN1" t="s">
        <v>13998</v>
      </c>
      <c r="QWO1" t="s">
        <v>13999</v>
      </c>
      <c r="QWP1" t="s">
        <v>14000</v>
      </c>
      <c r="QWQ1" t="s">
        <v>14001</v>
      </c>
      <c r="QWR1" t="s">
        <v>14002</v>
      </c>
      <c r="QWS1" t="s">
        <v>14003</v>
      </c>
      <c r="QWT1" t="s">
        <v>14004</v>
      </c>
      <c r="QWU1" t="s">
        <v>14005</v>
      </c>
      <c r="QWV1" t="s">
        <v>14006</v>
      </c>
      <c r="QWW1" t="s">
        <v>14007</v>
      </c>
      <c r="QWX1" t="s">
        <v>14008</v>
      </c>
      <c r="QWY1" t="s">
        <v>14009</v>
      </c>
      <c r="QWZ1" t="s">
        <v>14010</v>
      </c>
      <c r="QXA1" t="s">
        <v>14011</v>
      </c>
      <c r="QXB1" t="s">
        <v>14012</v>
      </c>
      <c r="QXC1" t="s">
        <v>14013</v>
      </c>
      <c r="QXD1" t="s">
        <v>14014</v>
      </c>
      <c r="QXE1" t="s">
        <v>14015</v>
      </c>
      <c r="QXF1" t="s">
        <v>14016</v>
      </c>
      <c r="QXG1" t="s">
        <v>14017</v>
      </c>
      <c r="QXH1" t="s">
        <v>14018</v>
      </c>
      <c r="QXI1" t="s">
        <v>14019</v>
      </c>
      <c r="QXJ1" t="s">
        <v>14020</v>
      </c>
      <c r="QXK1" t="s">
        <v>14021</v>
      </c>
      <c r="QXL1" t="s">
        <v>14022</v>
      </c>
      <c r="QXM1" t="s">
        <v>14023</v>
      </c>
      <c r="QXN1" t="s">
        <v>14024</v>
      </c>
      <c r="QXO1" t="s">
        <v>14025</v>
      </c>
      <c r="QXP1" t="s">
        <v>14026</v>
      </c>
      <c r="QXQ1" t="s">
        <v>14027</v>
      </c>
      <c r="QXR1" t="s">
        <v>14028</v>
      </c>
      <c r="QXS1" t="s">
        <v>14029</v>
      </c>
      <c r="QXT1" t="s">
        <v>14030</v>
      </c>
      <c r="QXU1" t="s">
        <v>14031</v>
      </c>
      <c r="QXV1" t="s">
        <v>14032</v>
      </c>
      <c r="QXW1" t="s">
        <v>14033</v>
      </c>
      <c r="QXX1" t="s">
        <v>14034</v>
      </c>
      <c r="QXY1" t="s">
        <v>14035</v>
      </c>
      <c r="QXZ1" t="s">
        <v>14036</v>
      </c>
      <c r="QYA1" t="s">
        <v>14037</v>
      </c>
      <c r="QYB1" t="s">
        <v>14038</v>
      </c>
      <c r="QYC1" t="s">
        <v>14039</v>
      </c>
      <c r="QYD1" t="s">
        <v>14040</v>
      </c>
      <c r="QYE1" t="s">
        <v>14041</v>
      </c>
      <c r="QYF1" t="s">
        <v>14042</v>
      </c>
      <c r="QYG1" t="s">
        <v>14043</v>
      </c>
      <c r="QYH1" t="s">
        <v>14044</v>
      </c>
      <c r="QYI1" t="s">
        <v>14045</v>
      </c>
      <c r="QYJ1" t="s">
        <v>14046</v>
      </c>
      <c r="QYK1" t="s">
        <v>14047</v>
      </c>
      <c r="QYL1" t="s">
        <v>14048</v>
      </c>
      <c r="QYM1" t="s">
        <v>14049</v>
      </c>
      <c r="QYN1" t="s">
        <v>14050</v>
      </c>
      <c r="QYO1" t="s">
        <v>14051</v>
      </c>
      <c r="QYP1" t="s">
        <v>14052</v>
      </c>
      <c r="QYQ1" t="s">
        <v>14053</v>
      </c>
      <c r="QYR1" t="s">
        <v>14054</v>
      </c>
      <c r="QYS1" t="s">
        <v>14055</v>
      </c>
      <c r="QYT1" t="s">
        <v>14056</v>
      </c>
      <c r="QYU1" t="s">
        <v>14057</v>
      </c>
      <c r="QYV1" t="s">
        <v>14058</v>
      </c>
      <c r="QYW1" t="s">
        <v>14059</v>
      </c>
      <c r="QYX1" t="s">
        <v>14060</v>
      </c>
      <c r="QYY1" t="s">
        <v>14061</v>
      </c>
      <c r="QYZ1" t="s">
        <v>14062</v>
      </c>
      <c r="QZA1" t="s">
        <v>14063</v>
      </c>
      <c r="QZB1" t="s">
        <v>14064</v>
      </c>
      <c r="QZC1" t="s">
        <v>14065</v>
      </c>
      <c r="QZD1" t="s">
        <v>14066</v>
      </c>
      <c r="QZE1" t="s">
        <v>14067</v>
      </c>
      <c r="QZF1" t="s">
        <v>14068</v>
      </c>
      <c r="QZG1" t="s">
        <v>14069</v>
      </c>
      <c r="QZH1" t="s">
        <v>14070</v>
      </c>
      <c r="QZI1" t="s">
        <v>14071</v>
      </c>
      <c r="QZJ1" t="s">
        <v>14072</v>
      </c>
      <c r="QZK1" t="s">
        <v>14073</v>
      </c>
      <c r="QZL1" t="s">
        <v>14074</v>
      </c>
      <c r="QZM1" t="s">
        <v>14075</v>
      </c>
      <c r="QZN1" t="s">
        <v>14076</v>
      </c>
      <c r="QZO1" t="s">
        <v>14077</v>
      </c>
      <c r="QZP1" t="s">
        <v>14078</v>
      </c>
      <c r="QZQ1" t="s">
        <v>14079</v>
      </c>
      <c r="QZR1" t="s">
        <v>14080</v>
      </c>
      <c r="QZS1" t="s">
        <v>14081</v>
      </c>
      <c r="QZT1" t="s">
        <v>14082</v>
      </c>
      <c r="QZU1" t="s">
        <v>14083</v>
      </c>
      <c r="QZV1" t="s">
        <v>14084</v>
      </c>
      <c r="QZW1" t="s">
        <v>14085</v>
      </c>
      <c r="QZX1" t="s">
        <v>14086</v>
      </c>
      <c r="QZY1" t="s">
        <v>14087</v>
      </c>
      <c r="QZZ1" t="s">
        <v>14088</v>
      </c>
      <c r="RAA1" t="s">
        <v>14089</v>
      </c>
      <c r="RAB1" t="s">
        <v>14090</v>
      </c>
      <c r="RAC1" t="s">
        <v>14091</v>
      </c>
      <c r="RAD1" t="s">
        <v>14092</v>
      </c>
      <c r="RAE1" t="s">
        <v>14093</v>
      </c>
      <c r="RAF1" t="s">
        <v>14094</v>
      </c>
      <c r="RAG1" t="s">
        <v>14095</v>
      </c>
      <c r="RAH1" t="s">
        <v>14096</v>
      </c>
      <c r="RAI1" t="s">
        <v>14097</v>
      </c>
      <c r="RAJ1" t="s">
        <v>14098</v>
      </c>
      <c r="RAK1" t="s">
        <v>14099</v>
      </c>
      <c r="RAL1" t="s">
        <v>14100</v>
      </c>
      <c r="RAM1" t="s">
        <v>14101</v>
      </c>
      <c r="RAN1" t="s">
        <v>14102</v>
      </c>
      <c r="RAO1" t="s">
        <v>14103</v>
      </c>
      <c r="RAP1" t="s">
        <v>14104</v>
      </c>
      <c r="RAQ1" t="s">
        <v>14105</v>
      </c>
      <c r="RAR1" t="s">
        <v>14106</v>
      </c>
      <c r="RAS1" t="s">
        <v>14107</v>
      </c>
      <c r="RAT1" t="s">
        <v>14108</v>
      </c>
      <c r="RAU1" t="s">
        <v>14109</v>
      </c>
      <c r="RAV1" t="s">
        <v>14110</v>
      </c>
      <c r="RAW1" t="s">
        <v>14111</v>
      </c>
      <c r="RAX1" t="s">
        <v>14112</v>
      </c>
      <c r="RAY1" t="s">
        <v>14113</v>
      </c>
      <c r="RAZ1" t="s">
        <v>14114</v>
      </c>
      <c r="RBA1" t="s">
        <v>14115</v>
      </c>
      <c r="RBB1" t="s">
        <v>14116</v>
      </c>
      <c r="RBC1" t="s">
        <v>14117</v>
      </c>
      <c r="RBD1" t="s">
        <v>14118</v>
      </c>
      <c r="RBE1" t="s">
        <v>14119</v>
      </c>
      <c r="RBF1" t="s">
        <v>14120</v>
      </c>
      <c r="RBG1" t="s">
        <v>14121</v>
      </c>
      <c r="RBH1" t="s">
        <v>14122</v>
      </c>
      <c r="RBI1" t="s">
        <v>14123</v>
      </c>
      <c r="RBJ1" t="s">
        <v>14124</v>
      </c>
      <c r="RBK1" t="s">
        <v>14125</v>
      </c>
      <c r="RBL1" t="s">
        <v>14126</v>
      </c>
      <c r="RBM1" t="s">
        <v>14127</v>
      </c>
      <c r="RBN1" t="s">
        <v>14128</v>
      </c>
      <c r="RBO1" t="s">
        <v>14129</v>
      </c>
      <c r="RBP1" t="s">
        <v>14130</v>
      </c>
      <c r="RBQ1" t="s">
        <v>14131</v>
      </c>
      <c r="RBR1" t="s">
        <v>14132</v>
      </c>
      <c r="RBS1" t="s">
        <v>14133</v>
      </c>
      <c r="RBT1" t="s">
        <v>14134</v>
      </c>
      <c r="RBU1" t="s">
        <v>14135</v>
      </c>
      <c r="RBV1" t="s">
        <v>14136</v>
      </c>
      <c r="RBW1" t="s">
        <v>14137</v>
      </c>
      <c r="RBX1" t="s">
        <v>14138</v>
      </c>
      <c r="RBY1" t="s">
        <v>14139</v>
      </c>
      <c r="RBZ1" t="s">
        <v>14140</v>
      </c>
      <c r="RCA1" t="s">
        <v>14141</v>
      </c>
      <c r="RCB1" t="s">
        <v>14142</v>
      </c>
      <c r="RCC1" t="s">
        <v>14143</v>
      </c>
      <c r="RCD1" t="s">
        <v>14144</v>
      </c>
      <c r="RCE1" t="s">
        <v>14145</v>
      </c>
      <c r="RCF1" t="s">
        <v>14146</v>
      </c>
      <c r="RCG1" t="s">
        <v>14147</v>
      </c>
      <c r="RCH1" t="s">
        <v>14148</v>
      </c>
      <c r="RCI1" t="s">
        <v>14149</v>
      </c>
      <c r="RCJ1" t="s">
        <v>14150</v>
      </c>
      <c r="RCK1" t="s">
        <v>14151</v>
      </c>
      <c r="RCL1" t="s">
        <v>14152</v>
      </c>
      <c r="RCM1" t="s">
        <v>14153</v>
      </c>
      <c r="RCN1" t="s">
        <v>14154</v>
      </c>
      <c r="RCO1" t="s">
        <v>14155</v>
      </c>
      <c r="RCP1" t="s">
        <v>14156</v>
      </c>
      <c r="RCQ1" t="s">
        <v>14157</v>
      </c>
      <c r="RCR1" t="s">
        <v>14158</v>
      </c>
      <c r="RCS1" t="s">
        <v>14159</v>
      </c>
      <c r="RCT1" t="s">
        <v>14160</v>
      </c>
      <c r="RCU1" t="s">
        <v>14161</v>
      </c>
      <c r="RCV1" t="s">
        <v>14162</v>
      </c>
      <c r="RCW1" t="s">
        <v>14163</v>
      </c>
      <c r="RCX1" t="s">
        <v>14164</v>
      </c>
      <c r="RCY1" t="s">
        <v>14165</v>
      </c>
      <c r="RCZ1" t="s">
        <v>14166</v>
      </c>
      <c r="RDA1" t="s">
        <v>14167</v>
      </c>
      <c r="RDB1" t="s">
        <v>14168</v>
      </c>
      <c r="RDC1" t="s">
        <v>14169</v>
      </c>
      <c r="RDD1" t="s">
        <v>14170</v>
      </c>
      <c r="RDE1" t="s">
        <v>14171</v>
      </c>
      <c r="RDF1" t="s">
        <v>14172</v>
      </c>
      <c r="RDG1" t="s">
        <v>14173</v>
      </c>
      <c r="RDH1" t="s">
        <v>14174</v>
      </c>
      <c r="RDI1" t="s">
        <v>14175</v>
      </c>
      <c r="RDJ1" t="s">
        <v>14176</v>
      </c>
      <c r="RDK1" t="s">
        <v>14177</v>
      </c>
      <c r="RDL1" t="s">
        <v>14178</v>
      </c>
      <c r="RDM1" t="s">
        <v>14179</v>
      </c>
      <c r="RDN1" t="s">
        <v>14180</v>
      </c>
      <c r="RDO1" t="s">
        <v>14181</v>
      </c>
      <c r="RDP1" t="s">
        <v>14182</v>
      </c>
      <c r="RDQ1" t="s">
        <v>14183</v>
      </c>
      <c r="RDR1" t="s">
        <v>14184</v>
      </c>
      <c r="RDS1" t="s">
        <v>14185</v>
      </c>
      <c r="RDT1" t="s">
        <v>14186</v>
      </c>
      <c r="RDU1" t="s">
        <v>14187</v>
      </c>
      <c r="RDV1" t="s">
        <v>14188</v>
      </c>
      <c r="RDW1" t="s">
        <v>14189</v>
      </c>
      <c r="RDX1" t="s">
        <v>14190</v>
      </c>
      <c r="RDY1" t="s">
        <v>14191</v>
      </c>
      <c r="RDZ1" t="s">
        <v>14192</v>
      </c>
      <c r="REA1" t="s">
        <v>14193</v>
      </c>
      <c r="REB1" t="s">
        <v>14194</v>
      </c>
      <c r="REC1" t="s">
        <v>14195</v>
      </c>
      <c r="RED1" t="s">
        <v>14196</v>
      </c>
      <c r="REE1" t="s">
        <v>14197</v>
      </c>
      <c r="REF1" t="s">
        <v>14198</v>
      </c>
      <c r="REG1" t="s">
        <v>14199</v>
      </c>
      <c r="REH1" t="s">
        <v>14200</v>
      </c>
      <c r="REI1" t="s">
        <v>14201</v>
      </c>
      <c r="REJ1" t="s">
        <v>14202</v>
      </c>
      <c r="REK1" t="s">
        <v>14203</v>
      </c>
      <c r="REL1" t="s">
        <v>14204</v>
      </c>
      <c r="REM1" t="s">
        <v>14205</v>
      </c>
      <c r="REN1" t="s">
        <v>14206</v>
      </c>
      <c r="REO1" t="s">
        <v>14207</v>
      </c>
      <c r="REP1" t="s">
        <v>14208</v>
      </c>
      <c r="REQ1" t="s">
        <v>14209</v>
      </c>
      <c r="RER1" t="s">
        <v>14210</v>
      </c>
      <c r="RES1" t="s">
        <v>14211</v>
      </c>
      <c r="RET1" t="s">
        <v>14212</v>
      </c>
      <c r="REU1" t="s">
        <v>14213</v>
      </c>
      <c r="REV1" t="s">
        <v>14214</v>
      </c>
      <c r="REW1" t="s">
        <v>14215</v>
      </c>
      <c r="REX1" t="s">
        <v>14216</v>
      </c>
      <c r="REY1" t="s">
        <v>14217</v>
      </c>
      <c r="REZ1" t="s">
        <v>14218</v>
      </c>
      <c r="RFA1" t="s">
        <v>14219</v>
      </c>
      <c r="RFB1" t="s">
        <v>14220</v>
      </c>
      <c r="RFC1" t="s">
        <v>14221</v>
      </c>
      <c r="RFD1" t="s">
        <v>14222</v>
      </c>
      <c r="RFE1" t="s">
        <v>14223</v>
      </c>
      <c r="RFF1" t="s">
        <v>14224</v>
      </c>
      <c r="RFG1" t="s">
        <v>14225</v>
      </c>
      <c r="RFH1" t="s">
        <v>14226</v>
      </c>
      <c r="RFI1" t="s">
        <v>14227</v>
      </c>
      <c r="RFJ1" t="s">
        <v>14228</v>
      </c>
      <c r="RFK1" t="s">
        <v>14229</v>
      </c>
      <c r="RFL1" t="s">
        <v>14230</v>
      </c>
      <c r="RFM1" t="s">
        <v>14231</v>
      </c>
      <c r="RFN1" t="s">
        <v>14232</v>
      </c>
      <c r="RFO1" t="s">
        <v>14233</v>
      </c>
      <c r="RFP1" t="s">
        <v>14234</v>
      </c>
      <c r="RFQ1" t="s">
        <v>14235</v>
      </c>
      <c r="RFR1" t="s">
        <v>14236</v>
      </c>
      <c r="RFS1" t="s">
        <v>14237</v>
      </c>
      <c r="RFT1" t="s">
        <v>14238</v>
      </c>
      <c r="RFU1" t="s">
        <v>14239</v>
      </c>
      <c r="RFV1" t="s">
        <v>14240</v>
      </c>
      <c r="RFW1" t="s">
        <v>14241</v>
      </c>
      <c r="RFX1" t="s">
        <v>14242</v>
      </c>
      <c r="RFY1" t="s">
        <v>14243</v>
      </c>
      <c r="RFZ1" t="s">
        <v>14244</v>
      </c>
      <c r="RGA1" t="s">
        <v>14245</v>
      </c>
      <c r="RGB1" t="s">
        <v>14246</v>
      </c>
      <c r="RGC1" t="s">
        <v>14247</v>
      </c>
      <c r="RGD1" t="s">
        <v>14248</v>
      </c>
      <c r="RGE1" t="s">
        <v>14249</v>
      </c>
      <c r="RGF1" t="s">
        <v>14250</v>
      </c>
      <c r="RGG1" t="s">
        <v>14251</v>
      </c>
      <c r="RGH1" t="s">
        <v>14252</v>
      </c>
      <c r="RGI1" t="s">
        <v>14253</v>
      </c>
      <c r="RGJ1" t="s">
        <v>14254</v>
      </c>
      <c r="RGK1" t="s">
        <v>14255</v>
      </c>
      <c r="RGL1" t="s">
        <v>14256</v>
      </c>
      <c r="RGM1" t="s">
        <v>14257</v>
      </c>
      <c r="RGN1" t="s">
        <v>14258</v>
      </c>
      <c r="RGO1" t="s">
        <v>14259</v>
      </c>
      <c r="RGP1" t="s">
        <v>14260</v>
      </c>
      <c r="RGQ1" t="s">
        <v>14261</v>
      </c>
      <c r="RGR1" t="s">
        <v>14262</v>
      </c>
      <c r="RGS1" t="s">
        <v>14263</v>
      </c>
      <c r="RGT1" t="s">
        <v>14264</v>
      </c>
      <c r="RGU1" t="s">
        <v>14265</v>
      </c>
      <c r="RGV1" t="s">
        <v>14266</v>
      </c>
      <c r="RGW1" t="s">
        <v>14267</v>
      </c>
      <c r="RGX1" t="s">
        <v>14268</v>
      </c>
      <c r="RGY1" t="s">
        <v>14269</v>
      </c>
      <c r="RGZ1" t="s">
        <v>14270</v>
      </c>
      <c r="RHA1" t="s">
        <v>14271</v>
      </c>
      <c r="RHB1" t="s">
        <v>14272</v>
      </c>
      <c r="RHC1" t="s">
        <v>14273</v>
      </c>
      <c r="RHD1" t="s">
        <v>14274</v>
      </c>
      <c r="RHE1" t="s">
        <v>14275</v>
      </c>
      <c r="RHF1" t="s">
        <v>14276</v>
      </c>
      <c r="RHG1" t="s">
        <v>14277</v>
      </c>
      <c r="RHH1" t="s">
        <v>14278</v>
      </c>
      <c r="RHI1" t="s">
        <v>14279</v>
      </c>
      <c r="RHJ1" t="s">
        <v>14280</v>
      </c>
      <c r="RHK1" t="s">
        <v>14281</v>
      </c>
      <c r="RHL1" t="s">
        <v>14282</v>
      </c>
      <c r="RHM1" t="s">
        <v>14283</v>
      </c>
      <c r="RHN1" t="s">
        <v>14284</v>
      </c>
      <c r="RHO1" t="s">
        <v>14285</v>
      </c>
      <c r="RHP1" t="s">
        <v>14286</v>
      </c>
      <c r="RHQ1" t="s">
        <v>14287</v>
      </c>
      <c r="RHR1" t="s">
        <v>14288</v>
      </c>
      <c r="RHS1" t="s">
        <v>14289</v>
      </c>
      <c r="RHT1" t="s">
        <v>14290</v>
      </c>
      <c r="RHU1" t="s">
        <v>14291</v>
      </c>
      <c r="RHV1" t="s">
        <v>14292</v>
      </c>
      <c r="RHW1" t="s">
        <v>14293</v>
      </c>
      <c r="RHX1" t="s">
        <v>14294</v>
      </c>
      <c r="RHY1" t="s">
        <v>14295</v>
      </c>
      <c r="RHZ1" t="s">
        <v>14296</v>
      </c>
      <c r="RIA1" t="s">
        <v>14297</v>
      </c>
      <c r="RIB1" t="s">
        <v>14298</v>
      </c>
      <c r="RIC1" t="s">
        <v>14299</v>
      </c>
      <c r="RID1" t="s">
        <v>14300</v>
      </c>
      <c r="RIE1" t="s">
        <v>14301</v>
      </c>
      <c r="RIF1" t="s">
        <v>14302</v>
      </c>
      <c r="RIG1" t="s">
        <v>14303</v>
      </c>
      <c r="RIH1" t="s">
        <v>14304</v>
      </c>
      <c r="RII1" t="s">
        <v>14305</v>
      </c>
      <c r="RIJ1" t="s">
        <v>14306</v>
      </c>
      <c r="RIK1" t="s">
        <v>14307</v>
      </c>
      <c r="RIL1" t="s">
        <v>14308</v>
      </c>
      <c r="RIM1" t="s">
        <v>14309</v>
      </c>
      <c r="RIN1" t="s">
        <v>14310</v>
      </c>
      <c r="RIO1" t="s">
        <v>14311</v>
      </c>
      <c r="RIP1" t="s">
        <v>14312</v>
      </c>
      <c r="RIQ1" t="s">
        <v>14313</v>
      </c>
      <c r="RIR1" t="s">
        <v>14314</v>
      </c>
      <c r="RIS1" t="s">
        <v>14315</v>
      </c>
      <c r="RIT1" t="s">
        <v>14316</v>
      </c>
      <c r="RIU1" t="s">
        <v>14317</v>
      </c>
      <c r="RIV1" t="s">
        <v>14318</v>
      </c>
      <c r="RIW1" t="s">
        <v>14319</v>
      </c>
      <c r="RIX1" t="s">
        <v>14320</v>
      </c>
      <c r="RIY1" t="s">
        <v>14321</v>
      </c>
      <c r="RIZ1" t="s">
        <v>14322</v>
      </c>
      <c r="RJA1" t="s">
        <v>14323</v>
      </c>
      <c r="RJB1" t="s">
        <v>14324</v>
      </c>
      <c r="RJC1" t="s">
        <v>14325</v>
      </c>
      <c r="RJD1" t="s">
        <v>14326</v>
      </c>
      <c r="RJE1" t="s">
        <v>14327</v>
      </c>
      <c r="RJF1" t="s">
        <v>14328</v>
      </c>
      <c r="RJG1" t="s">
        <v>14329</v>
      </c>
      <c r="RJH1" t="s">
        <v>14330</v>
      </c>
      <c r="RJI1" t="s">
        <v>14331</v>
      </c>
      <c r="RJJ1" t="s">
        <v>14332</v>
      </c>
      <c r="RJK1" t="s">
        <v>14333</v>
      </c>
      <c r="RJL1" t="s">
        <v>14334</v>
      </c>
      <c r="RJM1" t="s">
        <v>14335</v>
      </c>
      <c r="RJN1" t="s">
        <v>14336</v>
      </c>
      <c r="RJO1" t="s">
        <v>14337</v>
      </c>
      <c r="RJP1" t="s">
        <v>14338</v>
      </c>
      <c r="RJQ1" t="s">
        <v>14339</v>
      </c>
      <c r="RJR1" t="s">
        <v>14340</v>
      </c>
      <c r="RJS1" t="s">
        <v>14341</v>
      </c>
      <c r="RJT1" t="s">
        <v>14342</v>
      </c>
      <c r="RJU1" t="s">
        <v>14343</v>
      </c>
      <c r="RJV1" t="s">
        <v>14344</v>
      </c>
      <c r="RJW1" t="s">
        <v>14345</v>
      </c>
      <c r="RJX1" t="s">
        <v>14346</v>
      </c>
      <c r="RJY1" t="s">
        <v>14347</v>
      </c>
      <c r="RJZ1" t="s">
        <v>14348</v>
      </c>
      <c r="RKA1" t="s">
        <v>14349</v>
      </c>
      <c r="RKB1" t="s">
        <v>14350</v>
      </c>
      <c r="RKC1" t="s">
        <v>14351</v>
      </c>
      <c r="RKD1" t="s">
        <v>14352</v>
      </c>
      <c r="RKE1" t="s">
        <v>14353</v>
      </c>
      <c r="RKF1" t="s">
        <v>14354</v>
      </c>
      <c r="RKG1" t="s">
        <v>14355</v>
      </c>
      <c r="RKH1" t="s">
        <v>14356</v>
      </c>
      <c r="RKI1" t="s">
        <v>14357</v>
      </c>
      <c r="RKJ1" t="s">
        <v>14358</v>
      </c>
      <c r="RKK1" t="s">
        <v>14359</v>
      </c>
      <c r="RKL1" t="s">
        <v>14360</v>
      </c>
      <c r="RKM1" t="s">
        <v>14361</v>
      </c>
      <c r="RKN1" t="s">
        <v>14362</v>
      </c>
      <c r="RKO1" t="s">
        <v>14363</v>
      </c>
      <c r="RKP1" t="s">
        <v>14364</v>
      </c>
      <c r="RKQ1" t="s">
        <v>14365</v>
      </c>
      <c r="RKR1" t="s">
        <v>14366</v>
      </c>
      <c r="RKS1" t="s">
        <v>14367</v>
      </c>
      <c r="RKT1" t="s">
        <v>14368</v>
      </c>
      <c r="RKU1" t="s">
        <v>14369</v>
      </c>
      <c r="RKV1" t="s">
        <v>14370</v>
      </c>
      <c r="RKW1" t="s">
        <v>14371</v>
      </c>
      <c r="RKX1" t="s">
        <v>14372</v>
      </c>
      <c r="RKY1" t="s">
        <v>14373</v>
      </c>
      <c r="RKZ1" t="s">
        <v>14374</v>
      </c>
      <c r="RLA1" t="s">
        <v>14375</v>
      </c>
      <c r="RLB1" t="s">
        <v>14376</v>
      </c>
      <c r="RLC1" t="s">
        <v>14377</v>
      </c>
      <c r="RLD1" t="s">
        <v>14378</v>
      </c>
      <c r="RLE1" t="s">
        <v>14379</v>
      </c>
      <c r="RLF1" t="s">
        <v>14380</v>
      </c>
      <c r="RLG1" t="s">
        <v>14381</v>
      </c>
      <c r="RLH1" t="s">
        <v>14382</v>
      </c>
      <c r="RLI1" t="s">
        <v>14383</v>
      </c>
      <c r="RLJ1" t="s">
        <v>14384</v>
      </c>
      <c r="RLK1" t="s">
        <v>14385</v>
      </c>
      <c r="RLL1" t="s">
        <v>14386</v>
      </c>
      <c r="RLM1" t="s">
        <v>14387</v>
      </c>
      <c r="RLN1" t="s">
        <v>14388</v>
      </c>
      <c r="RLO1" t="s">
        <v>14389</v>
      </c>
      <c r="RLP1" t="s">
        <v>14390</v>
      </c>
      <c r="RLQ1" t="s">
        <v>14391</v>
      </c>
      <c r="RLR1" t="s">
        <v>14392</v>
      </c>
      <c r="RLS1" t="s">
        <v>14393</v>
      </c>
      <c r="RLT1" t="s">
        <v>14394</v>
      </c>
      <c r="RLU1" t="s">
        <v>14395</v>
      </c>
      <c r="RLV1" t="s">
        <v>14396</v>
      </c>
      <c r="RLW1" t="s">
        <v>14397</v>
      </c>
      <c r="RLX1" t="s">
        <v>14398</v>
      </c>
      <c r="RLY1" t="s">
        <v>14399</v>
      </c>
      <c r="RLZ1" t="s">
        <v>14400</v>
      </c>
      <c r="RMA1" t="s">
        <v>14401</v>
      </c>
      <c r="RMB1" t="s">
        <v>14402</v>
      </c>
      <c r="RMC1" t="s">
        <v>14403</v>
      </c>
      <c r="RMD1" t="s">
        <v>14404</v>
      </c>
      <c r="RME1" t="s">
        <v>14405</v>
      </c>
      <c r="RMF1" t="s">
        <v>14406</v>
      </c>
      <c r="RMG1" t="s">
        <v>14407</v>
      </c>
      <c r="RMH1" t="s">
        <v>14408</v>
      </c>
      <c r="RMI1" t="s">
        <v>14409</v>
      </c>
      <c r="RMJ1" t="s">
        <v>14410</v>
      </c>
      <c r="RMK1" t="s">
        <v>14411</v>
      </c>
      <c r="RML1" t="s">
        <v>14412</v>
      </c>
      <c r="RMM1" t="s">
        <v>14413</v>
      </c>
      <c r="RMN1" t="s">
        <v>14414</v>
      </c>
      <c r="RMO1" t="s">
        <v>14415</v>
      </c>
      <c r="RMP1" t="s">
        <v>14416</v>
      </c>
      <c r="RMQ1" t="s">
        <v>14417</v>
      </c>
      <c r="RMR1" t="s">
        <v>14418</v>
      </c>
      <c r="RMS1" t="s">
        <v>14419</v>
      </c>
      <c r="RMT1" t="s">
        <v>14420</v>
      </c>
      <c r="RMU1" t="s">
        <v>14421</v>
      </c>
      <c r="RMV1" t="s">
        <v>14422</v>
      </c>
      <c r="RMW1" t="s">
        <v>14423</v>
      </c>
      <c r="RMX1" t="s">
        <v>14424</v>
      </c>
      <c r="RMY1" t="s">
        <v>14425</v>
      </c>
      <c r="RMZ1" t="s">
        <v>14426</v>
      </c>
      <c r="RNA1" t="s">
        <v>14427</v>
      </c>
      <c r="RNB1" t="s">
        <v>14428</v>
      </c>
      <c r="RNC1" t="s">
        <v>14429</v>
      </c>
      <c r="RND1" t="s">
        <v>14430</v>
      </c>
      <c r="RNE1" t="s">
        <v>14431</v>
      </c>
      <c r="RNF1" t="s">
        <v>14432</v>
      </c>
      <c r="RNG1" t="s">
        <v>14433</v>
      </c>
      <c r="RNH1" t="s">
        <v>14434</v>
      </c>
      <c r="RNI1" t="s">
        <v>14435</v>
      </c>
      <c r="RNJ1" t="s">
        <v>14436</v>
      </c>
      <c r="RNK1" t="s">
        <v>14437</v>
      </c>
      <c r="RNL1" t="s">
        <v>14438</v>
      </c>
      <c r="RNM1" t="s">
        <v>14439</v>
      </c>
      <c r="RNN1" t="s">
        <v>14440</v>
      </c>
      <c r="RNO1" t="s">
        <v>14441</v>
      </c>
      <c r="RNP1" t="s">
        <v>14442</v>
      </c>
      <c r="RNQ1" t="s">
        <v>14443</v>
      </c>
      <c r="RNR1" t="s">
        <v>14444</v>
      </c>
      <c r="RNS1" t="s">
        <v>14445</v>
      </c>
      <c r="RNT1" t="s">
        <v>14446</v>
      </c>
      <c r="RNU1" t="s">
        <v>14447</v>
      </c>
      <c r="RNV1" t="s">
        <v>14448</v>
      </c>
      <c r="RNW1" t="s">
        <v>14449</v>
      </c>
      <c r="RNX1" t="s">
        <v>14450</v>
      </c>
      <c r="RNY1" t="s">
        <v>14451</v>
      </c>
      <c r="RNZ1" t="s">
        <v>14452</v>
      </c>
      <c r="ROA1" t="s">
        <v>14453</v>
      </c>
      <c r="ROB1" t="s">
        <v>14454</v>
      </c>
      <c r="ROC1" t="s">
        <v>14455</v>
      </c>
      <c r="ROD1" t="s">
        <v>14456</v>
      </c>
      <c r="ROE1" t="s">
        <v>14457</v>
      </c>
      <c r="ROF1" t="s">
        <v>14458</v>
      </c>
      <c r="ROG1" t="s">
        <v>14459</v>
      </c>
      <c r="ROH1" t="s">
        <v>14460</v>
      </c>
      <c r="ROI1" t="s">
        <v>14461</v>
      </c>
      <c r="ROJ1" t="s">
        <v>14462</v>
      </c>
      <c r="ROK1" t="s">
        <v>14463</v>
      </c>
      <c r="ROL1" t="s">
        <v>14464</v>
      </c>
      <c r="ROM1" t="s">
        <v>14465</v>
      </c>
      <c r="RON1" t="s">
        <v>14466</v>
      </c>
      <c r="ROO1" t="s">
        <v>14467</v>
      </c>
      <c r="ROP1" t="s">
        <v>14468</v>
      </c>
      <c r="ROQ1" t="s">
        <v>14469</v>
      </c>
      <c r="ROR1" t="s">
        <v>14470</v>
      </c>
      <c r="ROS1" t="s">
        <v>14471</v>
      </c>
      <c r="ROT1" t="s">
        <v>14472</v>
      </c>
      <c r="ROU1" t="s">
        <v>14473</v>
      </c>
      <c r="ROV1" t="s">
        <v>14474</v>
      </c>
      <c r="ROW1" t="s">
        <v>14475</v>
      </c>
      <c r="ROX1" t="s">
        <v>14476</v>
      </c>
      <c r="ROY1" t="s">
        <v>14477</v>
      </c>
      <c r="ROZ1" t="s">
        <v>14478</v>
      </c>
      <c r="RPA1" t="s">
        <v>14479</v>
      </c>
      <c r="RPB1" t="s">
        <v>14480</v>
      </c>
      <c r="RPC1" t="s">
        <v>14481</v>
      </c>
      <c r="RPD1" t="s">
        <v>14482</v>
      </c>
      <c r="RPE1" t="s">
        <v>14483</v>
      </c>
      <c r="RPF1" t="s">
        <v>14484</v>
      </c>
      <c r="RPG1" t="s">
        <v>14485</v>
      </c>
      <c r="RPH1" t="s">
        <v>14486</v>
      </c>
      <c r="RPI1" t="s">
        <v>14487</v>
      </c>
      <c r="RPJ1" t="s">
        <v>14488</v>
      </c>
      <c r="RPK1" t="s">
        <v>14489</v>
      </c>
      <c r="RPL1" t="s">
        <v>14490</v>
      </c>
      <c r="RPM1" t="s">
        <v>14491</v>
      </c>
      <c r="RPN1" t="s">
        <v>14492</v>
      </c>
      <c r="RPO1" t="s">
        <v>14493</v>
      </c>
      <c r="RPP1" t="s">
        <v>14494</v>
      </c>
      <c r="RPQ1" t="s">
        <v>14495</v>
      </c>
      <c r="RPR1" t="s">
        <v>14496</v>
      </c>
      <c r="RPS1" t="s">
        <v>14497</v>
      </c>
      <c r="RPT1" t="s">
        <v>14498</v>
      </c>
      <c r="RPU1" t="s">
        <v>14499</v>
      </c>
      <c r="RPV1" t="s">
        <v>14500</v>
      </c>
      <c r="RPW1" t="s">
        <v>14501</v>
      </c>
      <c r="RPX1" t="s">
        <v>14502</v>
      </c>
      <c r="RPY1" t="s">
        <v>14503</v>
      </c>
      <c r="RPZ1" t="s">
        <v>14504</v>
      </c>
      <c r="RQA1" t="s">
        <v>14505</v>
      </c>
      <c r="RQB1" t="s">
        <v>14506</v>
      </c>
      <c r="RQC1" t="s">
        <v>14507</v>
      </c>
      <c r="RQD1" t="s">
        <v>14508</v>
      </c>
      <c r="RQE1" t="s">
        <v>14509</v>
      </c>
      <c r="RQF1" t="s">
        <v>14510</v>
      </c>
      <c r="RQG1" t="s">
        <v>14511</v>
      </c>
      <c r="RQH1" t="s">
        <v>14512</v>
      </c>
      <c r="RQI1" t="s">
        <v>14513</v>
      </c>
      <c r="RQJ1" t="s">
        <v>14514</v>
      </c>
      <c r="RQK1" t="s">
        <v>14515</v>
      </c>
      <c r="RQL1" t="s">
        <v>14516</v>
      </c>
      <c r="RQM1" t="s">
        <v>14517</v>
      </c>
      <c r="RQN1" t="s">
        <v>14518</v>
      </c>
      <c r="RQO1" t="s">
        <v>14519</v>
      </c>
      <c r="RQP1" t="s">
        <v>14520</v>
      </c>
      <c r="RQQ1" t="s">
        <v>14521</v>
      </c>
      <c r="RQR1" t="s">
        <v>14522</v>
      </c>
      <c r="RQS1" t="s">
        <v>14523</v>
      </c>
      <c r="RQT1" t="s">
        <v>14524</v>
      </c>
      <c r="RQU1" t="s">
        <v>14525</v>
      </c>
      <c r="RQV1" t="s">
        <v>14526</v>
      </c>
      <c r="RQW1" t="s">
        <v>14527</v>
      </c>
      <c r="RQX1" t="s">
        <v>14528</v>
      </c>
      <c r="RQY1" t="s">
        <v>14529</v>
      </c>
      <c r="RQZ1" t="s">
        <v>14530</v>
      </c>
      <c r="RRA1" t="s">
        <v>14531</v>
      </c>
      <c r="RRB1" t="s">
        <v>14532</v>
      </c>
      <c r="RRC1" t="s">
        <v>14533</v>
      </c>
      <c r="RRD1" t="s">
        <v>14534</v>
      </c>
      <c r="RRE1" t="s">
        <v>14535</v>
      </c>
      <c r="RRF1" t="s">
        <v>14536</v>
      </c>
      <c r="RRG1" t="s">
        <v>14537</v>
      </c>
      <c r="RRH1" t="s">
        <v>14538</v>
      </c>
      <c r="RRI1" t="s">
        <v>14539</v>
      </c>
      <c r="RRJ1" t="s">
        <v>14540</v>
      </c>
      <c r="RRK1" t="s">
        <v>14541</v>
      </c>
      <c r="RRL1" t="s">
        <v>14542</v>
      </c>
      <c r="RRM1" t="s">
        <v>14543</v>
      </c>
      <c r="RRN1" t="s">
        <v>14544</v>
      </c>
      <c r="RRO1" t="s">
        <v>14545</v>
      </c>
      <c r="RRP1" t="s">
        <v>14546</v>
      </c>
      <c r="RRQ1" t="s">
        <v>14547</v>
      </c>
      <c r="RRR1" t="s">
        <v>14548</v>
      </c>
      <c r="RRS1" t="s">
        <v>14549</v>
      </c>
      <c r="RRT1" t="s">
        <v>14550</v>
      </c>
      <c r="RRU1" t="s">
        <v>14551</v>
      </c>
      <c r="RRV1" t="s">
        <v>14552</v>
      </c>
      <c r="RRW1" t="s">
        <v>14553</v>
      </c>
      <c r="RRX1" t="s">
        <v>14554</v>
      </c>
      <c r="RRY1" t="s">
        <v>14555</v>
      </c>
      <c r="RRZ1" t="s">
        <v>14556</v>
      </c>
      <c r="RSA1" t="s">
        <v>14557</v>
      </c>
      <c r="RSB1" t="s">
        <v>14558</v>
      </c>
      <c r="RSC1" t="s">
        <v>14559</v>
      </c>
      <c r="RSD1" t="s">
        <v>14560</v>
      </c>
      <c r="RSE1" t="s">
        <v>14561</v>
      </c>
      <c r="RSF1" t="s">
        <v>14562</v>
      </c>
      <c r="RSG1" t="s">
        <v>14563</v>
      </c>
      <c r="RSH1" t="s">
        <v>14564</v>
      </c>
      <c r="RSI1" t="s">
        <v>14565</v>
      </c>
      <c r="RSJ1" t="s">
        <v>14566</v>
      </c>
      <c r="RSK1" t="s">
        <v>14567</v>
      </c>
      <c r="RSL1" t="s">
        <v>14568</v>
      </c>
      <c r="RSM1" t="s">
        <v>14569</v>
      </c>
      <c r="RSN1" t="s">
        <v>14570</v>
      </c>
      <c r="RSO1" t="s">
        <v>14571</v>
      </c>
      <c r="RSP1" t="s">
        <v>14572</v>
      </c>
      <c r="RSQ1" t="s">
        <v>14573</v>
      </c>
      <c r="RSR1" t="s">
        <v>14574</v>
      </c>
      <c r="RSS1" t="s">
        <v>14575</v>
      </c>
      <c r="RST1" t="s">
        <v>14576</v>
      </c>
      <c r="RSU1" t="s">
        <v>14577</v>
      </c>
      <c r="RSV1" t="s">
        <v>14578</v>
      </c>
      <c r="RSW1" t="s">
        <v>14579</v>
      </c>
      <c r="RSX1" t="s">
        <v>14580</v>
      </c>
      <c r="RSY1" t="s">
        <v>14581</v>
      </c>
      <c r="RSZ1" t="s">
        <v>14582</v>
      </c>
      <c r="RTA1" t="s">
        <v>14583</v>
      </c>
      <c r="RTB1" t="s">
        <v>14584</v>
      </c>
      <c r="RTC1" t="s">
        <v>14585</v>
      </c>
      <c r="RTD1" t="s">
        <v>14586</v>
      </c>
      <c r="RTE1" t="s">
        <v>14587</v>
      </c>
      <c r="RTF1" t="s">
        <v>14588</v>
      </c>
      <c r="RTG1" t="s">
        <v>14589</v>
      </c>
      <c r="RTH1" t="s">
        <v>14590</v>
      </c>
      <c r="RTI1" t="s">
        <v>14591</v>
      </c>
      <c r="RTJ1" t="s">
        <v>14592</v>
      </c>
      <c r="RTK1" t="s">
        <v>14593</v>
      </c>
      <c r="RTL1" t="s">
        <v>14594</v>
      </c>
      <c r="RTM1" t="s">
        <v>14595</v>
      </c>
      <c r="RTN1" t="s">
        <v>14596</v>
      </c>
      <c r="RTO1" t="s">
        <v>14597</v>
      </c>
      <c r="RTP1" t="s">
        <v>14598</v>
      </c>
      <c r="RTQ1" t="s">
        <v>14599</v>
      </c>
      <c r="RTR1" t="s">
        <v>14600</v>
      </c>
      <c r="RTS1" t="s">
        <v>14601</v>
      </c>
      <c r="RTT1" t="s">
        <v>14602</v>
      </c>
      <c r="RTU1" t="s">
        <v>14603</v>
      </c>
      <c r="RTV1" t="s">
        <v>14604</v>
      </c>
      <c r="RTW1" t="s">
        <v>14605</v>
      </c>
      <c r="RTX1" t="s">
        <v>14606</v>
      </c>
      <c r="RTY1" t="s">
        <v>14607</v>
      </c>
      <c r="RTZ1" t="s">
        <v>14608</v>
      </c>
      <c r="RUA1" t="s">
        <v>14609</v>
      </c>
      <c r="RUB1" t="s">
        <v>14610</v>
      </c>
      <c r="RUC1" t="s">
        <v>14611</v>
      </c>
      <c r="RUD1" t="s">
        <v>14612</v>
      </c>
      <c r="RUE1" t="s">
        <v>14613</v>
      </c>
      <c r="RUF1" t="s">
        <v>14614</v>
      </c>
      <c r="RUG1" t="s">
        <v>14615</v>
      </c>
      <c r="RUH1" t="s">
        <v>14616</v>
      </c>
      <c r="RUI1" t="s">
        <v>14617</v>
      </c>
      <c r="RUJ1" t="s">
        <v>14618</v>
      </c>
      <c r="RUK1" t="s">
        <v>14619</v>
      </c>
      <c r="RUL1" t="s">
        <v>14620</v>
      </c>
      <c r="RUM1" t="s">
        <v>14621</v>
      </c>
      <c r="RUN1" t="s">
        <v>14622</v>
      </c>
      <c r="RUO1" t="s">
        <v>14623</v>
      </c>
      <c r="RUP1" t="s">
        <v>14624</v>
      </c>
      <c r="RUQ1" t="s">
        <v>14625</v>
      </c>
      <c r="RUR1" t="s">
        <v>14626</v>
      </c>
      <c r="RUS1" t="s">
        <v>14627</v>
      </c>
      <c r="RUT1" t="s">
        <v>14628</v>
      </c>
      <c r="RUU1" t="s">
        <v>14629</v>
      </c>
      <c r="RUV1" t="s">
        <v>14630</v>
      </c>
      <c r="RUW1" t="s">
        <v>14631</v>
      </c>
      <c r="RUX1" t="s">
        <v>14632</v>
      </c>
      <c r="RUY1" t="s">
        <v>14633</v>
      </c>
      <c r="RUZ1" t="s">
        <v>14634</v>
      </c>
      <c r="RVA1" t="s">
        <v>14635</v>
      </c>
      <c r="RVB1" t="s">
        <v>14636</v>
      </c>
      <c r="RVC1" t="s">
        <v>14637</v>
      </c>
      <c r="RVD1" t="s">
        <v>14638</v>
      </c>
      <c r="RVE1" t="s">
        <v>14639</v>
      </c>
      <c r="RVF1" t="s">
        <v>14640</v>
      </c>
      <c r="RVG1" t="s">
        <v>14641</v>
      </c>
      <c r="RVH1" t="s">
        <v>14642</v>
      </c>
      <c r="RVI1" t="s">
        <v>14643</v>
      </c>
      <c r="RVJ1" t="s">
        <v>14644</v>
      </c>
      <c r="RVK1" t="s">
        <v>14645</v>
      </c>
      <c r="RVL1" t="s">
        <v>14646</v>
      </c>
      <c r="RVM1" t="s">
        <v>14647</v>
      </c>
      <c r="RVN1" t="s">
        <v>14648</v>
      </c>
      <c r="RVO1" t="s">
        <v>14649</v>
      </c>
      <c r="RVP1" t="s">
        <v>14650</v>
      </c>
      <c r="RVQ1" t="s">
        <v>14651</v>
      </c>
      <c r="RVR1" t="s">
        <v>14652</v>
      </c>
      <c r="RVS1" t="s">
        <v>14653</v>
      </c>
      <c r="RVT1" t="s">
        <v>14654</v>
      </c>
      <c r="RVU1" t="s">
        <v>14655</v>
      </c>
      <c r="RVV1" t="s">
        <v>14656</v>
      </c>
      <c r="RVW1" t="s">
        <v>14657</v>
      </c>
      <c r="RVX1" t="s">
        <v>14658</v>
      </c>
      <c r="RVY1" t="s">
        <v>14659</v>
      </c>
      <c r="RVZ1" t="s">
        <v>14660</v>
      </c>
      <c r="RWA1" t="s">
        <v>14661</v>
      </c>
      <c r="RWB1" t="s">
        <v>14662</v>
      </c>
      <c r="RWC1" t="s">
        <v>14663</v>
      </c>
      <c r="RWD1" t="s">
        <v>14664</v>
      </c>
      <c r="RWE1" t="s">
        <v>14665</v>
      </c>
      <c r="RWF1" t="s">
        <v>14666</v>
      </c>
      <c r="RWG1" t="s">
        <v>14667</v>
      </c>
      <c r="RWH1" t="s">
        <v>14668</v>
      </c>
      <c r="RWI1" t="s">
        <v>14669</v>
      </c>
      <c r="RWJ1" t="s">
        <v>14670</v>
      </c>
      <c r="RWK1" t="s">
        <v>14671</v>
      </c>
      <c r="RWL1" t="s">
        <v>14672</v>
      </c>
      <c r="RWM1" t="s">
        <v>14673</v>
      </c>
      <c r="RWN1" t="s">
        <v>14674</v>
      </c>
      <c r="RWO1" t="s">
        <v>14675</v>
      </c>
      <c r="RWP1" t="s">
        <v>14676</v>
      </c>
      <c r="RWQ1" t="s">
        <v>14677</v>
      </c>
      <c r="RWR1" t="s">
        <v>14678</v>
      </c>
      <c r="RWS1" t="s">
        <v>14679</v>
      </c>
      <c r="RWT1" t="s">
        <v>14680</v>
      </c>
      <c r="RWU1" t="s">
        <v>14681</v>
      </c>
      <c r="RWV1" t="s">
        <v>14682</v>
      </c>
      <c r="RWW1" t="s">
        <v>14683</v>
      </c>
      <c r="RWX1" t="s">
        <v>14684</v>
      </c>
      <c r="RWY1" t="s">
        <v>14685</v>
      </c>
      <c r="RWZ1" t="s">
        <v>14686</v>
      </c>
      <c r="RXA1" t="s">
        <v>14687</v>
      </c>
      <c r="RXB1" t="s">
        <v>14688</v>
      </c>
      <c r="RXC1" t="s">
        <v>14689</v>
      </c>
      <c r="RXD1" t="s">
        <v>14690</v>
      </c>
      <c r="RXE1" t="s">
        <v>14691</v>
      </c>
      <c r="RXF1" t="s">
        <v>14692</v>
      </c>
      <c r="RXG1" t="s">
        <v>14693</v>
      </c>
      <c r="RXH1" t="s">
        <v>14694</v>
      </c>
      <c r="RXI1" t="s">
        <v>14695</v>
      </c>
      <c r="RXJ1" t="s">
        <v>14696</v>
      </c>
      <c r="RXK1" t="s">
        <v>14697</v>
      </c>
      <c r="RXL1" t="s">
        <v>14698</v>
      </c>
      <c r="RXM1" t="s">
        <v>14699</v>
      </c>
      <c r="RXN1" t="s">
        <v>14700</v>
      </c>
      <c r="RXO1" t="s">
        <v>14701</v>
      </c>
      <c r="RXP1" t="s">
        <v>14702</v>
      </c>
      <c r="RXQ1" t="s">
        <v>14703</v>
      </c>
      <c r="RXR1" t="s">
        <v>14704</v>
      </c>
      <c r="RXS1" t="s">
        <v>14705</v>
      </c>
      <c r="RXT1" t="s">
        <v>14706</v>
      </c>
      <c r="RXU1" t="s">
        <v>14707</v>
      </c>
      <c r="RXV1" t="s">
        <v>14708</v>
      </c>
      <c r="RXW1" t="s">
        <v>14709</v>
      </c>
      <c r="RXX1" t="s">
        <v>14710</v>
      </c>
      <c r="RXY1" t="s">
        <v>14711</v>
      </c>
      <c r="RXZ1" t="s">
        <v>14712</v>
      </c>
      <c r="RYA1" t="s">
        <v>14713</v>
      </c>
      <c r="RYB1" t="s">
        <v>14714</v>
      </c>
      <c r="RYC1" t="s">
        <v>14715</v>
      </c>
      <c r="RYD1" t="s">
        <v>14716</v>
      </c>
      <c r="RYE1" t="s">
        <v>14717</v>
      </c>
      <c r="RYF1" t="s">
        <v>14718</v>
      </c>
      <c r="RYG1" t="s">
        <v>14719</v>
      </c>
      <c r="RYH1" t="s">
        <v>14720</v>
      </c>
      <c r="RYI1" t="s">
        <v>14721</v>
      </c>
      <c r="RYJ1" t="s">
        <v>14722</v>
      </c>
      <c r="RYK1" t="s">
        <v>14723</v>
      </c>
      <c r="RYL1" t="s">
        <v>14724</v>
      </c>
      <c r="RYM1" t="s">
        <v>14725</v>
      </c>
      <c r="RYN1" t="s">
        <v>14726</v>
      </c>
      <c r="RYO1" t="s">
        <v>14727</v>
      </c>
      <c r="RYP1" t="s">
        <v>14728</v>
      </c>
      <c r="RYQ1" t="s">
        <v>14729</v>
      </c>
      <c r="RYR1" t="s">
        <v>14730</v>
      </c>
      <c r="RYS1" t="s">
        <v>14731</v>
      </c>
      <c r="RYT1" t="s">
        <v>14732</v>
      </c>
      <c r="RYU1" t="s">
        <v>14733</v>
      </c>
      <c r="RYV1" t="s">
        <v>14734</v>
      </c>
      <c r="RYW1" t="s">
        <v>14735</v>
      </c>
      <c r="RYX1" t="s">
        <v>14736</v>
      </c>
      <c r="RYY1" t="s">
        <v>14737</v>
      </c>
      <c r="RYZ1" t="s">
        <v>14738</v>
      </c>
      <c r="RZA1" t="s">
        <v>14739</v>
      </c>
      <c r="RZB1" t="s">
        <v>14740</v>
      </c>
      <c r="RZC1" t="s">
        <v>14741</v>
      </c>
      <c r="RZD1" t="s">
        <v>14742</v>
      </c>
      <c r="RZE1" t="s">
        <v>14743</v>
      </c>
      <c r="RZF1" t="s">
        <v>14744</v>
      </c>
      <c r="RZG1" t="s">
        <v>14745</v>
      </c>
      <c r="RZH1" t="s">
        <v>14746</v>
      </c>
      <c r="RZI1" t="s">
        <v>14747</v>
      </c>
      <c r="RZJ1" t="s">
        <v>14748</v>
      </c>
      <c r="RZK1" t="s">
        <v>14749</v>
      </c>
      <c r="RZL1" t="s">
        <v>14750</v>
      </c>
      <c r="RZM1" t="s">
        <v>14751</v>
      </c>
      <c r="RZN1" t="s">
        <v>14752</v>
      </c>
      <c r="RZO1" t="s">
        <v>14753</v>
      </c>
      <c r="RZP1" t="s">
        <v>14754</v>
      </c>
      <c r="RZQ1" t="s">
        <v>14755</v>
      </c>
      <c r="RZR1" t="s">
        <v>14756</v>
      </c>
      <c r="RZS1" t="s">
        <v>14757</v>
      </c>
      <c r="RZT1" t="s">
        <v>14758</v>
      </c>
      <c r="RZU1" t="s">
        <v>14759</v>
      </c>
      <c r="RZV1" t="s">
        <v>14760</v>
      </c>
      <c r="RZW1" t="s">
        <v>14761</v>
      </c>
      <c r="RZX1" t="s">
        <v>14762</v>
      </c>
      <c r="RZY1" t="s">
        <v>14763</v>
      </c>
      <c r="RZZ1" t="s">
        <v>14764</v>
      </c>
      <c r="SAA1" t="s">
        <v>14765</v>
      </c>
      <c r="SAB1" t="s">
        <v>14766</v>
      </c>
      <c r="SAC1" t="s">
        <v>14767</v>
      </c>
      <c r="SAD1" t="s">
        <v>14768</v>
      </c>
      <c r="SAE1" t="s">
        <v>14769</v>
      </c>
      <c r="SAF1" t="s">
        <v>14770</v>
      </c>
      <c r="SAG1" t="s">
        <v>14771</v>
      </c>
      <c r="SAH1" t="s">
        <v>14772</v>
      </c>
      <c r="SAI1" t="s">
        <v>14773</v>
      </c>
      <c r="SAJ1" t="s">
        <v>14774</v>
      </c>
      <c r="SAK1" t="s">
        <v>14775</v>
      </c>
      <c r="SAL1" t="s">
        <v>14776</v>
      </c>
      <c r="SAM1" t="s">
        <v>14777</v>
      </c>
      <c r="SAN1" t="s">
        <v>14778</v>
      </c>
      <c r="SAO1" t="s">
        <v>14779</v>
      </c>
      <c r="SAP1" t="s">
        <v>14780</v>
      </c>
      <c r="SAQ1" t="s">
        <v>14781</v>
      </c>
      <c r="SAR1" t="s">
        <v>14782</v>
      </c>
      <c r="SAS1" t="s">
        <v>14783</v>
      </c>
      <c r="SAT1" t="s">
        <v>14784</v>
      </c>
      <c r="SAU1" t="s">
        <v>14785</v>
      </c>
      <c r="SAV1" t="s">
        <v>14786</v>
      </c>
      <c r="SAW1" t="s">
        <v>14787</v>
      </c>
      <c r="SAX1" t="s">
        <v>14788</v>
      </c>
      <c r="SAY1" t="s">
        <v>14789</v>
      </c>
      <c r="SAZ1" t="s">
        <v>14790</v>
      </c>
      <c r="SBA1" t="s">
        <v>14791</v>
      </c>
      <c r="SBB1" t="s">
        <v>14792</v>
      </c>
      <c r="SBC1" t="s">
        <v>14793</v>
      </c>
      <c r="SBD1" t="s">
        <v>14794</v>
      </c>
      <c r="SBE1" t="s">
        <v>14795</v>
      </c>
      <c r="SBF1" t="s">
        <v>14796</v>
      </c>
      <c r="SBG1" t="s">
        <v>14797</v>
      </c>
      <c r="SBH1" t="s">
        <v>14798</v>
      </c>
      <c r="SBI1" t="s">
        <v>14799</v>
      </c>
      <c r="SBJ1" t="s">
        <v>14800</v>
      </c>
      <c r="SBK1" t="s">
        <v>14801</v>
      </c>
      <c r="SBL1" t="s">
        <v>14802</v>
      </c>
      <c r="SBM1" t="s">
        <v>14803</v>
      </c>
      <c r="SBN1" t="s">
        <v>14804</v>
      </c>
      <c r="SBO1" t="s">
        <v>14805</v>
      </c>
      <c r="SBP1" t="s">
        <v>14806</v>
      </c>
      <c r="SBQ1" t="s">
        <v>14807</v>
      </c>
      <c r="SBR1" t="s">
        <v>14808</v>
      </c>
      <c r="SBS1" t="s">
        <v>14809</v>
      </c>
      <c r="SBT1" t="s">
        <v>14810</v>
      </c>
      <c r="SBU1" t="s">
        <v>14811</v>
      </c>
      <c r="SBV1" t="s">
        <v>14812</v>
      </c>
      <c r="SBW1" t="s">
        <v>14813</v>
      </c>
      <c r="SBX1" t="s">
        <v>14814</v>
      </c>
      <c r="SBY1" t="s">
        <v>14815</v>
      </c>
      <c r="SBZ1" t="s">
        <v>14816</v>
      </c>
      <c r="SCA1" t="s">
        <v>14817</v>
      </c>
      <c r="SCB1" t="s">
        <v>14818</v>
      </c>
      <c r="SCC1" t="s">
        <v>14819</v>
      </c>
      <c r="SCD1" t="s">
        <v>14820</v>
      </c>
      <c r="SCE1" t="s">
        <v>14821</v>
      </c>
      <c r="SCF1" t="s">
        <v>14822</v>
      </c>
      <c r="SCG1" t="s">
        <v>14823</v>
      </c>
      <c r="SCH1" t="s">
        <v>14824</v>
      </c>
      <c r="SCI1" t="s">
        <v>14825</v>
      </c>
      <c r="SCJ1" t="s">
        <v>14826</v>
      </c>
      <c r="SCK1" t="s">
        <v>14827</v>
      </c>
      <c r="SCL1" t="s">
        <v>14828</v>
      </c>
      <c r="SCM1" t="s">
        <v>14829</v>
      </c>
      <c r="SCN1" t="s">
        <v>14830</v>
      </c>
      <c r="SCO1" t="s">
        <v>14831</v>
      </c>
      <c r="SCP1" t="s">
        <v>14832</v>
      </c>
      <c r="SCQ1" t="s">
        <v>14833</v>
      </c>
      <c r="SCR1" t="s">
        <v>14834</v>
      </c>
      <c r="SCS1" t="s">
        <v>14835</v>
      </c>
      <c r="SCT1" t="s">
        <v>14836</v>
      </c>
      <c r="SCU1" t="s">
        <v>14837</v>
      </c>
      <c r="SCV1" t="s">
        <v>14838</v>
      </c>
      <c r="SCW1" t="s">
        <v>14839</v>
      </c>
      <c r="SCX1" t="s">
        <v>14840</v>
      </c>
      <c r="SCY1" t="s">
        <v>14841</v>
      </c>
      <c r="SCZ1" t="s">
        <v>14842</v>
      </c>
      <c r="SDA1" t="s">
        <v>14843</v>
      </c>
      <c r="SDB1" t="s">
        <v>14844</v>
      </c>
      <c r="SDC1" t="s">
        <v>14845</v>
      </c>
      <c r="SDD1" t="s">
        <v>14846</v>
      </c>
      <c r="SDE1" t="s">
        <v>14847</v>
      </c>
      <c r="SDF1" t="s">
        <v>14848</v>
      </c>
      <c r="SDG1" t="s">
        <v>14849</v>
      </c>
      <c r="SDH1" t="s">
        <v>14850</v>
      </c>
      <c r="SDI1" t="s">
        <v>14851</v>
      </c>
      <c r="SDJ1" t="s">
        <v>14852</v>
      </c>
      <c r="SDK1" t="s">
        <v>14853</v>
      </c>
      <c r="SDL1" t="s">
        <v>14854</v>
      </c>
      <c r="SDM1" t="s">
        <v>14855</v>
      </c>
      <c r="SDN1" t="s">
        <v>14856</v>
      </c>
      <c r="SDO1" t="s">
        <v>14857</v>
      </c>
      <c r="SDP1" t="s">
        <v>14858</v>
      </c>
      <c r="SDQ1" t="s">
        <v>14859</v>
      </c>
      <c r="SDR1" t="s">
        <v>14860</v>
      </c>
      <c r="SDS1" t="s">
        <v>14861</v>
      </c>
      <c r="SDT1" t="s">
        <v>14862</v>
      </c>
      <c r="SDU1" t="s">
        <v>14863</v>
      </c>
      <c r="SDV1" t="s">
        <v>14864</v>
      </c>
      <c r="SDW1" t="s">
        <v>14865</v>
      </c>
      <c r="SDX1" t="s">
        <v>14866</v>
      </c>
      <c r="SDY1" t="s">
        <v>14867</v>
      </c>
      <c r="SDZ1" t="s">
        <v>14868</v>
      </c>
      <c r="SEA1" t="s">
        <v>14869</v>
      </c>
      <c r="SEB1" t="s">
        <v>14870</v>
      </c>
      <c r="SEC1" t="s">
        <v>14871</v>
      </c>
      <c r="SED1" t="s">
        <v>14872</v>
      </c>
      <c r="SEE1" t="s">
        <v>14873</v>
      </c>
      <c r="SEF1" t="s">
        <v>14874</v>
      </c>
      <c r="SEG1" t="s">
        <v>14875</v>
      </c>
      <c r="SEH1" t="s">
        <v>14876</v>
      </c>
      <c r="SEI1" t="s">
        <v>14877</v>
      </c>
      <c r="SEJ1" t="s">
        <v>14878</v>
      </c>
      <c r="SEK1" t="s">
        <v>14879</v>
      </c>
      <c r="SEL1" t="s">
        <v>14880</v>
      </c>
      <c r="SEM1" t="s">
        <v>14881</v>
      </c>
      <c r="SEN1" t="s">
        <v>14882</v>
      </c>
      <c r="SEO1" t="s">
        <v>14883</v>
      </c>
      <c r="SEP1" t="s">
        <v>14884</v>
      </c>
      <c r="SEQ1" t="s">
        <v>14885</v>
      </c>
      <c r="SER1" t="s">
        <v>14886</v>
      </c>
      <c r="SES1" t="s">
        <v>14887</v>
      </c>
      <c r="SET1" t="s">
        <v>14888</v>
      </c>
      <c r="SEU1" t="s">
        <v>14889</v>
      </c>
      <c r="SEV1" t="s">
        <v>14890</v>
      </c>
      <c r="SEW1" t="s">
        <v>14891</v>
      </c>
      <c r="SEX1" t="s">
        <v>14892</v>
      </c>
      <c r="SEY1" t="s">
        <v>14893</v>
      </c>
      <c r="SEZ1" t="s">
        <v>14894</v>
      </c>
      <c r="SFA1" t="s">
        <v>14895</v>
      </c>
      <c r="SFB1" t="s">
        <v>14896</v>
      </c>
      <c r="SFC1" t="s">
        <v>14897</v>
      </c>
      <c r="SFD1" t="s">
        <v>14898</v>
      </c>
      <c r="SFE1" t="s">
        <v>14899</v>
      </c>
      <c r="SFF1" t="s">
        <v>14900</v>
      </c>
      <c r="SFG1" t="s">
        <v>14901</v>
      </c>
      <c r="SFH1" t="s">
        <v>14902</v>
      </c>
      <c r="SFI1" t="s">
        <v>14903</v>
      </c>
      <c r="SFJ1" t="s">
        <v>14904</v>
      </c>
      <c r="SFK1" t="s">
        <v>14905</v>
      </c>
      <c r="SFL1" t="s">
        <v>14906</v>
      </c>
      <c r="SFM1" t="s">
        <v>14907</v>
      </c>
      <c r="SFN1" t="s">
        <v>14908</v>
      </c>
      <c r="SFO1" t="s">
        <v>14909</v>
      </c>
      <c r="SFP1" t="s">
        <v>14910</v>
      </c>
      <c r="SFQ1" t="s">
        <v>14911</v>
      </c>
      <c r="SFR1" t="s">
        <v>14912</v>
      </c>
      <c r="SFS1" t="s">
        <v>14913</v>
      </c>
      <c r="SFT1" t="s">
        <v>14914</v>
      </c>
      <c r="SFU1" t="s">
        <v>14915</v>
      </c>
      <c r="SFV1" t="s">
        <v>14916</v>
      </c>
      <c r="SFW1" t="s">
        <v>14917</v>
      </c>
      <c r="SFX1" t="s">
        <v>14918</v>
      </c>
      <c r="SFY1" t="s">
        <v>14919</v>
      </c>
      <c r="SFZ1" t="s">
        <v>14920</v>
      </c>
      <c r="SGA1" t="s">
        <v>14921</v>
      </c>
      <c r="SGB1" t="s">
        <v>14922</v>
      </c>
      <c r="SGC1" t="s">
        <v>14923</v>
      </c>
      <c r="SGD1" t="s">
        <v>14924</v>
      </c>
      <c r="SGE1" t="s">
        <v>14925</v>
      </c>
      <c r="SGF1" t="s">
        <v>14926</v>
      </c>
      <c r="SGG1" t="s">
        <v>14927</v>
      </c>
      <c r="SGH1" t="s">
        <v>14928</v>
      </c>
      <c r="SGI1" t="s">
        <v>14929</v>
      </c>
      <c r="SGJ1" t="s">
        <v>14930</v>
      </c>
      <c r="SGK1" t="s">
        <v>14931</v>
      </c>
      <c r="SGL1" t="s">
        <v>14932</v>
      </c>
      <c r="SGM1" t="s">
        <v>14933</v>
      </c>
      <c r="SGN1" t="s">
        <v>14934</v>
      </c>
      <c r="SGO1" t="s">
        <v>14935</v>
      </c>
      <c r="SGP1" t="s">
        <v>14936</v>
      </c>
      <c r="SGQ1" t="s">
        <v>14937</v>
      </c>
      <c r="SGR1" t="s">
        <v>14938</v>
      </c>
      <c r="SGS1" t="s">
        <v>14939</v>
      </c>
      <c r="SGT1" t="s">
        <v>14940</v>
      </c>
      <c r="SGU1" t="s">
        <v>14941</v>
      </c>
      <c r="SGV1" t="s">
        <v>14942</v>
      </c>
      <c r="SGW1" t="s">
        <v>14943</v>
      </c>
      <c r="SGX1" t="s">
        <v>14944</v>
      </c>
      <c r="SGY1" t="s">
        <v>14945</v>
      </c>
      <c r="SGZ1" t="s">
        <v>14946</v>
      </c>
      <c r="SHA1" t="s">
        <v>14947</v>
      </c>
      <c r="SHB1" t="s">
        <v>14948</v>
      </c>
      <c r="SHC1" t="s">
        <v>14949</v>
      </c>
      <c r="SHD1" t="s">
        <v>14950</v>
      </c>
      <c r="SHE1" t="s">
        <v>14951</v>
      </c>
      <c r="SHF1" t="s">
        <v>14952</v>
      </c>
      <c r="SHG1" t="s">
        <v>14953</v>
      </c>
      <c r="SHH1" t="s">
        <v>14954</v>
      </c>
      <c r="SHI1" t="s">
        <v>14955</v>
      </c>
      <c r="SHJ1" t="s">
        <v>14956</v>
      </c>
      <c r="SHK1" t="s">
        <v>14957</v>
      </c>
      <c r="SHL1" t="s">
        <v>14958</v>
      </c>
      <c r="SHM1" t="s">
        <v>14959</v>
      </c>
      <c r="SHN1" t="s">
        <v>14960</v>
      </c>
      <c r="SHO1" t="s">
        <v>14961</v>
      </c>
      <c r="SHP1" t="s">
        <v>14962</v>
      </c>
      <c r="SHQ1" t="s">
        <v>14963</v>
      </c>
      <c r="SHR1" t="s">
        <v>14964</v>
      </c>
      <c r="SHS1" t="s">
        <v>14965</v>
      </c>
      <c r="SHT1" t="s">
        <v>14966</v>
      </c>
      <c r="SHU1" t="s">
        <v>14967</v>
      </c>
      <c r="SHV1" t="s">
        <v>14968</v>
      </c>
      <c r="SHW1" t="s">
        <v>14969</v>
      </c>
      <c r="SHX1" t="s">
        <v>14970</v>
      </c>
      <c r="SHY1" t="s">
        <v>14971</v>
      </c>
      <c r="SHZ1" t="s">
        <v>14972</v>
      </c>
      <c r="SIA1" t="s">
        <v>14973</v>
      </c>
      <c r="SIB1" t="s">
        <v>14974</v>
      </c>
      <c r="SIC1" t="s">
        <v>14975</v>
      </c>
      <c r="SID1" t="s">
        <v>14976</v>
      </c>
      <c r="SIE1" t="s">
        <v>14977</v>
      </c>
      <c r="SIF1" t="s">
        <v>14978</v>
      </c>
      <c r="SIG1" t="s">
        <v>14979</v>
      </c>
      <c r="SIH1" t="s">
        <v>14980</v>
      </c>
      <c r="SII1" t="s">
        <v>14981</v>
      </c>
      <c r="SIJ1" t="s">
        <v>14982</v>
      </c>
      <c r="SIK1" t="s">
        <v>14983</v>
      </c>
      <c r="SIL1" t="s">
        <v>14984</v>
      </c>
      <c r="SIM1" t="s">
        <v>14985</v>
      </c>
      <c r="SIN1" t="s">
        <v>14986</v>
      </c>
      <c r="SIO1" t="s">
        <v>14987</v>
      </c>
      <c r="SIP1" t="s">
        <v>14988</v>
      </c>
      <c r="SIQ1" t="s">
        <v>14989</v>
      </c>
      <c r="SIR1" t="s">
        <v>14990</v>
      </c>
      <c r="SIS1" t="s">
        <v>14991</v>
      </c>
      <c r="SIT1" t="s">
        <v>14992</v>
      </c>
      <c r="SIU1" t="s">
        <v>14993</v>
      </c>
      <c r="SIV1" t="s">
        <v>14994</v>
      </c>
      <c r="SIW1" t="s">
        <v>14995</v>
      </c>
      <c r="SIX1" t="s">
        <v>14996</v>
      </c>
      <c r="SIY1" t="s">
        <v>14997</v>
      </c>
      <c r="SIZ1" t="s">
        <v>14998</v>
      </c>
      <c r="SJA1" t="s">
        <v>14999</v>
      </c>
      <c r="SJB1" t="s">
        <v>15000</v>
      </c>
      <c r="SJC1" t="s">
        <v>15001</v>
      </c>
      <c r="SJD1" t="s">
        <v>15002</v>
      </c>
      <c r="SJE1" t="s">
        <v>15003</v>
      </c>
      <c r="SJF1" t="s">
        <v>15004</v>
      </c>
      <c r="SJG1" t="s">
        <v>15005</v>
      </c>
      <c r="SJH1" t="s">
        <v>15006</v>
      </c>
      <c r="SJI1" t="s">
        <v>15007</v>
      </c>
      <c r="SJJ1" t="s">
        <v>15008</v>
      </c>
      <c r="SJK1" t="s">
        <v>15009</v>
      </c>
      <c r="SJL1" t="s">
        <v>15010</v>
      </c>
      <c r="SJM1" t="s">
        <v>15011</v>
      </c>
      <c r="SJN1" t="s">
        <v>15012</v>
      </c>
      <c r="SJO1" t="s">
        <v>15013</v>
      </c>
      <c r="SJP1" t="s">
        <v>15014</v>
      </c>
      <c r="SJQ1" t="s">
        <v>15015</v>
      </c>
      <c r="SJR1" t="s">
        <v>15016</v>
      </c>
      <c r="SJS1" t="s">
        <v>15017</v>
      </c>
      <c r="SJT1" t="s">
        <v>15018</v>
      </c>
      <c r="SJU1" t="s">
        <v>15019</v>
      </c>
      <c r="SJV1" t="s">
        <v>15020</v>
      </c>
      <c r="SJW1" t="s">
        <v>15021</v>
      </c>
      <c r="SJX1" t="s">
        <v>15022</v>
      </c>
      <c r="SJY1" t="s">
        <v>15023</v>
      </c>
      <c r="SJZ1" t="s">
        <v>15024</v>
      </c>
      <c r="SKA1" t="s">
        <v>15025</v>
      </c>
      <c r="SKB1" t="s">
        <v>15026</v>
      </c>
      <c r="SKC1" t="s">
        <v>15027</v>
      </c>
      <c r="SKD1" t="s">
        <v>15028</v>
      </c>
      <c r="SKE1" t="s">
        <v>15029</v>
      </c>
      <c r="SKF1" t="s">
        <v>15030</v>
      </c>
      <c r="SKG1" t="s">
        <v>15031</v>
      </c>
      <c r="SKH1" t="s">
        <v>15032</v>
      </c>
      <c r="SKI1" t="s">
        <v>15033</v>
      </c>
      <c r="SKJ1" t="s">
        <v>15034</v>
      </c>
      <c r="SKK1" t="s">
        <v>15035</v>
      </c>
      <c r="SKL1" t="s">
        <v>15036</v>
      </c>
      <c r="SKM1" t="s">
        <v>15037</v>
      </c>
      <c r="SKN1" t="s">
        <v>15038</v>
      </c>
      <c r="SKO1" t="s">
        <v>15039</v>
      </c>
      <c r="SKP1" t="s">
        <v>15040</v>
      </c>
      <c r="SKQ1" t="s">
        <v>15041</v>
      </c>
      <c r="SKR1" t="s">
        <v>15042</v>
      </c>
      <c r="SKS1" t="s">
        <v>15043</v>
      </c>
      <c r="SKT1" t="s">
        <v>15044</v>
      </c>
      <c r="SKU1" t="s">
        <v>15045</v>
      </c>
      <c r="SKV1" t="s">
        <v>15046</v>
      </c>
      <c r="SKW1" t="s">
        <v>15047</v>
      </c>
      <c r="SKX1" t="s">
        <v>15048</v>
      </c>
      <c r="SKY1" t="s">
        <v>15049</v>
      </c>
      <c r="SKZ1" t="s">
        <v>15050</v>
      </c>
      <c r="SLA1" t="s">
        <v>15051</v>
      </c>
      <c r="SLB1" t="s">
        <v>15052</v>
      </c>
      <c r="SLC1" t="s">
        <v>15053</v>
      </c>
      <c r="SLD1" t="s">
        <v>15054</v>
      </c>
      <c r="SLE1" t="s">
        <v>15055</v>
      </c>
      <c r="SLF1" t="s">
        <v>15056</v>
      </c>
      <c r="SLG1" t="s">
        <v>15057</v>
      </c>
      <c r="SLH1" t="s">
        <v>15058</v>
      </c>
      <c r="SLI1" t="s">
        <v>15059</v>
      </c>
      <c r="SLJ1" t="s">
        <v>15060</v>
      </c>
      <c r="SLK1" t="s">
        <v>15061</v>
      </c>
      <c r="SLL1" t="s">
        <v>15062</v>
      </c>
      <c r="SLM1" t="s">
        <v>15063</v>
      </c>
      <c r="SLN1" t="s">
        <v>15064</v>
      </c>
      <c r="SLO1" t="s">
        <v>15065</v>
      </c>
      <c r="SLP1" t="s">
        <v>15066</v>
      </c>
      <c r="SLQ1" t="s">
        <v>15067</v>
      </c>
      <c r="SLR1" t="s">
        <v>15068</v>
      </c>
      <c r="SLS1" t="s">
        <v>15069</v>
      </c>
      <c r="SLT1" t="s">
        <v>15070</v>
      </c>
      <c r="SLU1" t="s">
        <v>15071</v>
      </c>
      <c r="SLV1" t="s">
        <v>15072</v>
      </c>
      <c r="SLW1" t="s">
        <v>15073</v>
      </c>
      <c r="SLX1" t="s">
        <v>15074</v>
      </c>
      <c r="SLY1" t="s">
        <v>15075</v>
      </c>
      <c r="SLZ1" t="s">
        <v>15076</v>
      </c>
      <c r="SMA1" t="s">
        <v>15077</v>
      </c>
      <c r="SMB1" t="s">
        <v>15078</v>
      </c>
      <c r="SMC1" t="s">
        <v>15079</v>
      </c>
      <c r="SMD1" t="s">
        <v>15080</v>
      </c>
      <c r="SME1" t="s">
        <v>15081</v>
      </c>
      <c r="SMF1" t="s">
        <v>15082</v>
      </c>
      <c r="SMG1" t="s">
        <v>15083</v>
      </c>
      <c r="SMH1" t="s">
        <v>15084</v>
      </c>
      <c r="SMI1" t="s">
        <v>15085</v>
      </c>
      <c r="SMJ1" t="s">
        <v>15086</v>
      </c>
      <c r="SMK1" t="s">
        <v>15087</v>
      </c>
      <c r="SML1" t="s">
        <v>15088</v>
      </c>
      <c r="SMM1" t="s">
        <v>15089</v>
      </c>
      <c r="SMN1" t="s">
        <v>15090</v>
      </c>
      <c r="SMO1" t="s">
        <v>15091</v>
      </c>
      <c r="SMP1" t="s">
        <v>15092</v>
      </c>
      <c r="SMQ1" t="s">
        <v>15093</v>
      </c>
      <c r="SMR1" t="s">
        <v>15094</v>
      </c>
      <c r="SMS1" t="s">
        <v>15095</v>
      </c>
      <c r="SMT1" t="s">
        <v>15096</v>
      </c>
      <c r="SMU1" t="s">
        <v>15097</v>
      </c>
      <c r="SMV1" t="s">
        <v>15098</v>
      </c>
      <c r="SMW1" t="s">
        <v>15099</v>
      </c>
      <c r="SMX1" t="s">
        <v>15100</v>
      </c>
      <c r="SMY1" t="s">
        <v>15101</v>
      </c>
      <c r="SMZ1" t="s">
        <v>15102</v>
      </c>
      <c r="SNA1" t="s">
        <v>15103</v>
      </c>
      <c r="SNB1" t="s">
        <v>15104</v>
      </c>
      <c r="SNC1" t="s">
        <v>15105</v>
      </c>
      <c r="SND1" t="s">
        <v>15106</v>
      </c>
      <c r="SNE1" t="s">
        <v>15107</v>
      </c>
      <c r="SNF1" t="s">
        <v>15108</v>
      </c>
      <c r="SNG1" t="s">
        <v>15109</v>
      </c>
      <c r="SNH1" t="s">
        <v>15110</v>
      </c>
      <c r="SNI1" t="s">
        <v>15111</v>
      </c>
      <c r="SNJ1" t="s">
        <v>15112</v>
      </c>
      <c r="SNK1" t="s">
        <v>15113</v>
      </c>
      <c r="SNL1" t="s">
        <v>15114</v>
      </c>
      <c r="SNM1" t="s">
        <v>15115</v>
      </c>
      <c r="SNN1" t="s">
        <v>15116</v>
      </c>
      <c r="SNO1" t="s">
        <v>15117</v>
      </c>
      <c r="SNP1" t="s">
        <v>15118</v>
      </c>
      <c r="SNQ1" t="s">
        <v>15119</v>
      </c>
      <c r="SNR1" t="s">
        <v>15120</v>
      </c>
      <c r="SNS1" t="s">
        <v>15121</v>
      </c>
      <c r="SNT1" t="s">
        <v>15122</v>
      </c>
      <c r="SNU1" t="s">
        <v>15123</v>
      </c>
      <c r="SNV1" t="s">
        <v>15124</v>
      </c>
      <c r="SNW1" t="s">
        <v>15125</v>
      </c>
      <c r="SNX1" t="s">
        <v>15126</v>
      </c>
      <c r="SNY1" t="s">
        <v>15127</v>
      </c>
      <c r="SNZ1" t="s">
        <v>15128</v>
      </c>
      <c r="SOA1" t="s">
        <v>15129</v>
      </c>
      <c r="SOB1" t="s">
        <v>15130</v>
      </c>
      <c r="SOC1" t="s">
        <v>15131</v>
      </c>
      <c r="SOD1" t="s">
        <v>15132</v>
      </c>
      <c r="SOE1" t="s">
        <v>15133</v>
      </c>
      <c r="SOF1" t="s">
        <v>15134</v>
      </c>
      <c r="SOG1" t="s">
        <v>15135</v>
      </c>
      <c r="SOH1" t="s">
        <v>15136</v>
      </c>
      <c r="SOI1" t="s">
        <v>15137</v>
      </c>
      <c r="SOJ1" t="s">
        <v>15138</v>
      </c>
      <c r="SOK1" t="s">
        <v>15139</v>
      </c>
      <c r="SOL1" t="s">
        <v>15140</v>
      </c>
      <c r="SOM1" t="s">
        <v>15141</v>
      </c>
      <c r="SON1" t="s">
        <v>15142</v>
      </c>
      <c r="SOO1" t="s">
        <v>15143</v>
      </c>
      <c r="SOP1" t="s">
        <v>15144</v>
      </c>
      <c r="SOQ1" t="s">
        <v>15145</v>
      </c>
      <c r="SOR1" t="s">
        <v>15146</v>
      </c>
      <c r="SOS1" t="s">
        <v>15147</v>
      </c>
      <c r="SOT1" t="s">
        <v>15148</v>
      </c>
      <c r="SOU1" t="s">
        <v>15149</v>
      </c>
      <c r="SOV1" t="s">
        <v>15150</v>
      </c>
      <c r="SOW1" t="s">
        <v>15151</v>
      </c>
      <c r="SOX1" t="s">
        <v>15152</v>
      </c>
      <c r="SOY1" t="s">
        <v>15153</v>
      </c>
      <c r="SOZ1" t="s">
        <v>15154</v>
      </c>
      <c r="SPA1" t="s">
        <v>15155</v>
      </c>
      <c r="SPB1" t="s">
        <v>15156</v>
      </c>
      <c r="SPC1" t="s">
        <v>15157</v>
      </c>
      <c r="SPD1" t="s">
        <v>15158</v>
      </c>
      <c r="SPE1" t="s">
        <v>15159</v>
      </c>
      <c r="SPF1" t="s">
        <v>15160</v>
      </c>
      <c r="SPG1" t="s">
        <v>15161</v>
      </c>
      <c r="SPH1" t="s">
        <v>15162</v>
      </c>
      <c r="SPI1" t="s">
        <v>15163</v>
      </c>
      <c r="SPJ1" t="s">
        <v>15164</v>
      </c>
      <c r="SPK1" t="s">
        <v>15165</v>
      </c>
      <c r="SPL1" t="s">
        <v>15166</v>
      </c>
      <c r="SPM1" t="s">
        <v>15167</v>
      </c>
      <c r="SPN1" t="s">
        <v>15168</v>
      </c>
      <c r="SPO1" t="s">
        <v>15169</v>
      </c>
      <c r="SPP1" t="s">
        <v>15170</v>
      </c>
      <c r="SPQ1" t="s">
        <v>15171</v>
      </c>
      <c r="SPR1" t="s">
        <v>15172</v>
      </c>
      <c r="SPS1" t="s">
        <v>15173</v>
      </c>
      <c r="SPT1" t="s">
        <v>15174</v>
      </c>
      <c r="SPU1" t="s">
        <v>15175</v>
      </c>
      <c r="SPV1" t="s">
        <v>15176</v>
      </c>
      <c r="SPW1" t="s">
        <v>15177</v>
      </c>
      <c r="SPX1" t="s">
        <v>15178</v>
      </c>
      <c r="SPY1" t="s">
        <v>15179</v>
      </c>
      <c r="SPZ1" t="s">
        <v>15180</v>
      </c>
      <c r="SQA1" t="s">
        <v>15181</v>
      </c>
      <c r="SQB1" t="s">
        <v>15182</v>
      </c>
      <c r="SQC1" t="s">
        <v>15183</v>
      </c>
      <c r="SQD1" t="s">
        <v>15184</v>
      </c>
      <c r="SQE1" t="s">
        <v>15185</v>
      </c>
      <c r="SQF1" t="s">
        <v>15186</v>
      </c>
      <c r="SQG1" t="s">
        <v>15187</v>
      </c>
      <c r="SQH1" t="s">
        <v>15188</v>
      </c>
      <c r="SQI1" t="s">
        <v>15189</v>
      </c>
      <c r="SQJ1" t="s">
        <v>15190</v>
      </c>
      <c r="SQK1" t="s">
        <v>15191</v>
      </c>
      <c r="SQL1" t="s">
        <v>15192</v>
      </c>
      <c r="SQM1" t="s">
        <v>15193</v>
      </c>
      <c r="SQN1" t="s">
        <v>15194</v>
      </c>
      <c r="SQO1" t="s">
        <v>15195</v>
      </c>
      <c r="SQP1" t="s">
        <v>15196</v>
      </c>
      <c r="SQQ1" t="s">
        <v>15197</v>
      </c>
      <c r="SQR1" t="s">
        <v>15198</v>
      </c>
      <c r="SQS1" t="s">
        <v>15199</v>
      </c>
      <c r="SQT1" t="s">
        <v>15200</v>
      </c>
      <c r="SQU1" t="s">
        <v>15201</v>
      </c>
      <c r="SQV1" t="s">
        <v>15202</v>
      </c>
      <c r="SQW1" t="s">
        <v>15203</v>
      </c>
      <c r="SQX1" t="s">
        <v>15204</v>
      </c>
      <c r="SQY1" t="s">
        <v>15205</v>
      </c>
      <c r="SQZ1" t="s">
        <v>15206</v>
      </c>
      <c r="SRA1" t="s">
        <v>15207</v>
      </c>
      <c r="SRB1" t="s">
        <v>15208</v>
      </c>
      <c r="SRC1" t="s">
        <v>15209</v>
      </c>
      <c r="SRD1" t="s">
        <v>15210</v>
      </c>
      <c r="SRE1" t="s">
        <v>15211</v>
      </c>
      <c r="SRF1" t="s">
        <v>15212</v>
      </c>
      <c r="SRG1" t="s">
        <v>15213</v>
      </c>
      <c r="SRH1" t="s">
        <v>15214</v>
      </c>
      <c r="SRI1" t="s">
        <v>15215</v>
      </c>
      <c r="SRJ1" t="s">
        <v>15216</v>
      </c>
      <c r="SRK1" t="s">
        <v>15217</v>
      </c>
      <c r="SRL1" t="s">
        <v>15218</v>
      </c>
      <c r="SRM1" t="s">
        <v>15219</v>
      </c>
      <c r="SRN1" t="s">
        <v>15220</v>
      </c>
      <c r="SRO1" t="s">
        <v>15221</v>
      </c>
      <c r="SRP1" t="s">
        <v>15222</v>
      </c>
      <c r="SRQ1" t="s">
        <v>15223</v>
      </c>
      <c r="SRR1" t="s">
        <v>15224</v>
      </c>
      <c r="SRS1" t="s">
        <v>15225</v>
      </c>
      <c r="SRT1" t="s">
        <v>15226</v>
      </c>
      <c r="SRU1" t="s">
        <v>15227</v>
      </c>
      <c r="SRV1" t="s">
        <v>15228</v>
      </c>
      <c r="SRW1" t="s">
        <v>15229</v>
      </c>
      <c r="SRX1" t="s">
        <v>15230</v>
      </c>
      <c r="SRY1" t="s">
        <v>15231</v>
      </c>
      <c r="SRZ1" t="s">
        <v>15232</v>
      </c>
      <c r="SSA1" t="s">
        <v>15233</v>
      </c>
      <c r="SSB1" t="s">
        <v>15234</v>
      </c>
      <c r="SSC1" t="s">
        <v>15235</v>
      </c>
      <c r="SSD1" t="s">
        <v>15236</v>
      </c>
      <c r="SSE1" t="s">
        <v>15237</v>
      </c>
      <c r="SSF1" t="s">
        <v>15238</v>
      </c>
      <c r="SSG1" t="s">
        <v>15239</v>
      </c>
      <c r="SSH1" t="s">
        <v>15240</v>
      </c>
      <c r="SSI1" t="s">
        <v>15241</v>
      </c>
      <c r="SSJ1" t="s">
        <v>15242</v>
      </c>
      <c r="SSK1" t="s">
        <v>15243</v>
      </c>
      <c r="SSL1" t="s">
        <v>15244</v>
      </c>
      <c r="SSM1" t="s">
        <v>15245</v>
      </c>
      <c r="SSN1" t="s">
        <v>15246</v>
      </c>
      <c r="SSO1" t="s">
        <v>15247</v>
      </c>
      <c r="SSP1" t="s">
        <v>15248</v>
      </c>
      <c r="SSQ1" t="s">
        <v>15249</v>
      </c>
      <c r="SSR1" t="s">
        <v>15250</v>
      </c>
      <c r="SSS1" t="s">
        <v>15251</v>
      </c>
      <c r="SST1" t="s">
        <v>15252</v>
      </c>
      <c r="SSU1" t="s">
        <v>15253</v>
      </c>
      <c r="SSV1" t="s">
        <v>15254</v>
      </c>
      <c r="SSW1" t="s">
        <v>15255</v>
      </c>
      <c r="SSX1" t="s">
        <v>15256</v>
      </c>
      <c r="SSY1" t="s">
        <v>15257</v>
      </c>
      <c r="SSZ1" t="s">
        <v>15258</v>
      </c>
      <c r="STA1" t="s">
        <v>15259</v>
      </c>
      <c r="STB1" t="s">
        <v>15260</v>
      </c>
      <c r="STC1" t="s">
        <v>15261</v>
      </c>
      <c r="STD1" t="s">
        <v>15262</v>
      </c>
      <c r="STE1" t="s">
        <v>15263</v>
      </c>
      <c r="STF1" t="s">
        <v>15264</v>
      </c>
      <c r="STG1" t="s">
        <v>15265</v>
      </c>
      <c r="STH1" t="s">
        <v>15266</v>
      </c>
      <c r="STI1" t="s">
        <v>15267</v>
      </c>
      <c r="STJ1" t="s">
        <v>15268</v>
      </c>
      <c r="STK1" t="s">
        <v>15269</v>
      </c>
      <c r="STL1" t="s">
        <v>15270</v>
      </c>
      <c r="STM1" t="s">
        <v>15271</v>
      </c>
      <c r="STN1" t="s">
        <v>15272</v>
      </c>
      <c r="STO1" t="s">
        <v>15273</v>
      </c>
      <c r="STP1" t="s">
        <v>15274</v>
      </c>
      <c r="STQ1" t="s">
        <v>15275</v>
      </c>
      <c r="STR1" t="s">
        <v>15276</v>
      </c>
      <c r="STS1" t="s">
        <v>15277</v>
      </c>
      <c r="STT1" t="s">
        <v>15278</v>
      </c>
      <c r="STU1" t="s">
        <v>15279</v>
      </c>
      <c r="STV1" t="s">
        <v>15280</v>
      </c>
      <c r="STW1" t="s">
        <v>15281</v>
      </c>
      <c r="STX1" t="s">
        <v>15282</v>
      </c>
      <c r="STY1" t="s">
        <v>15283</v>
      </c>
      <c r="STZ1" t="s">
        <v>15284</v>
      </c>
      <c r="SUA1" t="s">
        <v>15285</v>
      </c>
      <c r="SUB1" t="s">
        <v>15286</v>
      </c>
      <c r="SUC1" t="s">
        <v>15287</v>
      </c>
      <c r="SUD1" t="s">
        <v>15288</v>
      </c>
      <c r="SUE1" t="s">
        <v>15289</v>
      </c>
      <c r="SUF1" t="s">
        <v>15290</v>
      </c>
      <c r="SUG1" t="s">
        <v>15291</v>
      </c>
      <c r="SUH1" t="s">
        <v>15292</v>
      </c>
      <c r="SUI1" t="s">
        <v>15293</v>
      </c>
      <c r="SUJ1" t="s">
        <v>15294</v>
      </c>
      <c r="SUK1" t="s">
        <v>15295</v>
      </c>
      <c r="SUL1" t="s">
        <v>15296</v>
      </c>
      <c r="SUM1" t="s">
        <v>15297</v>
      </c>
      <c r="SUN1" t="s">
        <v>15298</v>
      </c>
      <c r="SUO1" t="s">
        <v>15299</v>
      </c>
      <c r="SUP1" t="s">
        <v>15300</v>
      </c>
      <c r="SUQ1" t="s">
        <v>15301</v>
      </c>
      <c r="SUR1" t="s">
        <v>15302</v>
      </c>
      <c r="SUS1" t="s">
        <v>15303</v>
      </c>
      <c r="SUT1" t="s">
        <v>15304</v>
      </c>
      <c r="SUU1" t="s">
        <v>15305</v>
      </c>
      <c r="SUV1" t="s">
        <v>15306</v>
      </c>
      <c r="SUW1" t="s">
        <v>15307</v>
      </c>
      <c r="SUX1" t="s">
        <v>15308</v>
      </c>
      <c r="SUY1" t="s">
        <v>15309</v>
      </c>
      <c r="SUZ1" t="s">
        <v>15310</v>
      </c>
      <c r="SVA1" t="s">
        <v>15311</v>
      </c>
      <c r="SVB1" t="s">
        <v>15312</v>
      </c>
      <c r="SVC1" t="s">
        <v>15313</v>
      </c>
      <c r="SVD1" t="s">
        <v>15314</v>
      </c>
      <c r="SVE1" t="s">
        <v>15315</v>
      </c>
      <c r="SVF1" t="s">
        <v>15316</v>
      </c>
      <c r="SVG1" t="s">
        <v>15317</v>
      </c>
      <c r="SVH1" t="s">
        <v>15318</v>
      </c>
      <c r="SVI1" t="s">
        <v>15319</v>
      </c>
      <c r="SVJ1" t="s">
        <v>15320</v>
      </c>
      <c r="SVK1" t="s">
        <v>15321</v>
      </c>
      <c r="SVL1" t="s">
        <v>15322</v>
      </c>
      <c r="SVM1" t="s">
        <v>15323</v>
      </c>
      <c r="SVN1" t="s">
        <v>15324</v>
      </c>
      <c r="SVO1" t="s">
        <v>15325</v>
      </c>
      <c r="SVP1" t="s">
        <v>15326</v>
      </c>
      <c r="SVQ1" t="s">
        <v>15327</v>
      </c>
      <c r="SVR1" t="s">
        <v>15328</v>
      </c>
      <c r="SVS1" t="s">
        <v>15329</v>
      </c>
      <c r="SVT1" t="s">
        <v>15330</v>
      </c>
      <c r="SVU1" t="s">
        <v>15331</v>
      </c>
      <c r="SVV1" t="s">
        <v>15332</v>
      </c>
      <c r="SVW1" t="s">
        <v>15333</v>
      </c>
      <c r="SVX1" t="s">
        <v>15334</v>
      </c>
      <c r="SVY1" t="s">
        <v>15335</v>
      </c>
      <c r="SVZ1" t="s">
        <v>15336</v>
      </c>
      <c r="SWA1" t="s">
        <v>15337</v>
      </c>
      <c r="SWB1" t="s">
        <v>15338</v>
      </c>
      <c r="SWC1" t="s">
        <v>15339</v>
      </c>
      <c r="SWD1" t="s">
        <v>15340</v>
      </c>
      <c r="SWE1" t="s">
        <v>15341</v>
      </c>
      <c r="SWF1" t="s">
        <v>15342</v>
      </c>
      <c r="SWG1" t="s">
        <v>15343</v>
      </c>
      <c r="SWH1" t="s">
        <v>15344</v>
      </c>
      <c r="SWI1" t="s">
        <v>15345</v>
      </c>
      <c r="SWJ1" t="s">
        <v>15346</v>
      </c>
      <c r="SWK1" t="s">
        <v>15347</v>
      </c>
      <c r="SWL1" t="s">
        <v>15348</v>
      </c>
      <c r="SWM1" t="s">
        <v>15349</v>
      </c>
      <c r="SWN1" t="s">
        <v>15350</v>
      </c>
      <c r="SWO1" t="s">
        <v>15351</v>
      </c>
      <c r="SWP1" t="s">
        <v>15352</v>
      </c>
      <c r="SWQ1" t="s">
        <v>15353</v>
      </c>
      <c r="SWR1" t="s">
        <v>15354</v>
      </c>
      <c r="SWS1" t="s">
        <v>15355</v>
      </c>
      <c r="SWT1" t="s">
        <v>15356</v>
      </c>
      <c r="SWU1" t="s">
        <v>15357</v>
      </c>
      <c r="SWV1" t="s">
        <v>15358</v>
      </c>
      <c r="SWW1" t="s">
        <v>15359</v>
      </c>
      <c r="SWX1" t="s">
        <v>15360</v>
      </c>
      <c r="SWY1" t="s">
        <v>15361</v>
      </c>
      <c r="SWZ1" t="s">
        <v>15362</v>
      </c>
      <c r="SXA1" t="s">
        <v>15363</v>
      </c>
      <c r="SXB1" t="s">
        <v>15364</v>
      </c>
      <c r="SXC1" t="s">
        <v>15365</v>
      </c>
      <c r="SXD1" t="s">
        <v>15366</v>
      </c>
      <c r="SXE1" t="s">
        <v>15367</v>
      </c>
      <c r="SXF1" t="s">
        <v>15368</v>
      </c>
      <c r="SXG1" t="s">
        <v>15369</v>
      </c>
      <c r="SXH1" t="s">
        <v>15370</v>
      </c>
      <c r="SXI1" t="s">
        <v>15371</v>
      </c>
      <c r="SXJ1" t="s">
        <v>15372</v>
      </c>
      <c r="SXK1" t="s">
        <v>15373</v>
      </c>
      <c r="SXL1" t="s">
        <v>15374</v>
      </c>
      <c r="SXM1" t="s">
        <v>15375</v>
      </c>
      <c r="SXN1" t="s">
        <v>15376</v>
      </c>
      <c r="SXO1" t="s">
        <v>15377</v>
      </c>
      <c r="SXP1" t="s">
        <v>15378</v>
      </c>
      <c r="SXQ1" t="s">
        <v>15379</v>
      </c>
      <c r="SXR1" t="s">
        <v>15380</v>
      </c>
      <c r="SXS1" t="s">
        <v>15381</v>
      </c>
      <c r="SXT1" t="s">
        <v>15382</v>
      </c>
      <c r="SXU1" t="s">
        <v>15383</v>
      </c>
      <c r="SXV1" t="s">
        <v>15384</v>
      </c>
      <c r="SXW1" t="s">
        <v>15385</v>
      </c>
      <c r="SXX1" t="s">
        <v>15386</v>
      </c>
      <c r="SXY1" t="s">
        <v>15387</v>
      </c>
      <c r="SXZ1" t="s">
        <v>15388</v>
      </c>
      <c r="SYA1" t="s">
        <v>15389</v>
      </c>
      <c r="SYB1" t="s">
        <v>15390</v>
      </c>
      <c r="SYC1" t="s">
        <v>15391</v>
      </c>
      <c r="SYD1" t="s">
        <v>15392</v>
      </c>
      <c r="SYE1" t="s">
        <v>15393</v>
      </c>
      <c r="SYF1" t="s">
        <v>15394</v>
      </c>
      <c r="SYG1" t="s">
        <v>15395</v>
      </c>
      <c r="SYH1" t="s">
        <v>15396</v>
      </c>
      <c r="SYI1" t="s">
        <v>15397</v>
      </c>
      <c r="SYJ1" t="s">
        <v>15398</v>
      </c>
      <c r="SYK1" t="s">
        <v>15399</v>
      </c>
      <c r="SYL1" t="s">
        <v>15400</v>
      </c>
      <c r="SYM1" t="s">
        <v>15401</v>
      </c>
      <c r="SYN1" t="s">
        <v>15402</v>
      </c>
      <c r="SYO1" t="s">
        <v>15403</v>
      </c>
      <c r="SYP1" t="s">
        <v>15404</v>
      </c>
      <c r="SYQ1" t="s">
        <v>15405</v>
      </c>
      <c r="SYR1" t="s">
        <v>15406</v>
      </c>
      <c r="SYS1" t="s">
        <v>15407</v>
      </c>
      <c r="SYT1" t="s">
        <v>15408</v>
      </c>
      <c r="SYU1" t="s">
        <v>15409</v>
      </c>
      <c r="SYV1" t="s">
        <v>15410</v>
      </c>
      <c r="SYW1" t="s">
        <v>15411</v>
      </c>
      <c r="SYX1" t="s">
        <v>15412</v>
      </c>
      <c r="SYY1" t="s">
        <v>15413</v>
      </c>
      <c r="SYZ1" t="s">
        <v>15414</v>
      </c>
      <c r="SZA1" t="s">
        <v>15415</v>
      </c>
      <c r="SZB1" t="s">
        <v>15416</v>
      </c>
      <c r="SZC1" t="s">
        <v>15417</v>
      </c>
      <c r="SZD1" t="s">
        <v>15418</v>
      </c>
      <c r="SZE1" t="s">
        <v>15419</v>
      </c>
      <c r="SZF1" t="s">
        <v>15420</v>
      </c>
      <c r="SZG1" t="s">
        <v>15421</v>
      </c>
      <c r="SZH1" t="s">
        <v>15422</v>
      </c>
      <c r="SZI1" t="s">
        <v>15423</v>
      </c>
      <c r="SZJ1" t="s">
        <v>15424</v>
      </c>
      <c r="SZK1" t="s">
        <v>15425</v>
      </c>
      <c r="SZL1" t="s">
        <v>15426</v>
      </c>
      <c r="SZM1" t="s">
        <v>15427</v>
      </c>
      <c r="SZN1" t="s">
        <v>15428</v>
      </c>
      <c r="SZO1" t="s">
        <v>15429</v>
      </c>
      <c r="SZP1" t="s">
        <v>15430</v>
      </c>
      <c r="SZQ1" t="s">
        <v>15431</v>
      </c>
      <c r="SZR1" t="s">
        <v>15432</v>
      </c>
      <c r="SZS1" t="s">
        <v>15433</v>
      </c>
      <c r="SZT1" t="s">
        <v>15434</v>
      </c>
      <c r="SZU1" t="s">
        <v>15435</v>
      </c>
      <c r="SZV1" t="s">
        <v>15436</v>
      </c>
      <c r="SZW1" t="s">
        <v>15437</v>
      </c>
      <c r="SZX1" t="s">
        <v>15438</v>
      </c>
      <c r="SZY1" t="s">
        <v>15439</v>
      </c>
      <c r="SZZ1" t="s">
        <v>15440</v>
      </c>
      <c r="TAA1" t="s">
        <v>15441</v>
      </c>
      <c r="TAB1" t="s">
        <v>15442</v>
      </c>
      <c r="TAC1" t="s">
        <v>15443</v>
      </c>
      <c r="TAD1" t="s">
        <v>15444</v>
      </c>
      <c r="TAE1" t="s">
        <v>15445</v>
      </c>
      <c r="TAF1" t="s">
        <v>15446</v>
      </c>
      <c r="TAG1" t="s">
        <v>15447</v>
      </c>
      <c r="TAH1" t="s">
        <v>15448</v>
      </c>
      <c r="TAI1" t="s">
        <v>15449</v>
      </c>
      <c r="TAJ1" t="s">
        <v>15450</v>
      </c>
      <c r="TAK1" t="s">
        <v>15451</v>
      </c>
      <c r="TAL1" t="s">
        <v>15452</v>
      </c>
      <c r="TAM1" t="s">
        <v>15453</v>
      </c>
      <c r="TAN1" t="s">
        <v>15454</v>
      </c>
      <c r="TAO1" t="s">
        <v>15455</v>
      </c>
      <c r="TAP1" t="s">
        <v>15456</v>
      </c>
      <c r="TAQ1" t="s">
        <v>15457</v>
      </c>
      <c r="TAR1" t="s">
        <v>15458</v>
      </c>
      <c r="TAS1" t="s">
        <v>15459</v>
      </c>
      <c r="TAT1" t="s">
        <v>15460</v>
      </c>
      <c r="TAU1" t="s">
        <v>15461</v>
      </c>
      <c r="TAV1" t="s">
        <v>15462</v>
      </c>
      <c r="TAW1" t="s">
        <v>15463</v>
      </c>
      <c r="TAX1" t="s">
        <v>15464</v>
      </c>
      <c r="TAY1" t="s">
        <v>15465</v>
      </c>
      <c r="TAZ1" t="s">
        <v>15466</v>
      </c>
      <c r="TBA1" t="s">
        <v>15467</v>
      </c>
      <c r="TBB1" t="s">
        <v>15468</v>
      </c>
      <c r="TBC1" t="s">
        <v>15469</v>
      </c>
      <c r="TBD1" t="s">
        <v>15470</v>
      </c>
      <c r="TBE1" t="s">
        <v>15471</v>
      </c>
      <c r="TBF1" t="s">
        <v>15472</v>
      </c>
      <c r="TBG1" t="s">
        <v>15473</v>
      </c>
      <c r="TBH1" t="s">
        <v>15474</v>
      </c>
      <c r="TBI1" t="s">
        <v>15475</v>
      </c>
      <c r="TBJ1" t="s">
        <v>15476</v>
      </c>
      <c r="TBK1" t="s">
        <v>15477</v>
      </c>
      <c r="TBL1" t="s">
        <v>15478</v>
      </c>
      <c r="TBM1" t="s">
        <v>15479</v>
      </c>
      <c r="TBN1" t="s">
        <v>15480</v>
      </c>
      <c r="TBO1" t="s">
        <v>15481</v>
      </c>
      <c r="TBP1" t="s">
        <v>15482</v>
      </c>
      <c r="TBQ1" t="s">
        <v>15483</v>
      </c>
      <c r="TBR1" t="s">
        <v>15484</v>
      </c>
      <c r="TBS1" t="s">
        <v>15485</v>
      </c>
      <c r="TBT1" t="s">
        <v>15486</v>
      </c>
      <c r="TBU1" t="s">
        <v>15487</v>
      </c>
      <c r="TBV1" t="s">
        <v>15488</v>
      </c>
      <c r="TBW1" t="s">
        <v>15489</v>
      </c>
      <c r="TBX1" t="s">
        <v>15490</v>
      </c>
      <c r="TBY1" t="s">
        <v>15491</v>
      </c>
      <c r="TBZ1" t="s">
        <v>15492</v>
      </c>
      <c r="TCA1" t="s">
        <v>15493</v>
      </c>
      <c r="TCB1" t="s">
        <v>15494</v>
      </c>
      <c r="TCC1" t="s">
        <v>15495</v>
      </c>
      <c r="TCD1" t="s">
        <v>15496</v>
      </c>
      <c r="TCE1" t="s">
        <v>15497</v>
      </c>
      <c r="TCF1" t="s">
        <v>15498</v>
      </c>
      <c r="TCG1" t="s">
        <v>15499</v>
      </c>
      <c r="TCH1" t="s">
        <v>15500</v>
      </c>
      <c r="TCI1" t="s">
        <v>15501</v>
      </c>
      <c r="TCJ1" t="s">
        <v>15502</v>
      </c>
      <c r="TCK1" t="s">
        <v>15503</v>
      </c>
      <c r="TCL1" t="s">
        <v>15504</v>
      </c>
      <c r="TCM1" t="s">
        <v>15505</v>
      </c>
      <c r="TCN1" t="s">
        <v>15506</v>
      </c>
      <c r="TCO1" t="s">
        <v>15507</v>
      </c>
      <c r="TCP1" t="s">
        <v>15508</v>
      </c>
      <c r="TCQ1" t="s">
        <v>15509</v>
      </c>
      <c r="TCR1" t="s">
        <v>15510</v>
      </c>
      <c r="TCS1" t="s">
        <v>15511</v>
      </c>
      <c r="TCT1" t="s">
        <v>15512</v>
      </c>
      <c r="TCU1" t="s">
        <v>15513</v>
      </c>
      <c r="TCV1" t="s">
        <v>15514</v>
      </c>
      <c r="TCW1" t="s">
        <v>15515</v>
      </c>
      <c r="TCX1" t="s">
        <v>15516</v>
      </c>
      <c r="TCY1" t="s">
        <v>15517</v>
      </c>
      <c r="TCZ1" t="s">
        <v>15518</v>
      </c>
      <c r="TDA1" t="s">
        <v>15519</v>
      </c>
      <c r="TDB1" t="s">
        <v>15520</v>
      </c>
      <c r="TDC1" t="s">
        <v>15521</v>
      </c>
      <c r="TDD1" t="s">
        <v>15522</v>
      </c>
      <c r="TDE1" t="s">
        <v>15523</v>
      </c>
      <c r="TDF1" t="s">
        <v>15524</v>
      </c>
      <c r="TDG1" t="s">
        <v>15525</v>
      </c>
      <c r="TDH1" t="s">
        <v>15526</v>
      </c>
      <c r="TDI1" t="s">
        <v>15527</v>
      </c>
      <c r="TDJ1" t="s">
        <v>15528</v>
      </c>
      <c r="TDK1" t="s">
        <v>15529</v>
      </c>
      <c r="TDL1" t="s">
        <v>15530</v>
      </c>
      <c r="TDM1" t="s">
        <v>15531</v>
      </c>
      <c r="TDN1" t="s">
        <v>15532</v>
      </c>
      <c r="TDO1" t="s">
        <v>15533</v>
      </c>
      <c r="TDP1" t="s">
        <v>15534</v>
      </c>
      <c r="TDQ1" t="s">
        <v>15535</v>
      </c>
      <c r="TDR1" t="s">
        <v>15536</v>
      </c>
      <c r="TDS1" t="s">
        <v>15537</v>
      </c>
      <c r="TDT1" t="s">
        <v>15538</v>
      </c>
      <c r="TDU1" t="s">
        <v>15539</v>
      </c>
      <c r="TDV1" t="s">
        <v>15540</v>
      </c>
      <c r="TDW1" t="s">
        <v>15541</v>
      </c>
      <c r="TDX1" t="s">
        <v>15542</v>
      </c>
      <c r="TDY1" t="s">
        <v>15543</v>
      </c>
      <c r="TDZ1" t="s">
        <v>15544</v>
      </c>
      <c r="TEA1" t="s">
        <v>15545</v>
      </c>
      <c r="TEB1" t="s">
        <v>15546</v>
      </c>
      <c r="TEC1" t="s">
        <v>15547</v>
      </c>
      <c r="TED1" t="s">
        <v>15548</v>
      </c>
      <c r="TEE1" t="s">
        <v>15549</v>
      </c>
      <c r="TEF1" t="s">
        <v>15550</v>
      </c>
      <c r="TEG1" t="s">
        <v>15551</v>
      </c>
      <c r="TEH1" t="s">
        <v>15552</v>
      </c>
      <c r="TEI1" t="s">
        <v>15553</v>
      </c>
      <c r="TEJ1" t="s">
        <v>15554</v>
      </c>
      <c r="TEK1" t="s">
        <v>15555</v>
      </c>
      <c r="TEL1" t="s">
        <v>15556</v>
      </c>
      <c r="TEM1" t="s">
        <v>15557</v>
      </c>
      <c r="TEN1" t="s">
        <v>15558</v>
      </c>
      <c r="TEO1" t="s">
        <v>15559</v>
      </c>
      <c r="TEP1" t="s">
        <v>15560</v>
      </c>
      <c r="TEQ1" t="s">
        <v>15561</v>
      </c>
      <c r="TER1" t="s">
        <v>15562</v>
      </c>
      <c r="TES1" t="s">
        <v>15563</v>
      </c>
      <c r="TET1" t="s">
        <v>15564</v>
      </c>
      <c r="TEU1" t="s">
        <v>15565</v>
      </c>
      <c r="TEV1" t="s">
        <v>15566</v>
      </c>
      <c r="TEW1" t="s">
        <v>15567</v>
      </c>
      <c r="TEX1" t="s">
        <v>15568</v>
      </c>
      <c r="TEY1" t="s">
        <v>15569</v>
      </c>
      <c r="TEZ1" t="s">
        <v>15570</v>
      </c>
      <c r="TFA1" t="s">
        <v>15571</v>
      </c>
      <c r="TFB1" t="s">
        <v>15572</v>
      </c>
      <c r="TFC1" t="s">
        <v>15573</v>
      </c>
      <c r="TFD1" t="s">
        <v>15574</v>
      </c>
      <c r="TFE1" t="s">
        <v>15575</v>
      </c>
      <c r="TFF1" t="s">
        <v>15576</v>
      </c>
      <c r="TFG1" t="s">
        <v>15577</v>
      </c>
      <c r="TFH1" t="s">
        <v>15578</v>
      </c>
      <c r="TFI1" t="s">
        <v>15579</v>
      </c>
      <c r="TFJ1" t="s">
        <v>15580</v>
      </c>
      <c r="TFK1" t="s">
        <v>15581</v>
      </c>
      <c r="TFL1" t="s">
        <v>15582</v>
      </c>
      <c r="TFM1" t="s">
        <v>15583</v>
      </c>
      <c r="TFN1" t="s">
        <v>15584</v>
      </c>
      <c r="TFO1" t="s">
        <v>15585</v>
      </c>
      <c r="TFP1" t="s">
        <v>15586</v>
      </c>
      <c r="TFQ1" t="s">
        <v>15587</v>
      </c>
      <c r="TFR1" t="s">
        <v>15588</v>
      </c>
      <c r="TFS1" t="s">
        <v>15589</v>
      </c>
      <c r="TFT1" t="s">
        <v>15590</v>
      </c>
      <c r="TFU1" t="s">
        <v>15591</v>
      </c>
      <c r="TFV1" t="s">
        <v>15592</v>
      </c>
      <c r="TFW1" t="s">
        <v>15593</v>
      </c>
      <c r="TFX1" t="s">
        <v>15594</v>
      </c>
      <c r="TFY1" t="s">
        <v>15595</v>
      </c>
      <c r="TFZ1" t="s">
        <v>15596</v>
      </c>
      <c r="TGA1" t="s">
        <v>15597</v>
      </c>
      <c r="TGB1" t="s">
        <v>15598</v>
      </c>
      <c r="TGC1" t="s">
        <v>15599</v>
      </c>
      <c r="TGD1" t="s">
        <v>15600</v>
      </c>
      <c r="TGE1" t="s">
        <v>15601</v>
      </c>
      <c r="TGF1" t="s">
        <v>15602</v>
      </c>
      <c r="TGG1" t="s">
        <v>15603</v>
      </c>
      <c r="TGH1" t="s">
        <v>15604</v>
      </c>
      <c r="TGI1" t="s">
        <v>15605</v>
      </c>
      <c r="TGJ1" t="s">
        <v>15606</v>
      </c>
      <c r="TGK1" t="s">
        <v>15607</v>
      </c>
      <c r="TGL1" t="s">
        <v>15608</v>
      </c>
      <c r="TGM1" t="s">
        <v>15609</v>
      </c>
      <c r="TGN1" t="s">
        <v>15610</v>
      </c>
      <c r="TGO1" t="s">
        <v>15611</v>
      </c>
      <c r="TGP1" t="s">
        <v>15612</v>
      </c>
      <c r="TGQ1" t="s">
        <v>15613</v>
      </c>
      <c r="TGR1" t="s">
        <v>15614</v>
      </c>
      <c r="TGS1" t="s">
        <v>15615</v>
      </c>
      <c r="TGT1" t="s">
        <v>15616</v>
      </c>
      <c r="TGU1" t="s">
        <v>15617</v>
      </c>
      <c r="TGV1" t="s">
        <v>15618</v>
      </c>
      <c r="TGW1" t="s">
        <v>15619</v>
      </c>
      <c r="TGX1" t="s">
        <v>15620</v>
      </c>
      <c r="TGY1" t="s">
        <v>15621</v>
      </c>
      <c r="TGZ1" t="s">
        <v>15622</v>
      </c>
      <c r="THA1" t="s">
        <v>15623</v>
      </c>
      <c r="THB1" t="s">
        <v>15624</v>
      </c>
      <c r="THC1" t="s">
        <v>15625</v>
      </c>
      <c r="THD1" t="s">
        <v>15626</v>
      </c>
      <c r="THE1" t="s">
        <v>15627</v>
      </c>
      <c r="THF1" t="s">
        <v>15628</v>
      </c>
      <c r="THG1" t="s">
        <v>15629</v>
      </c>
      <c r="THH1" t="s">
        <v>15630</v>
      </c>
      <c r="THI1" t="s">
        <v>15631</v>
      </c>
      <c r="THJ1" t="s">
        <v>15632</v>
      </c>
      <c r="THK1" t="s">
        <v>15633</v>
      </c>
      <c r="THL1" t="s">
        <v>15634</v>
      </c>
      <c r="THM1" t="s">
        <v>15635</v>
      </c>
      <c r="THN1" t="s">
        <v>15636</v>
      </c>
      <c r="THO1" t="s">
        <v>15637</v>
      </c>
      <c r="THP1" t="s">
        <v>15638</v>
      </c>
      <c r="THQ1" t="s">
        <v>15639</v>
      </c>
      <c r="THR1" t="s">
        <v>15640</v>
      </c>
      <c r="THS1" t="s">
        <v>15641</v>
      </c>
      <c r="THT1" t="s">
        <v>15642</v>
      </c>
      <c r="THU1" t="s">
        <v>15643</v>
      </c>
      <c r="THV1" t="s">
        <v>15644</v>
      </c>
      <c r="THW1" t="s">
        <v>15645</v>
      </c>
      <c r="THX1" t="s">
        <v>15646</v>
      </c>
      <c r="THY1" t="s">
        <v>15647</v>
      </c>
      <c r="THZ1" t="s">
        <v>15648</v>
      </c>
      <c r="TIA1" t="s">
        <v>15649</v>
      </c>
      <c r="TIB1" t="s">
        <v>15650</v>
      </c>
      <c r="TIC1" t="s">
        <v>15651</v>
      </c>
      <c r="TID1" t="s">
        <v>15652</v>
      </c>
      <c r="TIE1" t="s">
        <v>15653</v>
      </c>
      <c r="TIF1" t="s">
        <v>15654</v>
      </c>
      <c r="TIG1" t="s">
        <v>15655</v>
      </c>
      <c r="TIH1" t="s">
        <v>15656</v>
      </c>
      <c r="TII1" t="s">
        <v>15657</v>
      </c>
      <c r="TIJ1" t="s">
        <v>15658</v>
      </c>
      <c r="TIK1" t="s">
        <v>15659</v>
      </c>
      <c r="TIL1" t="s">
        <v>15660</v>
      </c>
      <c r="TIM1" t="s">
        <v>15661</v>
      </c>
      <c r="TIN1" t="s">
        <v>15662</v>
      </c>
      <c r="TIO1" t="s">
        <v>15663</v>
      </c>
      <c r="TIP1" t="s">
        <v>15664</v>
      </c>
      <c r="TIQ1" t="s">
        <v>15665</v>
      </c>
      <c r="TIR1" t="s">
        <v>15666</v>
      </c>
      <c r="TIS1" t="s">
        <v>15667</v>
      </c>
      <c r="TIT1" t="s">
        <v>15668</v>
      </c>
      <c r="TIU1" t="s">
        <v>15669</v>
      </c>
      <c r="TIV1" t="s">
        <v>15670</v>
      </c>
      <c r="TIW1" t="s">
        <v>15671</v>
      </c>
      <c r="TIX1" t="s">
        <v>15672</v>
      </c>
      <c r="TIY1" t="s">
        <v>15673</v>
      </c>
      <c r="TIZ1" t="s">
        <v>15674</v>
      </c>
      <c r="TJA1" t="s">
        <v>15675</v>
      </c>
      <c r="TJB1" t="s">
        <v>15676</v>
      </c>
      <c r="TJC1" t="s">
        <v>15677</v>
      </c>
      <c r="TJD1" t="s">
        <v>15678</v>
      </c>
      <c r="TJE1" t="s">
        <v>15679</v>
      </c>
      <c r="TJF1" t="s">
        <v>15680</v>
      </c>
      <c r="TJG1" t="s">
        <v>15681</v>
      </c>
      <c r="TJH1" t="s">
        <v>15682</v>
      </c>
      <c r="TJI1" t="s">
        <v>15683</v>
      </c>
      <c r="TJJ1" t="s">
        <v>15684</v>
      </c>
      <c r="TJK1" t="s">
        <v>15685</v>
      </c>
      <c r="TJL1" t="s">
        <v>15686</v>
      </c>
      <c r="TJM1" t="s">
        <v>15687</v>
      </c>
      <c r="TJN1" t="s">
        <v>15688</v>
      </c>
      <c r="TJO1" t="s">
        <v>15689</v>
      </c>
      <c r="TJP1" t="s">
        <v>15690</v>
      </c>
      <c r="TJQ1" t="s">
        <v>15691</v>
      </c>
      <c r="TJR1" t="s">
        <v>15692</v>
      </c>
      <c r="TJS1" t="s">
        <v>15693</v>
      </c>
      <c r="TJT1" t="s">
        <v>15694</v>
      </c>
      <c r="TJU1" t="s">
        <v>15695</v>
      </c>
      <c r="TJV1" t="s">
        <v>15696</v>
      </c>
      <c r="TJW1" t="s">
        <v>15697</v>
      </c>
      <c r="TJX1" t="s">
        <v>15698</v>
      </c>
      <c r="TJY1" t="s">
        <v>15699</v>
      </c>
      <c r="TJZ1" t="s">
        <v>15700</v>
      </c>
      <c r="TKA1" t="s">
        <v>15701</v>
      </c>
      <c r="TKB1" t="s">
        <v>15702</v>
      </c>
      <c r="TKC1" t="s">
        <v>15703</v>
      </c>
      <c r="TKD1" t="s">
        <v>15704</v>
      </c>
      <c r="TKE1" t="s">
        <v>15705</v>
      </c>
      <c r="TKF1" t="s">
        <v>15706</v>
      </c>
      <c r="TKG1" t="s">
        <v>15707</v>
      </c>
      <c r="TKH1" t="s">
        <v>15708</v>
      </c>
      <c r="TKI1" t="s">
        <v>15709</v>
      </c>
      <c r="TKJ1" t="s">
        <v>15710</v>
      </c>
      <c r="TKK1" t="s">
        <v>15711</v>
      </c>
      <c r="TKL1" t="s">
        <v>15712</v>
      </c>
      <c r="TKM1" t="s">
        <v>15713</v>
      </c>
      <c r="TKN1" t="s">
        <v>15714</v>
      </c>
      <c r="TKO1" t="s">
        <v>15715</v>
      </c>
      <c r="TKP1" t="s">
        <v>15716</v>
      </c>
      <c r="TKQ1" t="s">
        <v>15717</v>
      </c>
      <c r="TKR1" t="s">
        <v>15718</v>
      </c>
      <c r="TKS1" t="s">
        <v>15719</v>
      </c>
      <c r="TKT1" t="s">
        <v>15720</v>
      </c>
      <c r="TKU1" t="s">
        <v>15721</v>
      </c>
      <c r="TKV1" t="s">
        <v>15722</v>
      </c>
      <c r="TKW1" t="s">
        <v>15723</v>
      </c>
      <c r="TKX1" t="s">
        <v>15724</v>
      </c>
      <c r="TKY1" t="s">
        <v>15725</v>
      </c>
      <c r="TKZ1" t="s">
        <v>15726</v>
      </c>
      <c r="TLA1" t="s">
        <v>15727</v>
      </c>
      <c r="TLB1" t="s">
        <v>15728</v>
      </c>
      <c r="TLC1" t="s">
        <v>15729</v>
      </c>
      <c r="TLD1" t="s">
        <v>15730</v>
      </c>
      <c r="TLE1" t="s">
        <v>15731</v>
      </c>
      <c r="TLF1" t="s">
        <v>15732</v>
      </c>
      <c r="TLG1" t="s">
        <v>15733</v>
      </c>
      <c r="TLH1" t="s">
        <v>15734</v>
      </c>
      <c r="TLI1" t="s">
        <v>15735</v>
      </c>
      <c r="TLJ1" t="s">
        <v>15736</v>
      </c>
      <c r="TLK1" t="s">
        <v>15737</v>
      </c>
      <c r="TLL1" t="s">
        <v>15738</v>
      </c>
      <c r="TLM1" t="s">
        <v>15739</v>
      </c>
      <c r="TLN1" t="s">
        <v>15740</v>
      </c>
      <c r="TLO1" t="s">
        <v>15741</v>
      </c>
      <c r="TLP1" t="s">
        <v>15742</v>
      </c>
      <c r="TLQ1" t="s">
        <v>15743</v>
      </c>
      <c r="TLR1" t="s">
        <v>15744</v>
      </c>
      <c r="TLS1" t="s">
        <v>15745</v>
      </c>
      <c r="TLT1" t="s">
        <v>15746</v>
      </c>
      <c r="TLU1" t="s">
        <v>15747</v>
      </c>
      <c r="TLV1" t="s">
        <v>15748</v>
      </c>
      <c r="TLW1" t="s">
        <v>15749</v>
      </c>
      <c r="TLX1" t="s">
        <v>15750</v>
      </c>
      <c r="TLY1" t="s">
        <v>15751</v>
      </c>
      <c r="TLZ1" t="s">
        <v>15752</v>
      </c>
      <c r="TMA1" t="s">
        <v>15753</v>
      </c>
      <c r="TMB1" t="s">
        <v>15754</v>
      </c>
      <c r="TMC1" t="s">
        <v>15755</v>
      </c>
      <c r="TMD1" t="s">
        <v>15756</v>
      </c>
      <c r="TME1" t="s">
        <v>15757</v>
      </c>
      <c r="TMF1" t="s">
        <v>15758</v>
      </c>
      <c r="TMG1" t="s">
        <v>15759</v>
      </c>
      <c r="TMH1" t="s">
        <v>15760</v>
      </c>
      <c r="TMI1" t="s">
        <v>15761</v>
      </c>
      <c r="TMJ1" t="s">
        <v>15762</v>
      </c>
      <c r="TMK1" t="s">
        <v>15763</v>
      </c>
      <c r="TML1" t="s">
        <v>15764</v>
      </c>
      <c r="TMM1" t="s">
        <v>15765</v>
      </c>
      <c r="TMN1" t="s">
        <v>15766</v>
      </c>
      <c r="TMO1" t="s">
        <v>15767</v>
      </c>
      <c r="TMP1" t="s">
        <v>15768</v>
      </c>
      <c r="TMQ1" t="s">
        <v>15769</v>
      </c>
      <c r="TMR1" t="s">
        <v>15770</v>
      </c>
      <c r="TMS1" t="s">
        <v>15771</v>
      </c>
      <c r="TMT1" t="s">
        <v>15772</v>
      </c>
      <c r="TMU1" t="s">
        <v>15773</v>
      </c>
      <c r="TMV1" t="s">
        <v>15774</v>
      </c>
      <c r="TMW1" t="s">
        <v>15775</v>
      </c>
      <c r="TMX1" t="s">
        <v>15776</v>
      </c>
      <c r="TMY1" t="s">
        <v>15777</v>
      </c>
      <c r="TMZ1" t="s">
        <v>15778</v>
      </c>
      <c r="TNA1" t="s">
        <v>15779</v>
      </c>
      <c r="TNB1" t="s">
        <v>15780</v>
      </c>
      <c r="TNC1" t="s">
        <v>15781</v>
      </c>
      <c r="TND1" t="s">
        <v>15782</v>
      </c>
      <c r="TNE1" t="s">
        <v>15783</v>
      </c>
      <c r="TNF1" t="s">
        <v>15784</v>
      </c>
      <c r="TNG1" t="s">
        <v>15785</v>
      </c>
      <c r="TNH1" t="s">
        <v>15786</v>
      </c>
      <c r="TNI1" t="s">
        <v>15787</v>
      </c>
      <c r="TNJ1" t="s">
        <v>15788</v>
      </c>
      <c r="TNK1" t="s">
        <v>15789</v>
      </c>
      <c r="TNL1" t="s">
        <v>15790</v>
      </c>
      <c r="TNM1" t="s">
        <v>15791</v>
      </c>
      <c r="TNN1" t="s">
        <v>15792</v>
      </c>
      <c r="TNO1" t="s">
        <v>15793</v>
      </c>
      <c r="TNP1" t="s">
        <v>15794</v>
      </c>
      <c r="TNQ1" t="s">
        <v>15795</v>
      </c>
      <c r="TNR1" t="s">
        <v>15796</v>
      </c>
      <c r="TNS1" t="s">
        <v>15797</v>
      </c>
      <c r="TNT1" t="s">
        <v>15798</v>
      </c>
      <c r="TNU1" t="s">
        <v>15799</v>
      </c>
      <c r="TNV1" t="s">
        <v>15800</v>
      </c>
      <c r="TNW1" t="s">
        <v>15801</v>
      </c>
      <c r="TNX1" t="s">
        <v>15802</v>
      </c>
      <c r="TNY1" t="s">
        <v>15803</v>
      </c>
      <c r="TNZ1" t="s">
        <v>15804</v>
      </c>
      <c r="TOA1" t="s">
        <v>15805</v>
      </c>
      <c r="TOB1" t="s">
        <v>15806</v>
      </c>
      <c r="TOC1" t="s">
        <v>15807</v>
      </c>
      <c r="TOD1" t="s">
        <v>15808</v>
      </c>
      <c r="TOE1" t="s">
        <v>15809</v>
      </c>
      <c r="TOF1" t="s">
        <v>15810</v>
      </c>
      <c r="TOG1" t="s">
        <v>15811</v>
      </c>
      <c r="TOH1" t="s">
        <v>15812</v>
      </c>
      <c r="TOI1" t="s">
        <v>15813</v>
      </c>
      <c r="TOJ1" t="s">
        <v>15814</v>
      </c>
      <c r="TOK1" t="s">
        <v>15815</v>
      </c>
      <c r="TOL1" t="s">
        <v>15816</v>
      </c>
      <c r="TOM1" t="s">
        <v>15817</v>
      </c>
      <c r="TON1" t="s">
        <v>15818</v>
      </c>
      <c r="TOO1" t="s">
        <v>15819</v>
      </c>
      <c r="TOP1" t="s">
        <v>15820</v>
      </c>
      <c r="TOQ1" t="s">
        <v>15821</v>
      </c>
      <c r="TOR1" t="s">
        <v>15822</v>
      </c>
      <c r="TOS1" t="s">
        <v>15823</v>
      </c>
      <c r="TOT1" t="s">
        <v>15824</v>
      </c>
      <c r="TOU1" t="s">
        <v>15825</v>
      </c>
      <c r="TOV1" t="s">
        <v>15826</v>
      </c>
      <c r="TOW1" t="s">
        <v>15827</v>
      </c>
      <c r="TOX1" t="s">
        <v>15828</v>
      </c>
      <c r="TOY1" t="s">
        <v>15829</v>
      </c>
      <c r="TOZ1" t="s">
        <v>15830</v>
      </c>
      <c r="TPA1" t="s">
        <v>15831</v>
      </c>
      <c r="TPB1" t="s">
        <v>15832</v>
      </c>
      <c r="TPC1" t="s">
        <v>15833</v>
      </c>
      <c r="TPD1" t="s">
        <v>15834</v>
      </c>
      <c r="TPE1" t="s">
        <v>15835</v>
      </c>
      <c r="TPF1" t="s">
        <v>15836</v>
      </c>
      <c r="TPG1" t="s">
        <v>15837</v>
      </c>
      <c r="TPH1" t="s">
        <v>15838</v>
      </c>
      <c r="TPI1" t="s">
        <v>15839</v>
      </c>
      <c r="TPJ1" t="s">
        <v>15840</v>
      </c>
      <c r="TPK1" t="s">
        <v>15841</v>
      </c>
      <c r="TPL1" t="s">
        <v>15842</v>
      </c>
      <c r="TPM1" t="s">
        <v>15843</v>
      </c>
      <c r="TPN1" t="s">
        <v>15844</v>
      </c>
      <c r="TPO1" t="s">
        <v>15845</v>
      </c>
      <c r="TPP1" t="s">
        <v>15846</v>
      </c>
      <c r="TPQ1" t="s">
        <v>15847</v>
      </c>
      <c r="TPR1" t="s">
        <v>15848</v>
      </c>
      <c r="TPS1" t="s">
        <v>15849</v>
      </c>
      <c r="TPT1" t="s">
        <v>15850</v>
      </c>
      <c r="TPU1" t="s">
        <v>15851</v>
      </c>
      <c r="TPV1" t="s">
        <v>15852</v>
      </c>
      <c r="TPW1" t="s">
        <v>15853</v>
      </c>
      <c r="TPX1" t="s">
        <v>15854</v>
      </c>
      <c r="TPY1" t="s">
        <v>15855</v>
      </c>
      <c r="TPZ1" t="s">
        <v>15856</v>
      </c>
      <c r="TQA1" t="s">
        <v>15857</v>
      </c>
      <c r="TQB1" t="s">
        <v>15858</v>
      </c>
      <c r="TQC1" t="s">
        <v>15859</v>
      </c>
      <c r="TQD1" t="s">
        <v>15860</v>
      </c>
      <c r="TQE1" t="s">
        <v>15861</v>
      </c>
      <c r="TQF1" t="s">
        <v>15862</v>
      </c>
      <c r="TQG1" t="s">
        <v>15863</v>
      </c>
      <c r="TQH1" t="s">
        <v>15864</v>
      </c>
      <c r="TQI1" t="s">
        <v>15865</v>
      </c>
      <c r="TQJ1" t="s">
        <v>15866</v>
      </c>
      <c r="TQK1" t="s">
        <v>15867</v>
      </c>
      <c r="TQL1" t="s">
        <v>15868</v>
      </c>
      <c r="TQM1" t="s">
        <v>15869</v>
      </c>
      <c r="TQN1" t="s">
        <v>15870</v>
      </c>
      <c r="TQO1" t="s">
        <v>15871</v>
      </c>
      <c r="TQP1" t="s">
        <v>15872</v>
      </c>
      <c r="TQQ1" t="s">
        <v>15873</v>
      </c>
      <c r="TQR1" t="s">
        <v>15874</v>
      </c>
      <c r="TQS1" t="s">
        <v>15875</v>
      </c>
      <c r="TQT1" t="s">
        <v>15876</v>
      </c>
      <c r="TQU1" t="s">
        <v>15877</v>
      </c>
      <c r="TQV1" t="s">
        <v>15878</v>
      </c>
      <c r="TQW1" t="s">
        <v>15879</v>
      </c>
      <c r="TQX1" t="s">
        <v>15880</v>
      </c>
      <c r="TQY1" t="s">
        <v>15881</v>
      </c>
      <c r="TQZ1" t="s">
        <v>15882</v>
      </c>
      <c r="TRA1" t="s">
        <v>15883</v>
      </c>
      <c r="TRB1" t="s">
        <v>15884</v>
      </c>
      <c r="TRC1" t="s">
        <v>15885</v>
      </c>
      <c r="TRD1" t="s">
        <v>15886</v>
      </c>
      <c r="TRE1" t="s">
        <v>15887</v>
      </c>
      <c r="TRF1" t="s">
        <v>15888</v>
      </c>
      <c r="TRG1" t="s">
        <v>15889</v>
      </c>
      <c r="TRH1" t="s">
        <v>15890</v>
      </c>
      <c r="TRI1" t="s">
        <v>15891</v>
      </c>
      <c r="TRJ1" t="s">
        <v>15892</v>
      </c>
      <c r="TRK1" t="s">
        <v>15893</v>
      </c>
      <c r="TRL1" t="s">
        <v>15894</v>
      </c>
      <c r="TRM1" t="s">
        <v>15895</v>
      </c>
      <c r="TRN1" t="s">
        <v>15896</v>
      </c>
      <c r="TRO1" t="s">
        <v>15897</v>
      </c>
      <c r="TRP1" t="s">
        <v>15898</v>
      </c>
      <c r="TRQ1" t="s">
        <v>15899</v>
      </c>
      <c r="TRR1" t="s">
        <v>15900</v>
      </c>
      <c r="TRS1" t="s">
        <v>15901</v>
      </c>
      <c r="TRT1" t="s">
        <v>15902</v>
      </c>
      <c r="TRU1" t="s">
        <v>15903</v>
      </c>
      <c r="TRV1" t="s">
        <v>15904</v>
      </c>
      <c r="TRW1" t="s">
        <v>15905</v>
      </c>
      <c r="TRX1" t="s">
        <v>15906</v>
      </c>
      <c r="TRY1" t="s">
        <v>15907</v>
      </c>
      <c r="TRZ1" t="s">
        <v>15908</v>
      </c>
      <c r="TSA1" t="s">
        <v>15909</v>
      </c>
      <c r="TSB1" t="s">
        <v>15910</v>
      </c>
      <c r="TSC1" t="s">
        <v>15911</v>
      </c>
      <c r="TSD1" t="s">
        <v>15912</v>
      </c>
      <c r="TSE1" t="s">
        <v>15913</v>
      </c>
      <c r="TSF1" t="s">
        <v>15914</v>
      </c>
      <c r="TSG1" t="s">
        <v>15915</v>
      </c>
      <c r="TSH1" t="s">
        <v>15916</v>
      </c>
      <c r="TSI1" t="s">
        <v>15917</v>
      </c>
      <c r="TSJ1" t="s">
        <v>15918</v>
      </c>
      <c r="TSK1" t="s">
        <v>15919</v>
      </c>
      <c r="TSL1" t="s">
        <v>15920</v>
      </c>
      <c r="TSM1" t="s">
        <v>15921</v>
      </c>
      <c r="TSN1" t="s">
        <v>15922</v>
      </c>
      <c r="TSO1" t="s">
        <v>15923</v>
      </c>
      <c r="TSP1" t="s">
        <v>15924</v>
      </c>
      <c r="TSQ1" t="s">
        <v>15925</v>
      </c>
      <c r="TSR1" t="s">
        <v>15926</v>
      </c>
      <c r="TSS1" t="s">
        <v>15927</v>
      </c>
      <c r="TST1" t="s">
        <v>15928</v>
      </c>
      <c r="TSU1" t="s">
        <v>15929</v>
      </c>
      <c r="TSV1" t="s">
        <v>15930</v>
      </c>
      <c r="TSW1" t="s">
        <v>15931</v>
      </c>
      <c r="TSX1" t="s">
        <v>15932</v>
      </c>
      <c r="TSY1" t="s">
        <v>15933</v>
      </c>
      <c r="TSZ1" t="s">
        <v>15934</v>
      </c>
      <c r="TTA1" t="s">
        <v>15935</v>
      </c>
      <c r="TTB1" t="s">
        <v>15936</v>
      </c>
      <c r="TTC1" t="s">
        <v>15937</v>
      </c>
      <c r="TTD1" t="s">
        <v>15938</v>
      </c>
      <c r="TTE1" t="s">
        <v>15939</v>
      </c>
      <c r="TTF1" t="s">
        <v>15940</v>
      </c>
      <c r="TTG1" t="s">
        <v>15941</v>
      </c>
      <c r="TTH1" t="s">
        <v>15942</v>
      </c>
      <c r="TTI1" t="s">
        <v>15943</v>
      </c>
      <c r="TTJ1" t="s">
        <v>15944</v>
      </c>
      <c r="TTK1" t="s">
        <v>15945</v>
      </c>
      <c r="TTL1" t="s">
        <v>15946</v>
      </c>
      <c r="TTM1" t="s">
        <v>15947</v>
      </c>
      <c r="TTN1" t="s">
        <v>15948</v>
      </c>
      <c r="TTO1" t="s">
        <v>15949</v>
      </c>
      <c r="TTP1" t="s">
        <v>15950</v>
      </c>
      <c r="TTQ1" t="s">
        <v>15951</v>
      </c>
      <c r="TTR1" t="s">
        <v>15952</v>
      </c>
      <c r="TTS1" t="s">
        <v>15953</v>
      </c>
      <c r="TTT1" t="s">
        <v>15954</v>
      </c>
      <c r="TTU1" t="s">
        <v>15955</v>
      </c>
      <c r="TTV1" t="s">
        <v>15956</v>
      </c>
      <c r="TTW1" t="s">
        <v>15957</v>
      </c>
      <c r="TTX1" t="s">
        <v>15958</v>
      </c>
      <c r="TTY1" t="s">
        <v>15959</v>
      </c>
      <c r="TTZ1" t="s">
        <v>15960</v>
      </c>
      <c r="TUA1" t="s">
        <v>15961</v>
      </c>
      <c r="TUB1" t="s">
        <v>15962</v>
      </c>
      <c r="TUC1" t="s">
        <v>15963</v>
      </c>
      <c r="TUD1" t="s">
        <v>15964</v>
      </c>
      <c r="TUE1" t="s">
        <v>15965</v>
      </c>
      <c r="TUF1" t="s">
        <v>15966</v>
      </c>
      <c r="TUG1" t="s">
        <v>15967</v>
      </c>
      <c r="TUH1" t="s">
        <v>15968</v>
      </c>
      <c r="TUI1" t="s">
        <v>15969</v>
      </c>
      <c r="TUJ1" t="s">
        <v>15970</v>
      </c>
      <c r="TUK1" t="s">
        <v>15971</v>
      </c>
      <c r="TUL1" t="s">
        <v>15972</v>
      </c>
      <c r="TUM1" t="s">
        <v>15973</v>
      </c>
      <c r="TUN1" t="s">
        <v>15974</v>
      </c>
      <c r="TUO1" t="s">
        <v>15975</v>
      </c>
      <c r="TUP1" t="s">
        <v>15976</v>
      </c>
      <c r="TUQ1" t="s">
        <v>15977</v>
      </c>
      <c r="TUR1" t="s">
        <v>15978</v>
      </c>
      <c r="TUS1" t="s">
        <v>15979</v>
      </c>
      <c r="TUT1" t="s">
        <v>15980</v>
      </c>
      <c r="TUU1" t="s">
        <v>15981</v>
      </c>
      <c r="TUV1" t="s">
        <v>15982</v>
      </c>
      <c r="TUW1" t="s">
        <v>15983</v>
      </c>
      <c r="TUX1" t="s">
        <v>15984</v>
      </c>
      <c r="TUY1" t="s">
        <v>15985</v>
      </c>
      <c r="TUZ1" t="s">
        <v>15986</v>
      </c>
      <c r="TVA1" t="s">
        <v>15987</v>
      </c>
      <c r="TVB1" t="s">
        <v>15988</v>
      </c>
      <c r="TVC1" t="s">
        <v>15989</v>
      </c>
      <c r="TVD1" t="s">
        <v>15990</v>
      </c>
      <c r="TVE1" t="s">
        <v>15991</v>
      </c>
      <c r="TVF1" t="s">
        <v>15992</v>
      </c>
      <c r="TVG1" t="s">
        <v>15993</v>
      </c>
      <c r="TVH1" t="s">
        <v>15994</v>
      </c>
      <c r="TVI1" t="s">
        <v>15995</v>
      </c>
      <c r="TVJ1" t="s">
        <v>15996</v>
      </c>
      <c r="TVK1" t="s">
        <v>15997</v>
      </c>
      <c r="TVL1" t="s">
        <v>15998</v>
      </c>
      <c r="TVM1" t="s">
        <v>15999</v>
      </c>
      <c r="TVN1" t="s">
        <v>16000</v>
      </c>
      <c r="TVO1" t="s">
        <v>16001</v>
      </c>
      <c r="TVP1" t="s">
        <v>16002</v>
      </c>
      <c r="TVQ1" t="s">
        <v>16003</v>
      </c>
      <c r="TVR1" t="s">
        <v>16004</v>
      </c>
      <c r="TVS1" t="s">
        <v>16005</v>
      </c>
      <c r="TVT1" t="s">
        <v>16006</v>
      </c>
      <c r="TVU1" t="s">
        <v>16007</v>
      </c>
      <c r="TVV1" t="s">
        <v>16008</v>
      </c>
      <c r="TVW1" t="s">
        <v>16009</v>
      </c>
      <c r="TVX1" t="s">
        <v>16010</v>
      </c>
      <c r="TVY1" t="s">
        <v>16011</v>
      </c>
      <c r="TVZ1" t="s">
        <v>16012</v>
      </c>
      <c r="TWA1" t="s">
        <v>16013</v>
      </c>
      <c r="TWB1" t="s">
        <v>16014</v>
      </c>
      <c r="TWC1" t="s">
        <v>16015</v>
      </c>
      <c r="TWD1" t="s">
        <v>16016</v>
      </c>
      <c r="TWE1" t="s">
        <v>16017</v>
      </c>
      <c r="TWF1" t="s">
        <v>16018</v>
      </c>
      <c r="TWG1" t="s">
        <v>16019</v>
      </c>
      <c r="TWH1" t="s">
        <v>16020</v>
      </c>
      <c r="TWI1" t="s">
        <v>16021</v>
      </c>
      <c r="TWJ1" t="s">
        <v>16022</v>
      </c>
      <c r="TWK1" t="s">
        <v>16023</v>
      </c>
      <c r="TWL1" t="s">
        <v>16024</v>
      </c>
      <c r="TWM1" t="s">
        <v>16025</v>
      </c>
      <c r="TWN1" t="s">
        <v>16026</v>
      </c>
      <c r="TWO1" t="s">
        <v>16027</v>
      </c>
      <c r="TWP1" t="s">
        <v>16028</v>
      </c>
      <c r="TWQ1" t="s">
        <v>16029</v>
      </c>
      <c r="TWR1" t="s">
        <v>16030</v>
      </c>
      <c r="TWS1" t="s">
        <v>16031</v>
      </c>
      <c r="TWT1" t="s">
        <v>16032</v>
      </c>
      <c r="TWU1" t="s">
        <v>16033</v>
      </c>
      <c r="TWV1" t="s">
        <v>16034</v>
      </c>
      <c r="TWW1" t="s">
        <v>16035</v>
      </c>
      <c r="TWX1" t="s">
        <v>16036</v>
      </c>
      <c r="TWY1" t="s">
        <v>16037</v>
      </c>
      <c r="TWZ1" t="s">
        <v>16038</v>
      </c>
      <c r="TXA1" t="s">
        <v>16039</v>
      </c>
      <c r="TXB1" t="s">
        <v>16040</v>
      </c>
      <c r="TXC1" t="s">
        <v>16041</v>
      </c>
      <c r="TXD1" t="s">
        <v>16042</v>
      </c>
      <c r="TXE1" t="s">
        <v>16043</v>
      </c>
      <c r="TXF1" t="s">
        <v>16044</v>
      </c>
      <c r="TXG1" t="s">
        <v>16045</v>
      </c>
      <c r="TXH1" t="s">
        <v>16046</v>
      </c>
      <c r="TXI1" t="s">
        <v>16047</v>
      </c>
      <c r="TXJ1" t="s">
        <v>16048</v>
      </c>
      <c r="TXK1" t="s">
        <v>16049</v>
      </c>
      <c r="TXL1" t="s">
        <v>16050</v>
      </c>
      <c r="TXM1" t="s">
        <v>16051</v>
      </c>
      <c r="TXN1" t="s">
        <v>16052</v>
      </c>
      <c r="TXO1" t="s">
        <v>16053</v>
      </c>
      <c r="TXP1" t="s">
        <v>16054</v>
      </c>
      <c r="TXQ1" t="s">
        <v>16055</v>
      </c>
      <c r="TXR1" t="s">
        <v>16056</v>
      </c>
      <c r="TXS1" t="s">
        <v>16057</v>
      </c>
      <c r="TXT1" t="s">
        <v>16058</v>
      </c>
      <c r="TXU1" t="s">
        <v>16059</v>
      </c>
      <c r="TXV1" t="s">
        <v>16060</v>
      </c>
      <c r="TXW1" t="s">
        <v>16061</v>
      </c>
      <c r="TXX1" t="s">
        <v>16062</v>
      </c>
      <c r="TXY1" t="s">
        <v>16063</v>
      </c>
      <c r="TXZ1" t="s">
        <v>16064</v>
      </c>
      <c r="TYA1" t="s">
        <v>16065</v>
      </c>
      <c r="TYB1" t="s">
        <v>16066</v>
      </c>
      <c r="TYC1" t="s">
        <v>16067</v>
      </c>
      <c r="TYD1" t="s">
        <v>16068</v>
      </c>
      <c r="TYE1" t="s">
        <v>16069</v>
      </c>
      <c r="TYF1" t="s">
        <v>16070</v>
      </c>
      <c r="TYG1" t="s">
        <v>16071</v>
      </c>
      <c r="TYH1" t="s">
        <v>16072</v>
      </c>
      <c r="TYI1" t="s">
        <v>16073</v>
      </c>
      <c r="TYJ1" t="s">
        <v>16074</v>
      </c>
      <c r="TYK1" t="s">
        <v>16075</v>
      </c>
      <c r="TYL1" t="s">
        <v>16076</v>
      </c>
      <c r="TYM1" t="s">
        <v>16077</v>
      </c>
      <c r="TYN1" t="s">
        <v>16078</v>
      </c>
      <c r="TYO1" t="s">
        <v>16079</v>
      </c>
      <c r="TYP1" t="s">
        <v>16080</v>
      </c>
      <c r="TYQ1" t="s">
        <v>16081</v>
      </c>
      <c r="TYR1" t="s">
        <v>16082</v>
      </c>
      <c r="TYS1" t="s">
        <v>16083</v>
      </c>
      <c r="TYT1" t="s">
        <v>16084</v>
      </c>
      <c r="TYU1" t="s">
        <v>16085</v>
      </c>
      <c r="TYV1" t="s">
        <v>16086</v>
      </c>
      <c r="TYW1" t="s">
        <v>16087</v>
      </c>
      <c r="TYX1" t="s">
        <v>16088</v>
      </c>
      <c r="TYY1" t="s">
        <v>16089</v>
      </c>
      <c r="TYZ1" t="s">
        <v>16090</v>
      </c>
      <c r="TZA1" t="s">
        <v>16091</v>
      </c>
      <c r="TZB1" t="s">
        <v>16092</v>
      </c>
      <c r="TZC1" t="s">
        <v>16093</v>
      </c>
      <c r="TZD1" t="s">
        <v>16094</v>
      </c>
      <c r="TZE1" t="s">
        <v>16095</v>
      </c>
      <c r="TZF1" t="s">
        <v>16096</v>
      </c>
      <c r="TZG1" t="s">
        <v>16097</v>
      </c>
      <c r="TZH1" t="s">
        <v>16098</v>
      </c>
      <c r="TZI1" t="s">
        <v>16099</v>
      </c>
      <c r="TZJ1" t="s">
        <v>16100</v>
      </c>
      <c r="TZK1" t="s">
        <v>16101</v>
      </c>
      <c r="TZL1" t="s">
        <v>16102</v>
      </c>
      <c r="TZM1" t="s">
        <v>16103</v>
      </c>
      <c r="TZN1" t="s">
        <v>16104</v>
      </c>
      <c r="TZO1" t="s">
        <v>16105</v>
      </c>
      <c r="TZP1" t="s">
        <v>16106</v>
      </c>
      <c r="TZQ1" t="s">
        <v>16107</v>
      </c>
      <c r="TZR1" t="s">
        <v>16108</v>
      </c>
      <c r="TZS1" t="s">
        <v>16109</v>
      </c>
      <c r="TZT1" t="s">
        <v>16110</v>
      </c>
      <c r="TZU1" t="s">
        <v>16111</v>
      </c>
      <c r="TZV1" t="s">
        <v>16112</v>
      </c>
      <c r="TZW1" t="s">
        <v>16113</v>
      </c>
      <c r="TZX1" t="s">
        <v>16114</v>
      </c>
      <c r="TZY1" t="s">
        <v>16115</v>
      </c>
      <c r="TZZ1" t="s">
        <v>16116</v>
      </c>
      <c r="UAA1" t="s">
        <v>16117</v>
      </c>
      <c r="UAB1" t="s">
        <v>16118</v>
      </c>
      <c r="UAC1" t="s">
        <v>16119</v>
      </c>
      <c r="UAD1" t="s">
        <v>16120</v>
      </c>
      <c r="UAE1" t="s">
        <v>16121</v>
      </c>
      <c r="UAF1" t="s">
        <v>16122</v>
      </c>
      <c r="UAG1" t="s">
        <v>16123</v>
      </c>
      <c r="UAH1" t="s">
        <v>16124</v>
      </c>
      <c r="UAI1" t="s">
        <v>16125</v>
      </c>
      <c r="UAJ1" t="s">
        <v>16126</v>
      </c>
      <c r="UAK1" t="s">
        <v>16127</v>
      </c>
      <c r="UAL1" t="s">
        <v>16128</v>
      </c>
      <c r="UAM1" t="s">
        <v>16129</v>
      </c>
      <c r="UAN1" t="s">
        <v>16130</v>
      </c>
      <c r="UAO1" t="s">
        <v>16131</v>
      </c>
      <c r="UAP1" t="s">
        <v>16132</v>
      </c>
      <c r="UAQ1" t="s">
        <v>16133</v>
      </c>
      <c r="UAR1" t="s">
        <v>16134</v>
      </c>
      <c r="UAS1" t="s">
        <v>16135</v>
      </c>
      <c r="UAT1" t="s">
        <v>16136</v>
      </c>
      <c r="UAU1" t="s">
        <v>16137</v>
      </c>
      <c r="UAV1" t="s">
        <v>16138</v>
      </c>
      <c r="UAW1" t="s">
        <v>16139</v>
      </c>
      <c r="UAX1" t="s">
        <v>16140</v>
      </c>
      <c r="UAY1" t="s">
        <v>16141</v>
      </c>
      <c r="UAZ1" t="s">
        <v>16142</v>
      </c>
      <c r="UBA1" t="s">
        <v>16143</v>
      </c>
      <c r="UBB1" t="s">
        <v>16144</v>
      </c>
      <c r="UBC1" t="s">
        <v>16145</v>
      </c>
      <c r="UBD1" t="s">
        <v>16146</v>
      </c>
      <c r="UBE1" t="s">
        <v>16147</v>
      </c>
      <c r="UBF1" t="s">
        <v>16148</v>
      </c>
      <c r="UBG1" t="s">
        <v>16149</v>
      </c>
      <c r="UBH1" t="s">
        <v>16150</v>
      </c>
      <c r="UBI1" t="s">
        <v>16151</v>
      </c>
      <c r="UBJ1" t="s">
        <v>16152</v>
      </c>
      <c r="UBK1" t="s">
        <v>16153</v>
      </c>
      <c r="UBL1" t="s">
        <v>16154</v>
      </c>
      <c r="UBM1" t="s">
        <v>16155</v>
      </c>
      <c r="UBN1" t="s">
        <v>16156</v>
      </c>
      <c r="UBO1" t="s">
        <v>16157</v>
      </c>
      <c r="UBP1" t="s">
        <v>16158</v>
      </c>
      <c r="UBQ1" t="s">
        <v>16159</v>
      </c>
      <c r="UBR1" t="s">
        <v>16160</v>
      </c>
      <c r="UBS1" t="s">
        <v>16161</v>
      </c>
      <c r="UBT1" t="s">
        <v>16162</v>
      </c>
      <c r="UBU1" t="s">
        <v>16163</v>
      </c>
      <c r="UBV1" t="s">
        <v>16164</v>
      </c>
      <c r="UBW1" t="s">
        <v>16165</v>
      </c>
      <c r="UBX1" t="s">
        <v>16166</v>
      </c>
      <c r="UBY1" t="s">
        <v>16167</v>
      </c>
      <c r="UBZ1" t="s">
        <v>16168</v>
      </c>
      <c r="UCA1" t="s">
        <v>16169</v>
      </c>
      <c r="UCB1" t="s">
        <v>16170</v>
      </c>
      <c r="UCC1" t="s">
        <v>16171</v>
      </c>
      <c r="UCD1" t="s">
        <v>16172</v>
      </c>
      <c r="UCE1" t="s">
        <v>16173</v>
      </c>
      <c r="UCF1" t="s">
        <v>16174</v>
      </c>
      <c r="UCG1" t="s">
        <v>16175</v>
      </c>
      <c r="UCH1" t="s">
        <v>16176</v>
      </c>
      <c r="UCI1" t="s">
        <v>16177</v>
      </c>
      <c r="UCJ1" t="s">
        <v>16178</v>
      </c>
      <c r="UCK1" t="s">
        <v>16179</v>
      </c>
      <c r="UCL1" t="s">
        <v>16180</v>
      </c>
      <c r="UCM1" t="s">
        <v>16181</v>
      </c>
      <c r="UCN1" t="s">
        <v>16182</v>
      </c>
      <c r="UCO1" t="s">
        <v>16183</v>
      </c>
      <c r="UCP1" t="s">
        <v>16184</v>
      </c>
      <c r="UCQ1" t="s">
        <v>16185</v>
      </c>
      <c r="UCR1" t="s">
        <v>16186</v>
      </c>
      <c r="UCS1" t="s">
        <v>16187</v>
      </c>
      <c r="UCT1" t="s">
        <v>16188</v>
      </c>
      <c r="UCU1" t="s">
        <v>16189</v>
      </c>
      <c r="UCV1" t="s">
        <v>16190</v>
      </c>
      <c r="UCW1" t="s">
        <v>16191</v>
      </c>
      <c r="UCX1" t="s">
        <v>16192</v>
      </c>
      <c r="UCY1" t="s">
        <v>16193</v>
      </c>
      <c r="UCZ1" t="s">
        <v>16194</v>
      </c>
      <c r="UDA1" t="s">
        <v>16195</v>
      </c>
      <c r="UDB1" t="s">
        <v>16196</v>
      </c>
      <c r="UDC1" t="s">
        <v>16197</v>
      </c>
      <c r="UDD1" t="s">
        <v>16198</v>
      </c>
      <c r="UDE1" t="s">
        <v>16199</v>
      </c>
      <c r="UDF1" t="s">
        <v>16200</v>
      </c>
      <c r="UDG1" t="s">
        <v>16201</v>
      </c>
      <c r="UDH1" t="s">
        <v>16202</v>
      </c>
      <c r="UDI1" t="s">
        <v>16203</v>
      </c>
      <c r="UDJ1" t="s">
        <v>16204</v>
      </c>
      <c r="UDK1" t="s">
        <v>16205</v>
      </c>
      <c r="UDL1" t="s">
        <v>16206</v>
      </c>
      <c r="UDM1" t="s">
        <v>16207</v>
      </c>
      <c r="UDN1" t="s">
        <v>16208</v>
      </c>
      <c r="UDO1" t="s">
        <v>16209</v>
      </c>
      <c r="UDP1" t="s">
        <v>16210</v>
      </c>
      <c r="UDQ1" t="s">
        <v>16211</v>
      </c>
      <c r="UDR1" t="s">
        <v>16212</v>
      </c>
      <c r="UDS1" t="s">
        <v>16213</v>
      </c>
      <c r="UDT1" t="s">
        <v>16214</v>
      </c>
      <c r="UDU1" t="s">
        <v>16215</v>
      </c>
      <c r="UDV1" t="s">
        <v>16216</v>
      </c>
      <c r="UDW1" t="s">
        <v>16217</v>
      </c>
      <c r="UDX1" t="s">
        <v>16218</v>
      </c>
      <c r="UDY1" t="s">
        <v>16219</v>
      </c>
      <c r="UDZ1" t="s">
        <v>16220</v>
      </c>
      <c r="UEA1" t="s">
        <v>16221</v>
      </c>
      <c r="UEB1" t="s">
        <v>16222</v>
      </c>
      <c r="UEC1" t="s">
        <v>16223</v>
      </c>
      <c r="UED1" t="s">
        <v>16224</v>
      </c>
      <c r="UEE1" t="s">
        <v>16225</v>
      </c>
      <c r="UEF1" t="s">
        <v>16226</v>
      </c>
      <c r="UEG1" t="s">
        <v>16227</v>
      </c>
      <c r="UEH1" t="s">
        <v>16228</v>
      </c>
      <c r="UEI1" t="s">
        <v>16229</v>
      </c>
      <c r="UEJ1" t="s">
        <v>16230</v>
      </c>
      <c r="UEK1" t="s">
        <v>16231</v>
      </c>
      <c r="UEL1" t="s">
        <v>16232</v>
      </c>
      <c r="UEM1" t="s">
        <v>16233</v>
      </c>
      <c r="UEN1" t="s">
        <v>16234</v>
      </c>
      <c r="UEO1" t="s">
        <v>16235</v>
      </c>
      <c r="UEP1" t="s">
        <v>16236</v>
      </c>
      <c r="UEQ1" t="s">
        <v>16237</v>
      </c>
      <c r="UER1" t="s">
        <v>16238</v>
      </c>
      <c r="UES1" t="s">
        <v>16239</v>
      </c>
      <c r="UET1" t="s">
        <v>16240</v>
      </c>
      <c r="UEU1" t="s">
        <v>16241</v>
      </c>
      <c r="UEV1" t="s">
        <v>16242</v>
      </c>
      <c r="UEW1" t="s">
        <v>16243</v>
      </c>
      <c r="UEX1" t="s">
        <v>16244</v>
      </c>
      <c r="UEY1" t="s">
        <v>16245</v>
      </c>
      <c r="UEZ1" t="s">
        <v>16246</v>
      </c>
      <c r="UFA1" t="s">
        <v>16247</v>
      </c>
      <c r="UFB1" t="s">
        <v>16248</v>
      </c>
      <c r="UFC1" t="s">
        <v>16249</v>
      </c>
      <c r="UFD1" t="s">
        <v>16250</v>
      </c>
      <c r="UFE1" t="s">
        <v>16251</v>
      </c>
      <c r="UFF1" t="s">
        <v>16252</v>
      </c>
      <c r="UFG1" t="s">
        <v>16253</v>
      </c>
      <c r="UFH1" t="s">
        <v>16254</v>
      </c>
      <c r="UFI1" t="s">
        <v>16255</v>
      </c>
      <c r="UFJ1" t="s">
        <v>16256</v>
      </c>
      <c r="UFK1" t="s">
        <v>16257</v>
      </c>
      <c r="UFL1" t="s">
        <v>16258</v>
      </c>
      <c r="UFM1" t="s">
        <v>16259</v>
      </c>
      <c r="UFN1" t="s">
        <v>16260</v>
      </c>
      <c r="UFO1" t="s">
        <v>16261</v>
      </c>
      <c r="UFP1" t="s">
        <v>16262</v>
      </c>
      <c r="UFQ1" t="s">
        <v>16263</v>
      </c>
      <c r="UFR1" t="s">
        <v>16264</v>
      </c>
      <c r="UFS1" t="s">
        <v>16265</v>
      </c>
      <c r="UFT1" t="s">
        <v>16266</v>
      </c>
      <c r="UFU1" t="s">
        <v>16267</v>
      </c>
      <c r="UFV1" t="s">
        <v>16268</v>
      </c>
      <c r="UFW1" t="s">
        <v>16269</v>
      </c>
      <c r="UFX1" t="s">
        <v>16270</v>
      </c>
      <c r="UFY1" t="s">
        <v>16271</v>
      </c>
      <c r="UFZ1" t="s">
        <v>16272</v>
      </c>
      <c r="UGA1" t="s">
        <v>16273</v>
      </c>
      <c r="UGB1" t="s">
        <v>16274</v>
      </c>
      <c r="UGC1" t="s">
        <v>16275</v>
      </c>
      <c r="UGD1" t="s">
        <v>16276</v>
      </c>
      <c r="UGE1" t="s">
        <v>16277</v>
      </c>
      <c r="UGF1" t="s">
        <v>16278</v>
      </c>
      <c r="UGG1" t="s">
        <v>16279</v>
      </c>
      <c r="UGH1" t="s">
        <v>16280</v>
      </c>
      <c r="UGI1" t="s">
        <v>16281</v>
      </c>
      <c r="UGJ1" t="s">
        <v>16282</v>
      </c>
      <c r="UGK1" t="s">
        <v>16283</v>
      </c>
      <c r="UGL1" t="s">
        <v>16284</v>
      </c>
      <c r="UGM1" t="s">
        <v>16285</v>
      </c>
      <c r="UGN1" t="s">
        <v>16286</v>
      </c>
      <c r="UGO1" t="s">
        <v>16287</v>
      </c>
      <c r="UGP1" t="s">
        <v>16288</v>
      </c>
      <c r="UGQ1" t="s">
        <v>16289</v>
      </c>
      <c r="UGR1" t="s">
        <v>16290</v>
      </c>
      <c r="UGS1" t="s">
        <v>16291</v>
      </c>
      <c r="UGT1" t="s">
        <v>16292</v>
      </c>
      <c r="UGU1" t="s">
        <v>16293</v>
      </c>
      <c r="UGV1" t="s">
        <v>16294</v>
      </c>
      <c r="UGW1" t="s">
        <v>16295</v>
      </c>
      <c r="UGX1" t="s">
        <v>16296</v>
      </c>
      <c r="UGY1" t="s">
        <v>16297</v>
      </c>
      <c r="UGZ1" t="s">
        <v>16298</v>
      </c>
      <c r="UHA1" t="s">
        <v>16299</v>
      </c>
      <c r="UHB1" t="s">
        <v>16300</v>
      </c>
      <c r="UHC1" t="s">
        <v>16301</v>
      </c>
      <c r="UHD1" t="s">
        <v>16302</v>
      </c>
      <c r="UHE1" t="s">
        <v>16303</v>
      </c>
      <c r="UHF1" t="s">
        <v>16304</v>
      </c>
      <c r="UHG1" t="s">
        <v>16305</v>
      </c>
      <c r="UHH1" t="s">
        <v>16306</v>
      </c>
      <c r="UHI1" t="s">
        <v>16307</v>
      </c>
      <c r="UHJ1" t="s">
        <v>16308</v>
      </c>
      <c r="UHK1" t="s">
        <v>16309</v>
      </c>
      <c r="UHL1" t="s">
        <v>16310</v>
      </c>
      <c r="UHM1" t="s">
        <v>16311</v>
      </c>
      <c r="UHN1" t="s">
        <v>16312</v>
      </c>
      <c r="UHO1" t="s">
        <v>16313</v>
      </c>
      <c r="UHP1" t="s">
        <v>16314</v>
      </c>
      <c r="UHQ1" t="s">
        <v>16315</v>
      </c>
      <c r="UHR1" t="s">
        <v>16316</v>
      </c>
      <c r="UHS1" t="s">
        <v>16317</v>
      </c>
      <c r="UHT1" t="s">
        <v>16318</v>
      </c>
      <c r="UHU1" t="s">
        <v>16319</v>
      </c>
      <c r="UHV1" t="s">
        <v>16320</v>
      </c>
      <c r="UHW1" t="s">
        <v>16321</v>
      </c>
      <c r="UHX1" t="s">
        <v>16322</v>
      </c>
      <c r="UHY1" t="s">
        <v>16323</v>
      </c>
      <c r="UHZ1" t="s">
        <v>16324</v>
      </c>
      <c r="UIA1" t="s">
        <v>16325</v>
      </c>
      <c r="UIB1" t="s">
        <v>16326</v>
      </c>
      <c r="UIC1" t="s">
        <v>16327</v>
      </c>
      <c r="UID1" t="s">
        <v>16328</v>
      </c>
      <c r="UIE1" t="s">
        <v>16329</v>
      </c>
      <c r="UIF1" t="s">
        <v>16330</v>
      </c>
      <c r="UIG1" t="s">
        <v>16331</v>
      </c>
      <c r="UIH1" t="s">
        <v>16332</v>
      </c>
      <c r="UII1" t="s">
        <v>16333</v>
      </c>
      <c r="UIJ1" t="s">
        <v>16334</v>
      </c>
      <c r="UIK1" t="s">
        <v>16335</v>
      </c>
      <c r="UIL1" t="s">
        <v>16336</v>
      </c>
      <c r="UIM1" t="s">
        <v>16337</v>
      </c>
      <c r="UIN1" t="s">
        <v>16338</v>
      </c>
      <c r="UIO1" t="s">
        <v>16339</v>
      </c>
      <c r="UIP1" t="s">
        <v>16340</v>
      </c>
      <c r="UIQ1" t="s">
        <v>16341</v>
      </c>
      <c r="UIR1" t="s">
        <v>16342</v>
      </c>
      <c r="UIS1" t="s">
        <v>16343</v>
      </c>
      <c r="UIT1" t="s">
        <v>16344</v>
      </c>
      <c r="UIU1" t="s">
        <v>16345</v>
      </c>
      <c r="UIV1" t="s">
        <v>16346</v>
      </c>
      <c r="UIW1" t="s">
        <v>16347</v>
      </c>
      <c r="UIX1" t="s">
        <v>16348</v>
      </c>
      <c r="UIY1" t="s">
        <v>16349</v>
      </c>
      <c r="UIZ1" t="s">
        <v>16350</v>
      </c>
      <c r="UJA1" t="s">
        <v>16351</v>
      </c>
      <c r="UJB1" t="s">
        <v>16352</v>
      </c>
      <c r="UJC1" t="s">
        <v>16353</v>
      </c>
      <c r="UJD1" t="s">
        <v>16354</v>
      </c>
      <c r="UJE1" t="s">
        <v>16355</v>
      </c>
      <c r="UJF1" t="s">
        <v>16356</v>
      </c>
      <c r="UJG1" t="s">
        <v>16357</v>
      </c>
      <c r="UJH1" t="s">
        <v>16358</v>
      </c>
      <c r="UJI1" t="s">
        <v>16359</v>
      </c>
      <c r="UJJ1" t="s">
        <v>16360</v>
      </c>
      <c r="UJK1" t="s">
        <v>16361</v>
      </c>
      <c r="UJL1" t="s">
        <v>16362</v>
      </c>
      <c r="UJM1" t="s">
        <v>16363</v>
      </c>
      <c r="UJN1" t="s">
        <v>16364</v>
      </c>
      <c r="UJO1" t="s">
        <v>16365</v>
      </c>
      <c r="UJP1" t="s">
        <v>16366</v>
      </c>
      <c r="UJQ1" t="s">
        <v>16367</v>
      </c>
      <c r="UJR1" t="s">
        <v>16368</v>
      </c>
      <c r="UJS1" t="s">
        <v>16369</v>
      </c>
      <c r="UJT1" t="s">
        <v>16370</v>
      </c>
      <c r="UJU1" t="s">
        <v>16371</v>
      </c>
      <c r="UJV1" t="s">
        <v>16372</v>
      </c>
      <c r="UJW1" t="s">
        <v>16373</v>
      </c>
      <c r="UJX1" t="s">
        <v>16374</v>
      </c>
      <c r="UJY1" t="s">
        <v>16375</v>
      </c>
      <c r="UJZ1" t="s">
        <v>16376</v>
      </c>
      <c r="UKA1" t="s">
        <v>16377</v>
      </c>
      <c r="UKB1" t="s">
        <v>16378</v>
      </c>
      <c r="UKC1" t="s">
        <v>16379</v>
      </c>
      <c r="UKD1" t="s">
        <v>16380</v>
      </c>
      <c r="UKE1" t="s">
        <v>16381</v>
      </c>
      <c r="UKF1" t="s">
        <v>16382</v>
      </c>
      <c r="UKG1" t="s">
        <v>16383</v>
      </c>
      <c r="UKH1" t="s">
        <v>16384</v>
      </c>
      <c r="UKI1" t="s">
        <v>16385</v>
      </c>
      <c r="UKJ1" t="s">
        <v>16386</v>
      </c>
      <c r="UKK1" t="s">
        <v>16387</v>
      </c>
      <c r="UKL1" t="s">
        <v>16388</v>
      </c>
      <c r="UKM1" t="s">
        <v>16389</v>
      </c>
      <c r="UKN1" t="s">
        <v>16390</v>
      </c>
      <c r="UKO1" t="s">
        <v>16391</v>
      </c>
      <c r="UKP1" t="s">
        <v>16392</v>
      </c>
      <c r="UKQ1" t="s">
        <v>16393</v>
      </c>
      <c r="UKR1" t="s">
        <v>16394</v>
      </c>
      <c r="UKS1" t="s">
        <v>16395</v>
      </c>
      <c r="UKT1" t="s">
        <v>16396</v>
      </c>
      <c r="UKU1" t="s">
        <v>16397</v>
      </c>
      <c r="UKV1" t="s">
        <v>16398</v>
      </c>
      <c r="UKW1" t="s">
        <v>16399</v>
      </c>
      <c r="UKX1" t="s">
        <v>16400</v>
      </c>
      <c r="UKY1" t="s">
        <v>16401</v>
      </c>
      <c r="UKZ1" t="s">
        <v>16402</v>
      </c>
      <c r="ULA1" t="s">
        <v>16403</v>
      </c>
      <c r="ULB1" t="s">
        <v>16404</v>
      </c>
      <c r="ULC1" t="s">
        <v>16405</v>
      </c>
      <c r="ULD1" t="s">
        <v>16406</v>
      </c>
      <c r="ULE1" t="s">
        <v>16407</v>
      </c>
      <c r="ULF1" t="s">
        <v>16408</v>
      </c>
      <c r="ULG1" t="s">
        <v>16409</v>
      </c>
      <c r="ULH1" t="s">
        <v>16410</v>
      </c>
      <c r="ULI1" t="s">
        <v>16411</v>
      </c>
      <c r="ULJ1" t="s">
        <v>16412</v>
      </c>
      <c r="ULK1" t="s">
        <v>16413</v>
      </c>
      <c r="ULL1" t="s">
        <v>16414</v>
      </c>
      <c r="ULM1" t="s">
        <v>16415</v>
      </c>
      <c r="ULN1" t="s">
        <v>16416</v>
      </c>
      <c r="ULO1" t="s">
        <v>16417</v>
      </c>
      <c r="ULP1" t="s">
        <v>16418</v>
      </c>
      <c r="ULQ1" t="s">
        <v>16419</v>
      </c>
      <c r="ULR1" t="s">
        <v>16420</v>
      </c>
      <c r="ULS1" t="s">
        <v>16421</v>
      </c>
      <c r="ULT1" t="s">
        <v>16422</v>
      </c>
      <c r="ULU1" t="s">
        <v>16423</v>
      </c>
      <c r="ULV1" t="s">
        <v>16424</v>
      </c>
      <c r="ULW1" t="s">
        <v>16425</v>
      </c>
      <c r="ULX1" t="s">
        <v>16426</v>
      </c>
      <c r="ULY1" t="s">
        <v>16427</v>
      </c>
      <c r="ULZ1" t="s">
        <v>16428</v>
      </c>
      <c r="UMA1" t="s">
        <v>16429</v>
      </c>
      <c r="UMB1" t="s">
        <v>16430</v>
      </c>
      <c r="UMC1" t="s">
        <v>16431</v>
      </c>
      <c r="UMD1" t="s">
        <v>16432</v>
      </c>
      <c r="UME1" t="s">
        <v>16433</v>
      </c>
      <c r="UMF1" t="s">
        <v>16434</v>
      </c>
      <c r="UMG1" t="s">
        <v>16435</v>
      </c>
      <c r="UMH1" t="s">
        <v>16436</v>
      </c>
      <c r="UMI1" t="s">
        <v>16437</v>
      </c>
      <c r="UMJ1" t="s">
        <v>16438</v>
      </c>
      <c r="UMK1" t="s">
        <v>16439</v>
      </c>
      <c r="UML1" t="s">
        <v>16440</v>
      </c>
      <c r="UMM1" t="s">
        <v>16441</v>
      </c>
      <c r="UMN1" t="s">
        <v>16442</v>
      </c>
      <c r="UMO1" t="s">
        <v>16443</v>
      </c>
      <c r="UMP1" t="s">
        <v>16444</v>
      </c>
      <c r="UMQ1" t="s">
        <v>16445</v>
      </c>
      <c r="UMR1" t="s">
        <v>16446</v>
      </c>
      <c r="UMS1" t="s">
        <v>16447</v>
      </c>
      <c r="UMT1" t="s">
        <v>16448</v>
      </c>
      <c r="UMU1" t="s">
        <v>16449</v>
      </c>
      <c r="UMV1" t="s">
        <v>16450</v>
      </c>
      <c r="UMW1" t="s">
        <v>16451</v>
      </c>
      <c r="UMX1" t="s">
        <v>16452</v>
      </c>
      <c r="UMY1" t="s">
        <v>16453</v>
      </c>
      <c r="UMZ1" t="s">
        <v>16454</v>
      </c>
      <c r="UNA1" t="s">
        <v>16455</v>
      </c>
      <c r="UNB1" t="s">
        <v>16456</v>
      </c>
      <c r="UNC1" t="s">
        <v>16457</v>
      </c>
      <c r="UND1" t="s">
        <v>16458</v>
      </c>
      <c r="UNE1" t="s">
        <v>16459</v>
      </c>
      <c r="UNF1" t="s">
        <v>16460</v>
      </c>
      <c r="UNG1" t="s">
        <v>16461</v>
      </c>
      <c r="UNH1" t="s">
        <v>16462</v>
      </c>
      <c r="UNI1" t="s">
        <v>16463</v>
      </c>
      <c r="UNJ1" t="s">
        <v>16464</v>
      </c>
      <c r="UNK1" t="s">
        <v>16465</v>
      </c>
      <c r="UNL1" t="s">
        <v>16466</v>
      </c>
      <c r="UNM1" t="s">
        <v>16467</v>
      </c>
      <c r="UNN1" t="s">
        <v>16468</v>
      </c>
      <c r="UNO1" t="s">
        <v>16469</v>
      </c>
      <c r="UNP1" t="s">
        <v>16470</v>
      </c>
      <c r="UNQ1" t="s">
        <v>16471</v>
      </c>
      <c r="UNR1" t="s">
        <v>16472</v>
      </c>
      <c r="UNS1" t="s">
        <v>16473</v>
      </c>
      <c r="UNT1" t="s">
        <v>16474</v>
      </c>
      <c r="UNU1" t="s">
        <v>16475</v>
      </c>
      <c r="UNV1" t="s">
        <v>16476</v>
      </c>
      <c r="UNW1" t="s">
        <v>16477</v>
      </c>
      <c r="UNX1" t="s">
        <v>16478</v>
      </c>
      <c r="UNY1" t="s">
        <v>16479</v>
      </c>
      <c r="UNZ1" t="s">
        <v>16480</v>
      </c>
      <c r="UOA1" t="s">
        <v>16481</v>
      </c>
      <c r="UOB1" t="s">
        <v>16482</v>
      </c>
      <c r="UOC1" t="s">
        <v>16483</v>
      </c>
      <c r="UOD1" t="s">
        <v>16484</v>
      </c>
      <c r="UOE1" t="s">
        <v>16485</v>
      </c>
      <c r="UOF1" t="s">
        <v>16486</v>
      </c>
      <c r="UOG1" t="s">
        <v>16487</v>
      </c>
      <c r="UOH1" t="s">
        <v>16488</v>
      </c>
      <c r="UOI1" t="s">
        <v>16489</v>
      </c>
      <c r="UOJ1" t="s">
        <v>16490</v>
      </c>
      <c r="UOK1" t="s">
        <v>16491</v>
      </c>
      <c r="UOL1" t="s">
        <v>16492</v>
      </c>
      <c r="UOM1" t="s">
        <v>16493</v>
      </c>
      <c r="UON1" t="s">
        <v>16494</v>
      </c>
      <c r="UOO1" t="s">
        <v>16495</v>
      </c>
      <c r="UOP1" t="s">
        <v>16496</v>
      </c>
      <c r="UOQ1" t="s">
        <v>16497</v>
      </c>
      <c r="UOR1" t="s">
        <v>16498</v>
      </c>
      <c r="UOS1" t="s">
        <v>16499</v>
      </c>
      <c r="UOT1" t="s">
        <v>16500</v>
      </c>
      <c r="UOU1" t="s">
        <v>16501</v>
      </c>
      <c r="UOV1" t="s">
        <v>16502</v>
      </c>
      <c r="UOW1" t="s">
        <v>16503</v>
      </c>
      <c r="UOX1" t="s">
        <v>16504</v>
      </c>
      <c r="UOY1" t="s">
        <v>16505</v>
      </c>
      <c r="UOZ1" t="s">
        <v>16506</v>
      </c>
      <c r="UPA1" t="s">
        <v>16507</v>
      </c>
      <c r="UPB1" t="s">
        <v>16508</v>
      </c>
      <c r="UPC1" t="s">
        <v>16509</v>
      </c>
      <c r="UPD1" t="s">
        <v>16510</v>
      </c>
      <c r="UPE1" t="s">
        <v>16511</v>
      </c>
      <c r="UPF1" t="s">
        <v>16512</v>
      </c>
      <c r="UPG1" t="s">
        <v>16513</v>
      </c>
      <c r="UPH1" t="s">
        <v>16514</v>
      </c>
      <c r="UPI1" t="s">
        <v>16515</v>
      </c>
      <c r="UPJ1" t="s">
        <v>16516</v>
      </c>
      <c r="UPK1" t="s">
        <v>16517</v>
      </c>
      <c r="UPL1" t="s">
        <v>16518</v>
      </c>
      <c r="UPM1" t="s">
        <v>16519</v>
      </c>
      <c r="UPN1" t="s">
        <v>16520</v>
      </c>
      <c r="UPO1" t="s">
        <v>16521</v>
      </c>
      <c r="UPP1" t="s">
        <v>16522</v>
      </c>
      <c r="UPQ1" t="s">
        <v>16523</v>
      </c>
      <c r="UPR1" t="s">
        <v>16524</v>
      </c>
      <c r="UPS1" t="s">
        <v>16525</v>
      </c>
      <c r="UPT1" t="s">
        <v>16526</v>
      </c>
      <c r="UPU1" t="s">
        <v>16527</v>
      </c>
      <c r="UPV1" t="s">
        <v>16528</v>
      </c>
      <c r="UPW1" t="s">
        <v>16529</v>
      </c>
      <c r="UPX1" t="s">
        <v>16530</v>
      </c>
      <c r="UPY1" t="s">
        <v>16531</v>
      </c>
      <c r="UPZ1" t="s">
        <v>16532</v>
      </c>
      <c r="UQA1" t="s">
        <v>16533</v>
      </c>
      <c r="UQB1" t="s">
        <v>16534</v>
      </c>
      <c r="UQC1" t="s">
        <v>16535</v>
      </c>
      <c r="UQD1" t="s">
        <v>16536</v>
      </c>
      <c r="UQE1" t="s">
        <v>16537</v>
      </c>
      <c r="UQF1" t="s">
        <v>16538</v>
      </c>
      <c r="UQG1" t="s">
        <v>16539</v>
      </c>
      <c r="UQH1" t="s">
        <v>16540</v>
      </c>
      <c r="UQI1" t="s">
        <v>16541</v>
      </c>
      <c r="UQJ1" t="s">
        <v>16542</v>
      </c>
      <c r="UQK1" t="s">
        <v>16543</v>
      </c>
      <c r="UQL1" t="s">
        <v>16544</v>
      </c>
      <c r="UQM1" t="s">
        <v>16545</v>
      </c>
      <c r="UQN1" t="s">
        <v>16546</v>
      </c>
      <c r="UQO1" t="s">
        <v>16547</v>
      </c>
      <c r="UQP1" t="s">
        <v>16548</v>
      </c>
      <c r="UQQ1" t="s">
        <v>16549</v>
      </c>
      <c r="UQR1" t="s">
        <v>16550</v>
      </c>
      <c r="UQS1" t="s">
        <v>16551</v>
      </c>
      <c r="UQT1" t="s">
        <v>16552</v>
      </c>
      <c r="UQU1" t="s">
        <v>16553</v>
      </c>
      <c r="UQV1" t="s">
        <v>16554</v>
      </c>
      <c r="UQW1" t="s">
        <v>16555</v>
      </c>
      <c r="UQX1" t="s">
        <v>16556</v>
      </c>
      <c r="UQY1" t="s">
        <v>16557</v>
      </c>
      <c r="UQZ1" t="s">
        <v>16558</v>
      </c>
      <c r="URA1" t="s">
        <v>16559</v>
      </c>
      <c r="URB1" t="s">
        <v>16560</v>
      </c>
      <c r="URC1" t="s">
        <v>16561</v>
      </c>
      <c r="URD1" t="s">
        <v>16562</v>
      </c>
      <c r="URE1" t="s">
        <v>16563</v>
      </c>
      <c r="URF1" t="s">
        <v>16564</v>
      </c>
      <c r="URG1" t="s">
        <v>16565</v>
      </c>
      <c r="URH1" t="s">
        <v>16566</v>
      </c>
      <c r="URI1" t="s">
        <v>16567</v>
      </c>
      <c r="URJ1" t="s">
        <v>16568</v>
      </c>
      <c r="URK1" t="s">
        <v>16569</v>
      </c>
      <c r="URL1" t="s">
        <v>16570</v>
      </c>
      <c r="URM1" t="s">
        <v>16571</v>
      </c>
      <c r="URN1" t="s">
        <v>16572</v>
      </c>
      <c r="URO1" t="s">
        <v>16573</v>
      </c>
      <c r="URP1" t="s">
        <v>16574</v>
      </c>
      <c r="URQ1" t="s">
        <v>16575</v>
      </c>
      <c r="URR1" t="s">
        <v>16576</v>
      </c>
      <c r="URS1" t="s">
        <v>16577</v>
      </c>
      <c r="URT1" t="s">
        <v>16578</v>
      </c>
      <c r="URU1" t="s">
        <v>16579</v>
      </c>
      <c r="URV1" t="s">
        <v>16580</v>
      </c>
      <c r="URW1" t="s">
        <v>16581</v>
      </c>
      <c r="URX1" t="s">
        <v>16582</v>
      </c>
      <c r="URY1" t="s">
        <v>16583</v>
      </c>
      <c r="URZ1" t="s">
        <v>16584</v>
      </c>
      <c r="USA1" t="s">
        <v>16585</v>
      </c>
      <c r="USB1" t="s">
        <v>16586</v>
      </c>
      <c r="USC1" t="s">
        <v>16587</v>
      </c>
      <c r="USD1" t="s">
        <v>16588</v>
      </c>
      <c r="USE1" t="s">
        <v>16589</v>
      </c>
      <c r="USF1" t="s">
        <v>16590</v>
      </c>
      <c r="USG1" t="s">
        <v>16591</v>
      </c>
      <c r="USH1" t="s">
        <v>16592</v>
      </c>
      <c r="USI1" t="s">
        <v>16593</v>
      </c>
      <c r="USJ1" t="s">
        <v>16594</v>
      </c>
      <c r="USK1" t="s">
        <v>16595</v>
      </c>
      <c r="USL1" t="s">
        <v>16596</v>
      </c>
      <c r="USM1" t="s">
        <v>16597</v>
      </c>
      <c r="USN1" t="s">
        <v>16598</v>
      </c>
      <c r="USO1" t="s">
        <v>16599</v>
      </c>
      <c r="USP1" t="s">
        <v>16600</v>
      </c>
      <c r="USQ1" t="s">
        <v>16601</v>
      </c>
      <c r="USR1" t="s">
        <v>16602</v>
      </c>
      <c r="USS1" t="s">
        <v>16603</v>
      </c>
      <c r="UST1" t="s">
        <v>16604</v>
      </c>
      <c r="USU1" t="s">
        <v>16605</v>
      </c>
      <c r="USV1" t="s">
        <v>16606</v>
      </c>
      <c r="USW1" t="s">
        <v>16607</v>
      </c>
      <c r="USX1" t="s">
        <v>16608</v>
      </c>
      <c r="USY1" t="s">
        <v>16609</v>
      </c>
      <c r="USZ1" t="s">
        <v>16610</v>
      </c>
      <c r="UTA1" t="s">
        <v>16611</v>
      </c>
      <c r="UTB1" t="s">
        <v>16612</v>
      </c>
      <c r="UTC1" t="s">
        <v>16613</v>
      </c>
      <c r="UTD1" t="s">
        <v>16614</v>
      </c>
      <c r="UTE1" t="s">
        <v>16615</v>
      </c>
      <c r="UTF1" t="s">
        <v>16616</v>
      </c>
      <c r="UTG1" t="s">
        <v>16617</v>
      </c>
      <c r="UTH1" t="s">
        <v>16618</v>
      </c>
      <c r="UTI1" t="s">
        <v>16619</v>
      </c>
      <c r="UTJ1" t="s">
        <v>16620</v>
      </c>
      <c r="UTK1" t="s">
        <v>16621</v>
      </c>
      <c r="UTL1" t="s">
        <v>16622</v>
      </c>
      <c r="UTM1" t="s">
        <v>16623</v>
      </c>
      <c r="UTN1" t="s">
        <v>16624</v>
      </c>
      <c r="UTO1" t="s">
        <v>16625</v>
      </c>
      <c r="UTP1" t="s">
        <v>16626</v>
      </c>
      <c r="UTQ1" t="s">
        <v>16627</v>
      </c>
      <c r="UTR1" t="s">
        <v>16628</v>
      </c>
      <c r="UTS1" t="s">
        <v>16629</v>
      </c>
      <c r="UTT1" t="s">
        <v>16630</v>
      </c>
      <c r="UTU1" t="s">
        <v>16631</v>
      </c>
      <c r="UTV1" t="s">
        <v>16632</v>
      </c>
      <c r="UTW1" t="s">
        <v>16633</v>
      </c>
      <c r="UTX1" t="s">
        <v>16634</v>
      </c>
      <c r="UTY1" t="s">
        <v>16635</v>
      </c>
      <c r="UTZ1" t="s">
        <v>16636</v>
      </c>
      <c r="UUA1" t="s">
        <v>16637</v>
      </c>
      <c r="UUB1" t="s">
        <v>16638</v>
      </c>
      <c r="UUC1" t="s">
        <v>16639</v>
      </c>
      <c r="UUD1" t="s">
        <v>16640</v>
      </c>
      <c r="UUE1" t="s">
        <v>16641</v>
      </c>
      <c r="UUF1" t="s">
        <v>16642</v>
      </c>
      <c r="UUG1" t="s">
        <v>16643</v>
      </c>
      <c r="UUH1" t="s">
        <v>16644</v>
      </c>
      <c r="UUI1" t="s">
        <v>16645</v>
      </c>
      <c r="UUJ1" t="s">
        <v>16646</v>
      </c>
      <c r="UUK1" t="s">
        <v>16647</v>
      </c>
      <c r="UUL1" t="s">
        <v>16648</v>
      </c>
      <c r="UUM1" t="s">
        <v>16649</v>
      </c>
      <c r="UUN1" t="s">
        <v>16650</v>
      </c>
      <c r="UUO1" t="s">
        <v>16651</v>
      </c>
      <c r="UUP1" t="s">
        <v>16652</v>
      </c>
      <c r="UUQ1" t="s">
        <v>16653</v>
      </c>
      <c r="UUR1" t="s">
        <v>16654</v>
      </c>
      <c r="UUS1" t="s">
        <v>16655</v>
      </c>
      <c r="UUT1" t="s">
        <v>16656</v>
      </c>
      <c r="UUU1" t="s">
        <v>16657</v>
      </c>
      <c r="UUV1" t="s">
        <v>16658</v>
      </c>
      <c r="UUW1" t="s">
        <v>16659</v>
      </c>
      <c r="UUX1" t="s">
        <v>16660</v>
      </c>
      <c r="UUY1" t="s">
        <v>16661</v>
      </c>
      <c r="UUZ1" t="s">
        <v>16662</v>
      </c>
      <c r="UVA1" t="s">
        <v>16663</v>
      </c>
      <c r="UVB1" t="s">
        <v>16664</v>
      </c>
      <c r="UVC1" t="s">
        <v>16665</v>
      </c>
      <c r="UVD1" t="s">
        <v>16666</v>
      </c>
      <c r="UVE1" t="s">
        <v>16667</v>
      </c>
      <c r="UVF1" t="s">
        <v>16668</v>
      </c>
      <c r="UVG1" t="s">
        <v>16669</v>
      </c>
      <c r="UVH1" t="s">
        <v>16670</v>
      </c>
      <c r="UVI1" t="s">
        <v>16671</v>
      </c>
      <c r="UVJ1" t="s">
        <v>16672</v>
      </c>
      <c r="UVK1" t="s">
        <v>16673</v>
      </c>
      <c r="UVL1" t="s">
        <v>16674</v>
      </c>
      <c r="UVM1" t="s">
        <v>16675</v>
      </c>
      <c r="UVN1" t="s">
        <v>16676</v>
      </c>
      <c r="UVO1" t="s">
        <v>16677</v>
      </c>
      <c r="UVP1" t="s">
        <v>16678</v>
      </c>
      <c r="UVQ1" t="s">
        <v>16679</v>
      </c>
      <c r="UVR1" t="s">
        <v>16680</v>
      </c>
      <c r="UVS1" t="s">
        <v>16681</v>
      </c>
      <c r="UVT1" t="s">
        <v>16682</v>
      </c>
      <c r="UVU1" t="s">
        <v>16683</v>
      </c>
      <c r="UVV1" t="s">
        <v>16684</v>
      </c>
      <c r="UVW1" t="s">
        <v>16685</v>
      </c>
      <c r="UVX1" t="s">
        <v>16686</v>
      </c>
      <c r="UVY1" t="s">
        <v>16687</v>
      </c>
      <c r="UVZ1" t="s">
        <v>16688</v>
      </c>
      <c r="UWA1" t="s">
        <v>16689</v>
      </c>
      <c r="UWB1" t="s">
        <v>16690</v>
      </c>
      <c r="UWC1" t="s">
        <v>16691</v>
      </c>
      <c r="UWD1" t="s">
        <v>16692</v>
      </c>
      <c r="UWE1" t="s">
        <v>16693</v>
      </c>
      <c r="UWF1" t="s">
        <v>16694</v>
      </c>
      <c r="UWG1" t="s">
        <v>16695</v>
      </c>
      <c r="UWH1" t="s">
        <v>16696</v>
      </c>
      <c r="UWI1" t="s">
        <v>16697</v>
      </c>
      <c r="UWJ1" t="s">
        <v>16698</v>
      </c>
      <c r="UWK1" t="s">
        <v>16699</v>
      </c>
      <c r="UWL1" t="s">
        <v>16700</v>
      </c>
      <c r="UWM1" t="s">
        <v>16701</v>
      </c>
      <c r="UWN1" t="s">
        <v>16702</v>
      </c>
      <c r="UWO1" t="s">
        <v>16703</v>
      </c>
      <c r="UWP1" t="s">
        <v>16704</v>
      </c>
      <c r="UWQ1" t="s">
        <v>16705</v>
      </c>
      <c r="UWR1" t="s">
        <v>16706</v>
      </c>
      <c r="UWS1" t="s">
        <v>16707</v>
      </c>
      <c r="UWT1" t="s">
        <v>16708</v>
      </c>
      <c r="UWU1" t="s">
        <v>16709</v>
      </c>
      <c r="UWV1" t="s">
        <v>16710</v>
      </c>
      <c r="UWW1" t="s">
        <v>16711</v>
      </c>
      <c r="UWX1" t="s">
        <v>16712</v>
      </c>
      <c r="UWY1" t="s">
        <v>16713</v>
      </c>
      <c r="UWZ1" t="s">
        <v>16714</v>
      </c>
      <c r="UXA1" t="s">
        <v>16715</v>
      </c>
      <c r="UXB1" t="s">
        <v>16716</v>
      </c>
      <c r="UXC1" t="s">
        <v>16717</v>
      </c>
      <c r="UXD1" t="s">
        <v>16718</v>
      </c>
      <c r="UXE1" t="s">
        <v>16719</v>
      </c>
      <c r="UXF1" t="s">
        <v>16720</v>
      </c>
      <c r="UXG1" t="s">
        <v>16721</v>
      </c>
      <c r="UXH1" t="s">
        <v>16722</v>
      </c>
      <c r="UXI1" t="s">
        <v>16723</v>
      </c>
      <c r="UXJ1" t="s">
        <v>16724</v>
      </c>
      <c r="UXK1" t="s">
        <v>16725</v>
      </c>
      <c r="UXL1" t="s">
        <v>16726</v>
      </c>
      <c r="UXM1" t="s">
        <v>16727</v>
      </c>
      <c r="UXN1" t="s">
        <v>16728</v>
      </c>
      <c r="UXO1" t="s">
        <v>16729</v>
      </c>
      <c r="UXP1" t="s">
        <v>16730</v>
      </c>
      <c r="UXQ1" t="s">
        <v>16731</v>
      </c>
      <c r="UXR1" t="s">
        <v>16732</v>
      </c>
      <c r="UXS1" t="s">
        <v>16733</v>
      </c>
      <c r="UXT1" t="s">
        <v>16734</v>
      </c>
      <c r="UXU1" t="s">
        <v>16735</v>
      </c>
      <c r="UXV1" t="s">
        <v>16736</v>
      </c>
      <c r="UXW1" t="s">
        <v>16737</v>
      </c>
      <c r="UXX1" t="s">
        <v>16738</v>
      </c>
      <c r="UXY1" t="s">
        <v>16739</v>
      </c>
      <c r="UXZ1" t="s">
        <v>16740</v>
      </c>
      <c r="UYA1" t="s">
        <v>16741</v>
      </c>
      <c r="UYB1" t="s">
        <v>16742</v>
      </c>
      <c r="UYC1" t="s">
        <v>16743</v>
      </c>
      <c r="UYD1" t="s">
        <v>16744</v>
      </c>
      <c r="UYE1" t="s">
        <v>16745</v>
      </c>
      <c r="UYF1" t="s">
        <v>16746</v>
      </c>
      <c r="UYG1" t="s">
        <v>16747</v>
      </c>
      <c r="UYH1" t="s">
        <v>16748</v>
      </c>
      <c r="UYI1" t="s">
        <v>16749</v>
      </c>
      <c r="UYJ1" t="s">
        <v>16750</v>
      </c>
      <c r="UYK1" t="s">
        <v>16751</v>
      </c>
      <c r="UYL1" t="s">
        <v>16752</v>
      </c>
      <c r="UYM1" t="s">
        <v>16753</v>
      </c>
      <c r="UYN1" t="s">
        <v>16754</v>
      </c>
      <c r="UYO1" t="s">
        <v>16755</v>
      </c>
      <c r="UYP1" t="s">
        <v>16756</v>
      </c>
      <c r="UYQ1" t="s">
        <v>16757</v>
      </c>
      <c r="UYR1" t="s">
        <v>16758</v>
      </c>
      <c r="UYS1" t="s">
        <v>16759</v>
      </c>
      <c r="UYT1" t="s">
        <v>16760</v>
      </c>
      <c r="UYU1" t="s">
        <v>16761</v>
      </c>
      <c r="UYV1" t="s">
        <v>16762</v>
      </c>
      <c r="UYW1" t="s">
        <v>16763</v>
      </c>
      <c r="UYX1" t="s">
        <v>16764</v>
      </c>
      <c r="UYY1" t="s">
        <v>16765</v>
      </c>
      <c r="UYZ1" t="s">
        <v>16766</v>
      </c>
      <c r="UZA1" t="s">
        <v>16767</v>
      </c>
      <c r="UZB1" t="s">
        <v>16768</v>
      </c>
      <c r="UZC1" t="s">
        <v>16769</v>
      </c>
      <c r="UZD1" t="s">
        <v>16770</v>
      </c>
      <c r="UZE1" t="s">
        <v>16771</v>
      </c>
      <c r="UZF1" t="s">
        <v>16772</v>
      </c>
      <c r="UZG1" t="s">
        <v>16773</v>
      </c>
      <c r="UZH1" t="s">
        <v>16774</v>
      </c>
      <c r="UZI1" t="s">
        <v>16775</v>
      </c>
      <c r="UZJ1" t="s">
        <v>16776</v>
      </c>
      <c r="UZK1" t="s">
        <v>16777</v>
      </c>
      <c r="UZL1" t="s">
        <v>16778</v>
      </c>
      <c r="UZM1" t="s">
        <v>16779</v>
      </c>
      <c r="UZN1" t="s">
        <v>16780</v>
      </c>
      <c r="UZO1" t="s">
        <v>16781</v>
      </c>
      <c r="UZP1" t="s">
        <v>16782</v>
      </c>
      <c r="UZQ1" t="s">
        <v>16783</v>
      </c>
      <c r="UZR1" t="s">
        <v>16784</v>
      </c>
      <c r="UZS1" t="s">
        <v>16785</v>
      </c>
      <c r="UZT1" t="s">
        <v>16786</v>
      </c>
      <c r="UZU1" t="s">
        <v>16787</v>
      </c>
      <c r="UZV1" t="s">
        <v>16788</v>
      </c>
      <c r="UZW1" t="s">
        <v>16789</v>
      </c>
      <c r="UZX1" t="s">
        <v>16790</v>
      </c>
      <c r="UZY1" t="s">
        <v>16791</v>
      </c>
      <c r="UZZ1" t="s">
        <v>16792</v>
      </c>
      <c r="VAA1" t="s">
        <v>16793</v>
      </c>
      <c r="VAB1" t="s">
        <v>16794</v>
      </c>
      <c r="VAC1" t="s">
        <v>16795</v>
      </c>
      <c r="VAD1" t="s">
        <v>16796</v>
      </c>
      <c r="VAE1" t="s">
        <v>16797</v>
      </c>
      <c r="VAF1" t="s">
        <v>16798</v>
      </c>
      <c r="VAG1" t="s">
        <v>16799</v>
      </c>
      <c r="VAH1" t="s">
        <v>16800</v>
      </c>
      <c r="VAI1" t="s">
        <v>16801</v>
      </c>
      <c r="VAJ1" t="s">
        <v>16802</v>
      </c>
      <c r="VAK1" t="s">
        <v>16803</v>
      </c>
      <c r="VAL1" t="s">
        <v>16804</v>
      </c>
      <c r="VAM1" t="s">
        <v>16805</v>
      </c>
      <c r="VAN1" t="s">
        <v>16806</v>
      </c>
      <c r="VAO1" t="s">
        <v>16807</v>
      </c>
      <c r="VAP1" t="s">
        <v>16808</v>
      </c>
      <c r="VAQ1" t="s">
        <v>16809</v>
      </c>
      <c r="VAR1" t="s">
        <v>16810</v>
      </c>
      <c r="VAS1" t="s">
        <v>16811</v>
      </c>
      <c r="VAT1" t="s">
        <v>16812</v>
      </c>
      <c r="VAU1" t="s">
        <v>16813</v>
      </c>
      <c r="VAV1" t="s">
        <v>16814</v>
      </c>
      <c r="VAW1" t="s">
        <v>16815</v>
      </c>
      <c r="VAX1" t="s">
        <v>16816</v>
      </c>
      <c r="VAY1" t="s">
        <v>16817</v>
      </c>
      <c r="VAZ1" t="s">
        <v>16818</v>
      </c>
      <c r="VBA1" t="s">
        <v>16819</v>
      </c>
      <c r="VBB1" t="s">
        <v>16820</v>
      </c>
      <c r="VBC1" t="s">
        <v>16821</v>
      </c>
      <c r="VBD1" t="s">
        <v>16822</v>
      </c>
      <c r="VBE1" t="s">
        <v>16823</v>
      </c>
      <c r="VBF1" t="s">
        <v>16824</v>
      </c>
      <c r="VBG1" t="s">
        <v>16825</v>
      </c>
      <c r="VBH1" t="s">
        <v>16826</v>
      </c>
      <c r="VBI1" t="s">
        <v>16827</v>
      </c>
      <c r="VBJ1" t="s">
        <v>16828</v>
      </c>
      <c r="VBK1" t="s">
        <v>16829</v>
      </c>
      <c r="VBL1" t="s">
        <v>16830</v>
      </c>
      <c r="VBM1" t="s">
        <v>16831</v>
      </c>
      <c r="VBN1" t="s">
        <v>16832</v>
      </c>
      <c r="VBO1" t="s">
        <v>16833</v>
      </c>
      <c r="VBP1" t="s">
        <v>16834</v>
      </c>
      <c r="VBQ1" t="s">
        <v>16835</v>
      </c>
      <c r="VBR1" t="s">
        <v>16836</v>
      </c>
      <c r="VBS1" t="s">
        <v>16837</v>
      </c>
      <c r="VBT1" t="s">
        <v>16838</v>
      </c>
      <c r="VBU1" t="s">
        <v>16839</v>
      </c>
      <c r="VBV1" t="s">
        <v>16840</v>
      </c>
      <c r="VBW1" t="s">
        <v>16841</v>
      </c>
      <c r="VBX1" t="s">
        <v>16842</v>
      </c>
      <c r="VBY1" t="s">
        <v>16843</v>
      </c>
      <c r="VBZ1" t="s">
        <v>16844</v>
      </c>
      <c r="VCA1" t="s">
        <v>16845</v>
      </c>
      <c r="VCB1" t="s">
        <v>16846</v>
      </c>
      <c r="VCC1" t="s">
        <v>16847</v>
      </c>
      <c r="VCD1" t="s">
        <v>16848</v>
      </c>
      <c r="VCE1" t="s">
        <v>16849</v>
      </c>
      <c r="VCF1" t="s">
        <v>16850</v>
      </c>
      <c r="VCG1" t="s">
        <v>16851</v>
      </c>
      <c r="VCH1" t="s">
        <v>16852</v>
      </c>
      <c r="VCI1" t="s">
        <v>16853</v>
      </c>
      <c r="VCJ1" t="s">
        <v>16854</v>
      </c>
      <c r="VCK1" t="s">
        <v>16855</v>
      </c>
      <c r="VCL1" t="s">
        <v>16856</v>
      </c>
      <c r="VCM1" t="s">
        <v>16857</v>
      </c>
      <c r="VCN1" t="s">
        <v>16858</v>
      </c>
      <c r="VCO1" t="s">
        <v>16859</v>
      </c>
      <c r="VCP1" t="s">
        <v>16860</v>
      </c>
      <c r="VCQ1" t="s">
        <v>16861</v>
      </c>
      <c r="VCR1" t="s">
        <v>16862</v>
      </c>
      <c r="VCS1" t="s">
        <v>16863</v>
      </c>
      <c r="VCT1" t="s">
        <v>16864</v>
      </c>
      <c r="VCU1" t="s">
        <v>16865</v>
      </c>
      <c r="VCV1" t="s">
        <v>16866</v>
      </c>
      <c r="VCW1" t="s">
        <v>16867</v>
      </c>
      <c r="VCX1" t="s">
        <v>16868</v>
      </c>
      <c r="VCY1" t="s">
        <v>16869</v>
      </c>
      <c r="VCZ1" t="s">
        <v>16870</v>
      </c>
      <c r="VDA1" t="s">
        <v>16871</v>
      </c>
      <c r="VDB1" t="s">
        <v>16872</v>
      </c>
      <c r="VDC1" t="s">
        <v>16873</v>
      </c>
      <c r="VDD1" t="s">
        <v>16874</v>
      </c>
      <c r="VDE1" t="s">
        <v>16875</v>
      </c>
      <c r="VDF1" t="s">
        <v>16876</v>
      </c>
      <c r="VDG1" t="s">
        <v>16877</v>
      </c>
      <c r="VDH1" t="s">
        <v>16878</v>
      </c>
      <c r="VDI1" t="s">
        <v>16879</v>
      </c>
      <c r="VDJ1" t="s">
        <v>16880</v>
      </c>
      <c r="VDK1" t="s">
        <v>16881</v>
      </c>
      <c r="VDL1" t="s">
        <v>16882</v>
      </c>
      <c r="VDM1" t="s">
        <v>16883</v>
      </c>
      <c r="VDN1" t="s">
        <v>16884</v>
      </c>
      <c r="VDO1" t="s">
        <v>16885</v>
      </c>
      <c r="VDP1" t="s">
        <v>16886</v>
      </c>
      <c r="VDQ1" t="s">
        <v>16887</v>
      </c>
      <c r="VDR1" t="s">
        <v>16888</v>
      </c>
      <c r="VDS1" t="s">
        <v>16889</v>
      </c>
      <c r="VDT1" t="s">
        <v>16890</v>
      </c>
      <c r="VDU1" t="s">
        <v>16891</v>
      </c>
      <c r="VDV1" t="s">
        <v>16892</v>
      </c>
      <c r="VDW1" t="s">
        <v>16893</v>
      </c>
      <c r="VDX1" t="s">
        <v>16894</v>
      </c>
      <c r="VDY1" t="s">
        <v>16895</v>
      </c>
      <c r="VDZ1" t="s">
        <v>16896</v>
      </c>
      <c r="VEA1" t="s">
        <v>16897</v>
      </c>
      <c r="VEB1" t="s">
        <v>16898</v>
      </c>
      <c r="VEC1" t="s">
        <v>16899</v>
      </c>
      <c r="VED1" t="s">
        <v>16900</v>
      </c>
      <c r="VEE1" t="s">
        <v>16901</v>
      </c>
      <c r="VEF1" t="s">
        <v>16902</v>
      </c>
      <c r="VEG1" t="s">
        <v>16903</v>
      </c>
      <c r="VEH1" t="s">
        <v>16904</v>
      </c>
      <c r="VEI1" t="s">
        <v>16905</v>
      </c>
      <c r="VEJ1" t="s">
        <v>16906</v>
      </c>
      <c r="VEK1" t="s">
        <v>16907</v>
      </c>
      <c r="VEL1" t="s">
        <v>16908</v>
      </c>
      <c r="VEM1" t="s">
        <v>16909</v>
      </c>
      <c r="VEN1" t="s">
        <v>16910</v>
      </c>
      <c r="VEO1" t="s">
        <v>16911</v>
      </c>
      <c r="VEP1" t="s">
        <v>16912</v>
      </c>
      <c r="VEQ1" t="s">
        <v>16913</v>
      </c>
      <c r="VER1" t="s">
        <v>16914</v>
      </c>
      <c r="VES1" t="s">
        <v>16915</v>
      </c>
      <c r="VET1" t="s">
        <v>16916</v>
      </c>
      <c r="VEU1" t="s">
        <v>16917</v>
      </c>
      <c r="VEV1" t="s">
        <v>16918</v>
      </c>
      <c r="VEW1" t="s">
        <v>16919</v>
      </c>
      <c r="VEX1" t="s">
        <v>16920</v>
      </c>
      <c r="VEY1" t="s">
        <v>16921</v>
      </c>
      <c r="VEZ1" t="s">
        <v>16922</v>
      </c>
      <c r="VFA1" t="s">
        <v>16923</v>
      </c>
      <c r="VFB1" t="s">
        <v>16924</v>
      </c>
      <c r="VFC1" t="s">
        <v>16925</v>
      </c>
      <c r="VFD1" t="s">
        <v>16926</v>
      </c>
      <c r="VFE1" t="s">
        <v>16927</v>
      </c>
      <c r="VFF1" t="s">
        <v>16928</v>
      </c>
      <c r="VFG1" t="s">
        <v>16929</v>
      </c>
      <c r="VFH1" t="s">
        <v>16930</v>
      </c>
      <c r="VFI1" t="s">
        <v>16931</v>
      </c>
      <c r="VFJ1" t="s">
        <v>16932</v>
      </c>
      <c r="VFK1" t="s">
        <v>16933</v>
      </c>
      <c r="VFL1" t="s">
        <v>16934</v>
      </c>
      <c r="VFM1" t="s">
        <v>16935</v>
      </c>
      <c r="VFN1" t="s">
        <v>16936</v>
      </c>
      <c r="VFO1" t="s">
        <v>16937</v>
      </c>
      <c r="VFP1" t="s">
        <v>16938</v>
      </c>
      <c r="VFQ1" t="s">
        <v>16939</v>
      </c>
      <c r="VFR1" t="s">
        <v>16940</v>
      </c>
      <c r="VFS1" t="s">
        <v>16941</v>
      </c>
      <c r="VFT1" t="s">
        <v>16942</v>
      </c>
      <c r="VFU1" t="s">
        <v>16943</v>
      </c>
      <c r="VFV1" t="s">
        <v>16944</v>
      </c>
      <c r="VFW1" t="s">
        <v>16945</v>
      </c>
      <c r="VFX1" t="s">
        <v>16946</v>
      </c>
      <c r="VFY1" t="s">
        <v>16947</v>
      </c>
      <c r="VFZ1" t="s">
        <v>16948</v>
      </c>
      <c r="VGA1" t="s">
        <v>16949</v>
      </c>
      <c r="VGB1" t="s">
        <v>16950</v>
      </c>
      <c r="VGC1" t="s">
        <v>16951</v>
      </c>
      <c r="VGD1" t="s">
        <v>16952</v>
      </c>
      <c r="VGE1" t="s">
        <v>16953</v>
      </c>
      <c r="VGF1" t="s">
        <v>16954</v>
      </c>
      <c r="VGG1" t="s">
        <v>16955</v>
      </c>
      <c r="VGH1" t="s">
        <v>16956</v>
      </c>
      <c r="VGI1" t="s">
        <v>16957</v>
      </c>
      <c r="VGJ1" t="s">
        <v>16958</v>
      </c>
      <c r="VGK1" t="s">
        <v>16959</v>
      </c>
      <c r="VGL1" t="s">
        <v>16960</v>
      </c>
      <c r="VGM1" t="s">
        <v>16961</v>
      </c>
      <c r="VGN1" t="s">
        <v>16962</v>
      </c>
      <c r="VGO1" t="s">
        <v>16963</v>
      </c>
      <c r="VGP1" t="s">
        <v>16964</v>
      </c>
      <c r="VGQ1" t="s">
        <v>16965</v>
      </c>
      <c r="VGR1" t="s">
        <v>16966</v>
      </c>
      <c r="VGS1" t="s">
        <v>16967</v>
      </c>
      <c r="VGT1" t="s">
        <v>16968</v>
      </c>
      <c r="VGU1" t="s">
        <v>16969</v>
      </c>
      <c r="VGV1" t="s">
        <v>16970</v>
      </c>
      <c r="VGW1" t="s">
        <v>16971</v>
      </c>
      <c r="VGX1" t="s">
        <v>16972</v>
      </c>
      <c r="VGY1" t="s">
        <v>16973</v>
      </c>
      <c r="VGZ1" t="s">
        <v>16974</v>
      </c>
      <c r="VHA1" t="s">
        <v>16975</v>
      </c>
      <c r="VHB1" t="s">
        <v>16976</v>
      </c>
      <c r="VHC1" t="s">
        <v>16977</v>
      </c>
      <c r="VHD1" t="s">
        <v>16978</v>
      </c>
      <c r="VHE1" t="s">
        <v>16979</v>
      </c>
      <c r="VHF1" t="s">
        <v>16980</v>
      </c>
      <c r="VHG1" t="s">
        <v>16981</v>
      </c>
      <c r="VHH1" t="s">
        <v>16982</v>
      </c>
      <c r="VHI1" t="s">
        <v>16983</v>
      </c>
      <c r="VHJ1" t="s">
        <v>16984</v>
      </c>
      <c r="VHK1" t="s">
        <v>16985</v>
      </c>
      <c r="VHL1" t="s">
        <v>16986</v>
      </c>
      <c r="VHM1" t="s">
        <v>16987</v>
      </c>
      <c r="VHN1" t="s">
        <v>16988</v>
      </c>
      <c r="VHO1" t="s">
        <v>16989</v>
      </c>
      <c r="VHP1" t="s">
        <v>16990</v>
      </c>
      <c r="VHQ1" t="s">
        <v>16991</v>
      </c>
      <c r="VHR1" t="s">
        <v>16992</v>
      </c>
      <c r="VHS1" t="s">
        <v>16993</v>
      </c>
      <c r="VHT1" t="s">
        <v>16994</v>
      </c>
      <c r="VHU1" t="s">
        <v>16995</v>
      </c>
      <c r="VHV1" t="s">
        <v>16996</v>
      </c>
      <c r="VHW1" t="s">
        <v>16997</v>
      </c>
      <c r="VHX1" t="s">
        <v>16998</v>
      </c>
      <c r="VHY1" t="s">
        <v>16999</v>
      </c>
      <c r="VHZ1" t="s">
        <v>17000</v>
      </c>
      <c r="VIA1" t="s">
        <v>17001</v>
      </c>
      <c r="VIB1" t="s">
        <v>17002</v>
      </c>
      <c r="VIC1" t="s">
        <v>17003</v>
      </c>
      <c r="VID1" t="s">
        <v>17004</v>
      </c>
      <c r="VIE1" t="s">
        <v>17005</v>
      </c>
      <c r="VIF1" t="s">
        <v>17006</v>
      </c>
      <c r="VIG1" t="s">
        <v>17007</v>
      </c>
      <c r="VIH1" t="s">
        <v>17008</v>
      </c>
      <c r="VII1" t="s">
        <v>17009</v>
      </c>
      <c r="VIJ1" t="s">
        <v>17010</v>
      </c>
      <c r="VIK1" t="s">
        <v>17011</v>
      </c>
      <c r="VIL1" t="s">
        <v>17012</v>
      </c>
      <c r="VIM1" t="s">
        <v>17013</v>
      </c>
      <c r="VIN1" t="s">
        <v>17014</v>
      </c>
      <c r="VIO1" t="s">
        <v>17015</v>
      </c>
      <c r="VIP1" t="s">
        <v>17016</v>
      </c>
      <c r="VIQ1" t="s">
        <v>17017</v>
      </c>
      <c r="VIR1" t="s">
        <v>17018</v>
      </c>
      <c r="VIS1" t="s">
        <v>17019</v>
      </c>
      <c r="VIT1" t="s">
        <v>17020</v>
      </c>
      <c r="VIU1" t="s">
        <v>17021</v>
      </c>
      <c r="VIV1" t="s">
        <v>17022</v>
      </c>
      <c r="VIW1" t="s">
        <v>17023</v>
      </c>
      <c r="VIX1" t="s">
        <v>17024</v>
      </c>
      <c r="VIY1" t="s">
        <v>17025</v>
      </c>
      <c r="VIZ1" t="s">
        <v>17026</v>
      </c>
      <c r="VJA1" t="s">
        <v>17027</v>
      </c>
      <c r="VJB1" t="s">
        <v>17028</v>
      </c>
      <c r="VJC1" t="s">
        <v>17029</v>
      </c>
      <c r="VJD1" t="s">
        <v>17030</v>
      </c>
      <c r="VJE1" t="s">
        <v>17031</v>
      </c>
      <c r="VJF1" t="s">
        <v>17032</v>
      </c>
      <c r="VJG1" t="s">
        <v>17033</v>
      </c>
      <c r="VJH1" t="s">
        <v>17034</v>
      </c>
      <c r="VJI1" t="s">
        <v>17035</v>
      </c>
      <c r="VJJ1" t="s">
        <v>17036</v>
      </c>
      <c r="VJK1" t="s">
        <v>17037</v>
      </c>
      <c r="VJL1" t="s">
        <v>17038</v>
      </c>
      <c r="VJM1" t="s">
        <v>17039</v>
      </c>
      <c r="VJN1" t="s">
        <v>17040</v>
      </c>
      <c r="VJO1" t="s">
        <v>17041</v>
      </c>
      <c r="VJP1" t="s">
        <v>17042</v>
      </c>
      <c r="VJQ1" t="s">
        <v>17043</v>
      </c>
      <c r="VJR1" t="s">
        <v>17044</v>
      </c>
      <c r="VJS1" t="s">
        <v>17045</v>
      </c>
      <c r="VJT1" t="s">
        <v>17046</v>
      </c>
      <c r="VJU1" t="s">
        <v>17047</v>
      </c>
      <c r="VJV1" t="s">
        <v>17048</v>
      </c>
      <c r="VJW1" t="s">
        <v>17049</v>
      </c>
      <c r="VJX1" t="s">
        <v>17050</v>
      </c>
      <c r="VJY1" t="s">
        <v>17051</v>
      </c>
      <c r="VJZ1" t="s">
        <v>17052</v>
      </c>
      <c r="VKA1" t="s">
        <v>17053</v>
      </c>
      <c r="VKB1" t="s">
        <v>17054</v>
      </c>
      <c r="VKC1" t="s">
        <v>17055</v>
      </c>
      <c r="VKD1" t="s">
        <v>17056</v>
      </c>
      <c r="VKE1" t="s">
        <v>17057</v>
      </c>
      <c r="VKF1" t="s">
        <v>17058</v>
      </c>
      <c r="VKG1" t="s">
        <v>17059</v>
      </c>
      <c r="VKH1" t="s">
        <v>17060</v>
      </c>
      <c r="VKI1" t="s">
        <v>17061</v>
      </c>
      <c r="VKJ1" t="s">
        <v>17062</v>
      </c>
      <c r="VKK1" t="s">
        <v>17063</v>
      </c>
      <c r="VKL1" t="s">
        <v>17064</v>
      </c>
      <c r="VKM1" t="s">
        <v>17065</v>
      </c>
      <c r="VKN1" t="s">
        <v>17066</v>
      </c>
      <c r="VKO1" t="s">
        <v>17067</v>
      </c>
      <c r="VKP1" t="s">
        <v>17068</v>
      </c>
      <c r="VKQ1" t="s">
        <v>17069</v>
      </c>
      <c r="VKR1" t="s">
        <v>17070</v>
      </c>
      <c r="VKS1" t="s">
        <v>17071</v>
      </c>
      <c r="VKT1" t="s">
        <v>17072</v>
      </c>
      <c r="VKU1" t="s">
        <v>17073</v>
      </c>
      <c r="VKV1" t="s">
        <v>17074</v>
      </c>
      <c r="VKW1" t="s">
        <v>17075</v>
      </c>
      <c r="VKX1" t="s">
        <v>17076</v>
      </c>
      <c r="VKY1" t="s">
        <v>17077</v>
      </c>
      <c r="VKZ1" t="s">
        <v>17078</v>
      </c>
      <c r="VLA1" t="s">
        <v>17079</v>
      </c>
      <c r="VLB1" t="s">
        <v>17080</v>
      </c>
      <c r="VLC1" t="s">
        <v>17081</v>
      </c>
      <c r="VLD1" t="s">
        <v>17082</v>
      </c>
      <c r="VLE1" t="s">
        <v>17083</v>
      </c>
      <c r="VLF1" t="s">
        <v>17084</v>
      </c>
      <c r="VLG1" t="s">
        <v>17085</v>
      </c>
      <c r="VLH1" t="s">
        <v>17086</v>
      </c>
      <c r="VLI1" t="s">
        <v>17087</v>
      </c>
      <c r="VLJ1" t="s">
        <v>17088</v>
      </c>
      <c r="VLK1" t="s">
        <v>17089</v>
      </c>
      <c r="VLL1" t="s">
        <v>17090</v>
      </c>
      <c r="VLM1" t="s">
        <v>17091</v>
      </c>
      <c r="VLN1" t="s">
        <v>17092</v>
      </c>
      <c r="VLO1" t="s">
        <v>17093</v>
      </c>
      <c r="VLP1" t="s">
        <v>17094</v>
      </c>
      <c r="VLQ1" t="s">
        <v>17095</v>
      </c>
      <c r="VLR1" t="s">
        <v>17096</v>
      </c>
      <c r="VLS1" t="s">
        <v>17097</v>
      </c>
      <c r="VLT1" t="s">
        <v>17098</v>
      </c>
      <c r="VLU1" t="s">
        <v>17099</v>
      </c>
      <c r="VLV1" t="s">
        <v>17100</v>
      </c>
      <c r="VLW1" t="s">
        <v>17101</v>
      </c>
      <c r="VLX1" t="s">
        <v>17102</v>
      </c>
      <c r="VLY1" t="s">
        <v>17103</v>
      </c>
      <c r="VLZ1" t="s">
        <v>17104</v>
      </c>
      <c r="VMA1" t="s">
        <v>17105</v>
      </c>
      <c r="VMB1" t="s">
        <v>17106</v>
      </c>
      <c r="VMC1" t="s">
        <v>17107</v>
      </c>
      <c r="VMD1" t="s">
        <v>17108</v>
      </c>
      <c r="VME1" t="s">
        <v>17109</v>
      </c>
      <c r="VMF1" t="s">
        <v>17110</v>
      </c>
      <c r="VMG1" t="s">
        <v>17111</v>
      </c>
      <c r="VMH1" t="s">
        <v>17112</v>
      </c>
      <c r="VMI1" t="s">
        <v>17113</v>
      </c>
      <c r="VMJ1" t="s">
        <v>17114</v>
      </c>
      <c r="VMK1" t="s">
        <v>17115</v>
      </c>
      <c r="VML1" t="s">
        <v>17116</v>
      </c>
      <c r="VMM1" t="s">
        <v>17117</v>
      </c>
      <c r="VMN1" t="s">
        <v>17118</v>
      </c>
      <c r="VMO1" t="s">
        <v>17119</v>
      </c>
      <c r="VMP1" t="s">
        <v>17120</v>
      </c>
      <c r="VMQ1" t="s">
        <v>17121</v>
      </c>
      <c r="VMR1" t="s">
        <v>17122</v>
      </c>
      <c r="VMS1" t="s">
        <v>17123</v>
      </c>
      <c r="VMT1" t="s">
        <v>17124</v>
      </c>
      <c r="VMU1" t="s">
        <v>17125</v>
      </c>
      <c r="VMV1" t="s">
        <v>17126</v>
      </c>
      <c r="VMW1" t="s">
        <v>17127</v>
      </c>
      <c r="VMX1" t="s">
        <v>17128</v>
      </c>
      <c r="VMY1" t="s">
        <v>17129</v>
      </c>
      <c r="VMZ1" t="s">
        <v>17130</v>
      </c>
      <c r="VNA1" t="s">
        <v>17131</v>
      </c>
      <c r="VNB1" t="s">
        <v>17132</v>
      </c>
      <c r="VNC1" t="s">
        <v>17133</v>
      </c>
      <c r="VND1" t="s">
        <v>17134</v>
      </c>
      <c r="VNE1" t="s">
        <v>17135</v>
      </c>
      <c r="VNF1" t="s">
        <v>17136</v>
      </c>
      <c r="VNG1" t="s">
        <v>17137</v>
      </c>
      <c r="VNH1" t="s">
        <v>17138</v>
      </c>
      <c r="VNI1" t="s">
        <v>17139</v>
      </c>
      <c r="VNJ1" t="s">
        <v>17140</v>
      </c>
      <c r="VNK1" t="s">
        <v>17141</v>
      </c>
      <c r="VNL1" t="s">
        <v>17142</v>
      </c>
      <c r="VNM1" t="s">
        <v>17143</v>
      </c>
      <c r="VNN1" t="s">
        <v>17144</v>
      </c>
      <c r="VNO1" t="s">
        <v>17145</v>
      </c>
      <c r="VNP1" t="s">
        <v>17146</v>
      </c>
      <c r="VNQ1" t="s">
        <v>17147</v>
      </c>
      <c r="VNR1" t="s">
        <v>17148</v>
      </c>
      <c r="VNS1" t="s">
        <v>17149</v>
      </c>
      <c r="VNT1" t="s">
        <v>17150</v>
      </c>
      <c r="VNU1" t="s">
        <v>17151</v>
      </c>
      <c r="VNV1" t="s">
        <v>17152</v>
      </c>
      <c r="VNW1" t="s">
        <v>17153</v>
      </c>
      <c r="VNX1" t="s">
        <v>17154</v>
      </c>
      <c r="VNY1" t="s">
        <v>17155</v>
      </c>
      <c r="VNZ1" t="s">
        <v>17156</v>
      </c>
      <c r="VOA1" t="s">
        <v>17157</v>
      </c>
      <c r="VOB1" t="s">
        <v>17158</v>
      </c>
      <c r="VOC1" t="s">
        <v>17159</v>
      </c>
      <c r="VOD1" t="s">
        <v>17160</v>
      </c>
      <c r="VOE1" t="s">
        <v>17161</v>
      </c>
      <c r="VOF1" t="s">
        <v>17162</v>
      </c>
      <c r="VOG1" t="s">
        <v>17163</v>
      </c>
      <c r="VOH1" t="s">
        <v>17164</v>
      </c>
      <c r="VOI1" t="s">
        <v>17165</v>
      </c>
      <c r="VOJ1" t="s">
        <v>17166</v>
      </c>
      <c r="VOK1" t="s">
        <v>17167</v>
      </c>
      <c r="VOL1" t="s">
        <v>17168</v>
      </c>
      <c r="VOM1" t="s">
        <v>17169</v>
      </c>
      <c r="VON1" t="s">
        <v>17170</v>
      </c>
      <c r="VOO1" t="s">
        <v>17171</v>
      </c>
      <c r="VOP1" t="s">
        <v>17172</v>
      </c>
      <c r="VOQ1" t="s">
        <v>17173</v>
      </c>
      <c r="VOR1" t="s">
        <v>17174</v>
      </c>
      <c r="VOS1" t="s">
        <v>17175</v>
      </c>
      <c r="VOT1" t="s">
        <v>17176</v>
      </c>
      <c r="VOU1" t="s">
        <v>17177</v>
      </c>
      <c r="VOV1" t="s">
        <v>17178</v>
      </c>
      <c r="VOW1" t="s">
        <v>17179</v>
      </c>
      <c r="VOX1" t="s">
        <v>17180</v>
      </c>
      <c r="VOY1" t="s">
        <v>17181</v>
      </c>
      <c r="VOZ1" t="s">
        <v>17182</v>
      </c>
      <c r="VPA1" t="s">
        <v>17183</v>
      </c>
      <c r="VPB1" t="s">
        <v>17184</v>
      </c>
      <c r="VPC1" t="s">
        <v>17185</v>
      </c>
      <c r="VPD1" t="s">
        <v>17186</v>
      </c>
      <c r="VPE1" t="s">
        <v>17187</v>
      </c>
      <c r="VPF1" t="s">
        <v>17188</v>
      </c>
      <c r="VPG1" t="s">
        <v>17189</v>
      </c>
      <c r="VPH1" t="s">
        <v>17190</v>
      </c>
      <c r="VPI1" t="s">
        <v>17191</v>
      </c>
      <c r="VPJ1" t="s">
        <v>17192</v>
      </c>
      <c r="VPK1" t="s">
        <v>17193</v>
      </c>
      <c r="VPL1" t="s">
        <v>17194</v>
      </c>
      <c r="VPM1" t="s">
        <v>17195</v>
      </c>
      <c r="VPN1" t="s">
        <v>17196</v>
      </c>
      <c r="VPO1" t="s">
        <v>17197</v>
      </c>
      <c r="VPP1" t="s">
        <v>17198</v>
      </c>
      <c r="VPQ1" t="s">
        <v>17199</v>
      </c>
      <c r="VPR1" t="s">
        <v>17200</v>
      </c>
      <c r="VPS1" t="s">
        <v>17201</v>
      </c>
      <c r="VPT1" t="s">
        <v>17202</v>
      </c>
      <c r="VPU1" t="s">
        <v>17203</v>
      </c>
      <c r="VPV1" t="s">
        <v>17204</v>
      </c>
      <c r="VPW1" t="s">
        <v>17205</v>
      </c>
      <c r="VPX1" t="s">
        <v>17206</v>
      </c>
      <c r="VPY1" t="s">
        <v>17207</v>
      </c>
      <c r="VPZ1" t="s">
        <v>17208</v>
      </c>
      <c r="VQA1" t="s">
        <v>17209</v>
      </c>
      <c r="VQB1" t="s">
        <v>17210</v>
      </c>
      <c r="VQC1" t="s">
        <v>17211</v>
      </c>
      <c r="VQD1" t="s">
        <v>17212</v>
      </c>
      <c r="VQE1" t="s">
        <v>17213</v>
      </c>
      <c r="VQF1" t="s">
        <v>17214</v>
      </c>
      <c r="VQG1" t="s">
        <v>17215</v>
      </c>
      <c r="VQH1" t="s">
        <v>17216</v>
      </c>
      <c r="VQI1" t="s">
        <v>17217</v>
      </c>
      <c r="VQJ1" t="s">
        <v>17218</v>
      </c>
      <c r="VQK1" t="s">
        <v>17219</v>
      </c>
      <c r="VQL1" t="s">
        <v>17220</v>
      </c>
      <c r="VQM1" t="s">
        <v>17221</v>
      </c>
      <c r="VQN1" t="s">
        <v>17222</v>
      </c>
      <c r="VQO1" t="s">
        <v>17223</v>
      </c>
      <c r="VQP1" t="s">
        <v>17224</v>
      </c>
      <c r="VQQ1" t="s">
        <v>17225</v>
      </c>
      <c r="VQR1" t="s">
        <v>17226</v>
      </c>
      <c r="VQS1" t="s">
        <v>17227</v>
      </c>
      <c r="VQT1" t="s">
        <v>17228</v>
      </c>
      <c r="VQU1" t="s">
        <v>17229</v>
      </c>
      <c r="VQV1" t="s">
        <v>17230</v>
      </c>
      <c r="VQW1" t="s">
        <v>17231</v>
      </c>
      <c r="VQX1" t="s">
        <v>17232</v>
      </c>
      <c r="VQY1" t="s">
        <v>17233</v>
      </c>
      <c r="VQZ1" t="s">
        <v>17234</v>
      </c>
      <c r="VRA1" t="s">
        <v>17235</v>
      </c>
      <c r="VRB1" t="s">
        <v>17236</v>
      </c>
      <c r="VRC1" t="s">
        <v>17237</v>
      </c>
      <c r="VRD1" t="s">
        <v>17238</v>
      </c>
      <c r="VRE1" t="s">
        <v>17239</v>
      </c>
      <c r="VRF1" t="s">
        <v>17240</v>
      </c>
      <c r="VRG1" t="s">
        <v>17241</v>
      </c>
      <c r="VRH1" t="s">
        <v>17242</v>
      </c>
      <c r="VRI1" t="s">
        <v>17243</v>
      </c>
      <c r="VRJ1" t="s">
        <v>17244</v>
      </c>
      <c r="VRK1" t="s">
        <v>17245</v>
      </c>
      <c r="VRL1" t="s">
        <v>17246</v>
      </c>
      <c r="VRM1" t="s">
        <v>17247</v>
      </c>
      <c r="VRN1" t="s">
        <v>17248</v>
      </c>
      <c r="VRO1" t="s">
        <v>17249</v>
      </c>
      <c r="VRP1" t="s">
        <v>17250</v>
      </c>
      <c r="VRQ1" t="s">
        <v>17251</v>
      </c>
      <c r="VRR1" t="s">
        <v>17252</v>
      </c>
      <c r="VRS1" t="s">
        <v>17253</v>
      </c>
      <c r="VRT1" t="s">
        <v>17254</v>
      </c>
      <c r="VRU1" t="s">
        <v>17255</v>
      </c>
      <c r="VRV1" t="s">
        <v>17256</v>
      </c>
      <c r="VRW1" t="s">
        <v>17257</v>
      </c>
      <c r="VRX1" t="s">
        <v>17258</v>
      </c>
      <c r="VRY1" t="s">
        <v>17259</v>
      </c>
      <c r="VRZ1" t="s">
        <v>17260</v>
      </c>
      <c r="VSA1" t="s">
        <v>17261</v>
      </c>
      <c r="VSB1" t="s">
        <v>17262</v>
      </c>
      <c r="VSC1" t="s">
        <v>17263</v>
      </c>
      <c r="VSD1" t="s">
        <v>17264</v>
      </c>
      <c r="VSE1" t="s">
        <v>17265</v>
      </c>
      <c r="VSF1" t="s">
        <v>17266</v>
      </c>
      <c r="VSG1" t="s">
        <v>17267</v>
      </c>
      <c r="VSH1" t="s">
        <v>17268</v>
      </c>
      <c r="VSI1" t="s">
        <v>17269</v>
      </c>
      <c r="VSJ1" t="s">
        <v>17270</v>
      </c>
      <c r="VSK1" t="s">
        <v>17271</v>
      </c>
      <c r="VSL1" t="s">
        <v>17272</v>
      </c>
      <c r="VSM1" t="s">
        <v>17273</v>
      </c>
      <c r="VSN1" t="s">
        <v>17274</v>
      </c>
      <c r="VSO1" t="s">
        <v>17275</v>
      </c>
      <c r="VSP1" t="s">
        <v>17276</v>
      </c>
      <c r="VSQ1" t="s">
        <v>17277</v>
      </c>
      <c r="VSR1" t="s">
        <v>17278</v>
      </c>
      <c r="VSS1" t="s">
        <v>17279</v>
      </c>
      <c r="VST1" t="s">
        <v>17280</v>
      </c>
      <c r="VSU1" t="s">
        <v>17281</v>
      </c>
      <c r="VSV1" t="s">
        <v>17282</v>
      </c>
      <c r="VSW1" t="s">
        <v>17283</v>
      </c>
      <c r="VSX1" t="s">
        <v>17284</v>
      </c>
      <c r="VSY1" t="s">
        <v>17285</v>
      </c>
      <c r="VSZ1" t="s">
        <v>17286</v>
      </c>
      <c r="VTA1" t="s">
        <v>17287</v>
      </c>
      <c r="VTB1" t="s">
        <v>17288</v>
      </c>
      <c r="VTC1" t="s">
        <v>17289</v>
      </c>
      <c r="VTD1" t="s">
        <v>17290</v>
      </c>
      <c r="VTE1" t="s">
        <v>17291</v>
      </c>
      <c r="VTF1" t="s">
        <v>17292</v>
      </c>
      <c r="VTG1" t="s">
        <v>17293</v>
      </c>
      <c r="VTH1" t="s">
        <v>17294</v>
      </c>
      <c r="VTI1" t="s">
        <v>17295</v>
      </c>
      <c r="VTJ1" t="s">
        <v>17296</v>
      </c>
      <c r="VTK1" t="s">
        <v>17297</v>
      </c>
      <c r="VTL1" t="s">
        <v>17298</v>
      </c>
      <c r="VTM1" t="s">
        <v>17299</v>
      </c>
      <c r="VTN1" t="s">
        <v>17300</v>
      </c>
      <c r="VTO1" t="s">
        <v>17301</v>
      </c>
      <c r="VTP1" t="s">
        <v>17302</v>
      </c>
      <c r="VTQ1" t="s">
        <v>17303</v>
      </c>
      <c r="VTR1" t="s">
        <v>17304</v>
      </c>
      <c r="VTS1" t="s">
        <v>17305</v>
      </c>
      <c r="VTT1" t="s">
        <v>17306</v>
      </c>
      <c r="VTU1" t="s">
        <v>17307</v>
      </c>
      <c r="VTV1" t="s">
        <v>17308</v>
      </c>
      <c r="VTW1" t="s">
        <v>17309</v>
      </c>
      <c r="VTX1" t="s">
        <v>17310</v>
      </c>
      <c r="VTY1" t="s">
        <v>17311</v>
      </c>
      <c r="VTZ1" t="s">
        <v>17312</v>
      </c>
      <c r="VUA1" t="s">
        <v>17313</v>
      </c>
      <c r="VUB1" t="s">
        <v>17314</v>
      </c>
      <c r="VUC1" t="s">
        <v>17315</v>
      </c>
      <c r="VUD1" t="s">
        <v>17316</v>
      </c>
      <c r="VUE1" t="s">
        <v>17317</v>
      </c>
      <c r="VUF1" t="s">
        <v>17318</v>
      </c>
      <c r="VUG1" t="s">
        <v>17319</v>
      </c>
      <c r="VUH1" t="s">
        <v>17320</v>
      </c>
      <c r="VUI1" t="s">
        <v>17321</v>
      </c>
      <c r="VUJ1" t="s">
        <v>17322</v>
      </c>
      <c r="VUK1" t="s">
        <v>17323</v>
      </c>
      <c r="VUL1" t="s">
        <v>17324</v>
      </c>
      <c r="VUM1" t="s">
        <v>17325</v>
      </c>
      <c r="VUN1" t="s">
        <v>17326</v>
      </c>
      <c r="VUO1" t="s">
        <v>17327</v>
      </c>
      <c r="VUP1" t="s">
        <v>17328</v>
      </c>
      <c r="VUQ1" t="s">
        <v>17329</v>
      </c>
      <c r="VUR1" t="s">
        <v>17330</v>
      </c>
      <c r="VUS1" t="s">
        <v>17331</v>
      </c>
      <c r="VUT1" t="s">
        <v>17332</v>
      </c>
      <c r="VUU1" t="s">
        <v>17333</v>
      </c>
      <c r="VUV1" t="s">
        <v>17334</v>
      </c>
      <c r="VUW1" t="s">
        <v>17335</v>
      </c>
      <c r="VUX1" t="s">
        <v>17336</v>
      </c>
      <c r="VUY1" t="s">
        <v>17337</v>
      </c>
      <c r="VUZ1" t="s">
        <v>17338</v>
      </c>
      <c r="VVA1" t="s">
        <v>17339</v>
      </c>
      <c r="VVB1" t="s">
        <v>17340</v>
      </c>
      <c r="VVC1" t="s">
        <v>17341</v>
      </c>
      <c r="VVD1" t="s">
        <v>17342</v>
      </c>
      <c r="VVE1" t="s">
        <v>17343</v>
      </c>
      <c r="VVF1" t="s">
        <v>17344</v>
      </c>
      <c r="VVG1" t="s">
        <v>17345</v>
      </c>
      <c r="VVH1" t="s">
        <v>17346</v>
      </c>
      <c r="VVI1" t="s">
        <v>17347</v>
      </c>
      <c r="VVJ1" t="s">
        <v>17348</v>
      </c>
      <c r="VVK1" t="s">
        <v>17349</v>
      </c>
      <c r="VVL1" t="s">
        <v>17350</v>
      </c>
      <c r="VVM1" t="s">
        <v>17351</v>
      </c>
      <c r="VVN1" t="s">
        <v>17352</v>
      </c>
      <c r="VVO1" t="s">
        <v>17353</v>
      </c>
      <c r="VVP1" t="s">
        <v>17354</v>
      </c>
      <c r="VVQ1" t="s">
        <v>17355</v>
      </c>
      <c r="VVR1" t="s">
        <v>17356</v>
      </c>
      <c r="VVS1" t="s">
        <v>17357</v>
      </c>
      <c r="VVT1" t="s">
        <v>17358</v>
      </c>
      <c r="VVU1" t="s">
        <v>17359</v>
      </c>
      <c r="VVV1" t="s">
        <v>17360</v>
      </c>
      <c r="VVW1" t="s">
        <v>17361</v>
      </c>
      <c r="VVX1" t="s">
        <v>17362</v>
      </c>
      <c r="VVY1" t="s">
        <v>17363</v>
      </c>
      <c r="VVZ1" t="s">
        <v>17364</v>
      </c>
      <c r="VWA1" t="s">
        <v>17365</v>
      </c>
      <c r="VWB1" t="s">
        <v>17366</v>
      </c>
      <c r="VWC1" t="s">
        <v>17367</v>
      </c>
      <c r="VWD1" t="s">
        <v>17368</v>
      </c>
      <c r="VWE1" t="s">
        <v>17369</v>
      </c>
      <c r="VWF1" t="s">
        <v>17370</v>
      </c>
      <c r="VWG1" t="s">
        <v>17371</v>
      </c>
      <c r="VWH1" t="s">
        <v>17372</v>
      </c>
      <c r="VWI1" t="s">
        <v>17373</v>
      </c>
      <c r="VWJ1" t="s">
        <v>17374</v>
      </c>
      <c r="VWK1" t="s">
        <v>17375</v>
      </c>
      <c r="VWL1" t="s">
        <v>17376</v>
      </c>
      <c r="VWM1" t="s">
        <v>17377</v>
      </c>
      <c r="VWN1" t="s">
        <v>17378</v>
      </c>
      <c r="VWO1" t="s">
        <v>17379</v>
      </c>
      <c r="VWP1" t="s">
        <v>17380</v>
      </c>
      <c r="VWQ1" t="s">
        <v>17381</v>
      </c>
      <c r="VWR1" t="s">
        <v>17382</v>
      </c>
      <c r="VWS1" t="s">
        <v>17383</v>
      </c>
      <c r="VWT1" t="s">
        <v>17384</v>
      </c>
      <c r="VWU1" t="s">
        <v>17385</v>
      </c>
      <c r="VWV1" t="s">
        <v>17386</v>
      </c>
      <c r="VWW1" t="s">
        <v>17387</v>
      </c>
      <c r="VWX1" t="s">
        <v>17388</v>
      </c>
      <c r="VWY1" t="s">
        <v>17389</v>
      </c>
      <c r="VWZ1" t="s">
        <v>17390</v>
      </c>
      <c r="VXA1" t="s">
        <v>17391</v>
      </c>
      <c r="VXB1" t="s">
        <v>17392</v>
      </c>
      <c r="VXC1" t="s">
        <v>17393</v>
      </c>
      <c r="VXD1" t="s">
        <v>17394</v>
      </c>
      <c r="VXE1" t="s">
        <v>17395</v>
      </c>
      <c r="VXF1" t="s">
        <v>17396</v>
      </c>
      <c r="VXG1" t="s">
        <v>17397</v>
      </c>
      <c r="VXH1" t="s">
        <v>17398</v>
      </c>
      <c r="VXI1" t="s">
        <v>17399</v>
      </c>
      <c r="VXJ1" t="s">
        <v>17400</v>
      </c>
      <c r="VXK1" t="s">
        <v>17401</v>
      </c>
      <c r="VXL1" t="s">
        <v>17402</v>
      </c>
      <c r="VXM1" t="s">
        <v>17403</v>
      </c>
      <c r="VXN1" t="s">
        <v>17404</v>
      </c>
      <c r="VXO1" t="s">
        <v>17405</v>
      </c>
      <c r="VXP1" t="s">
        <v>17406</v>
      </c>
      <c r="VXQ1" t="s">
        <v>17407</v>
      </c>
      <c r="VXR1" t="s">
        <v>17408</v>
      </c>
      <c r="VXS1" t="s">
        <v>17409</v>
      </c>
      <c r="VXT1" t="s">
        <v>17410</v>
      </c>
      <c r="VXU1" t="s">
        <v>17411</v>
      </c>
      <c r="VXV1" t="s">
        <v>17412</v>
      </c>
      <c r="VXW1" t="s">
        <v>17413</v>
      </c>
      <c r="VXX1" t="s">
        <v>17414</v>
      </c>
      <c r="VXY1" t="s">
        <v>17415</v>
      </c>
      <c r="VXZ1" t="s">
        <v>17416</v>
      </c>
      <c r="VYA1" t="s">
        <v>17417</v>
      </c>
      <c r="VYB1" t="s">
        <v>17418</v>
      </c>
      <c r="VYC1" t="s">
        <v>17419</v>
      </c>
      <c r="VYD1" t="s">
        <v>17420</v>
      </c>
      <c r="VYE1" t="s">
        <v>17421</v>
      </c>
      <c r="VYF1" t="s">
        <v>17422</v>
      </c>
      <c r="VYG1" t="s">
        <v>17423</v>
      </c>
      <c r="VYH1" t="s">
        <v>17424</v>
      </c>
      <c r="VYI1" t="s">
        <v>17425</v>
      </c>
      <c r="VYJ1" t="s">
        <v>17426</v>
      </c>
      <c r="VYK1" t="s">
        <v>17427</v>
      </c>
      <c r="VYL1" t="s">
        <v>17428</v>
      </c>
      <c r="VYM1" t="s">
        <v>17429</v>
      </c>
      <c r="VYN1" t="s">
        <v>17430</v>
      </c>
      <c r="VYO1" t="s">
        <v>17431</v>
      </c>
      <c r="VYP1" t="s">
        <v>17432</v>
      </c>
      <c r="VYQ1" t="s">
        <v>17433</v>
      </c>
      <c r="VYR1" t="s">
        <v>17434</v>
      </c>
      <c r="VYS1" t="s">
        <v>17435</v>
      </c>
      <c r="VYT1" t="s">
        <v>17436</v>
      </c>
      <c r="VYU1" t="s">
        <v>17437</v>
      </c>
      <c r="VYV1" t="s">
        <v>17438</v>
      </c>
      <c r="VYW1" t="s">
        <v>17439</v>
      </c>
      <c r="VYX1" t="s">
        <v>17440</v>
      </c>
      <c r="VYY1" t="s">
        <v>17441</v>
      </c>
      <c r="VYZ1" t="s">
        <v>17442</v>
      </c>
      <c r="VZA1" t="s">
        <v>17443</v>
      </c>
      <c r="VZB1" t="s">
        <v>17444</v>
      </c>
      <c r="VZC1" t="s">
        <v>17445</v>
      </c>
      <c r="VZD1" t="s">
        <v>17446</v>
      </c>
      <c r="VZE1" t="s">
        <v>17447</v>
      </c>
      <c r="VZF1" t="s">
        <v>17448</v>
      </c>
      <c r="VZG1" t="s">
        <v>17449</v>
      </c>
      <c r="VZH1" t="s">
        <v>17450</v>
      </c>
      <c r="VZI1" t="s">
        <v>17451</v>
      </c>
      <c r="VZJ1" t="s">
        <v>17452</v>
      </c>
      <c r="VZK1" t="s">
        <v>17453</v>
      </c>
      <c r="VZL1" t="s">
        <v>17454</v>
      </c>
      <c r="VZM1" t="s">
        <v>17455</v>
      </c>
      <c r="VZN1" t="s">
        <v>17456</v>
      </c>
      <c r="VZO1" t="s">
        <v>17457</v>
      </c>
      <c r="VZP1" t="s">
        <v>17458</v>
      </c>
      <c r="VZQ1" t="s">
        <v>17459</v>
      </c>
      <c r="VZR1" t="s">
        <v>17460</v>
      </c>
      <c r="VZS1" t="s">
        <v>17461</v>
      </c>
      <c r="VZT1" t="s">
        <v>17462</v>
      </c>
      <c r="VZU1" t="s">
        <v>17463</v>
      </c>
      <c r="VZV1" t="s">
        <v>17464</v>
      </c>
      <c r="VZW1" t="s">
        <v>17465</v>
      </c>
      <c r="VZX1" t="s">
        <v>17466</v>
      </c>
      <c r="VZY1" t="s">
        <v>17467</v>
      </c>
      <c r="VZZ1" t="s">
        <v>17468</v>
      </c>
      <c r="WAA1" t="s">
        <v>17469</v>
      </c>
      <c r="WAB1" t="s">
        <v>17470</v>
      </c>
      <c r="WAC1" t="s">
        <v>17471</v>
      </c>
      <c r="WAD1" t="s">
        <v>17472</v>
      </c>
      <c r="WAE1" t="s">
        <v>17473</v>
      </c>
      <c r="WAF1" t="s">
        <v>17474</v>
      </c>
      <c r="WAG1" t="s">
        <v>17475</v>
      </c>
      <c r="WAH1" t="s">
        <v>17476</v>
      </c>
      <c r="WAI1" t="s">
        <v>17477</v>
      </c>
      <c r="WAJ1" t="s">
        <v>17478</v>
      </c>
      <c r="WAK1" t="s">
        <v>17479</v>
      </c>
      <c r="WAL1" t="s">
        <v>17480</v>
      </c>
      <c r="WAM1" t="s">
        <v>17481</v>
      </c>
      <c r="WAN1" t="s">
        <v>17482</v>
      </c>
      <c r="WAO1" t="s">
        <v>17483</v>
      </c>
      <c r="WAP1" t="s">
        <v>17484</v>
      </c>
      <c r="WAQ1" t="s">
        <v>17485</v>
      </c>
      <c r="WAR1" t="s">
        <v>17486</v>
      </c>
      <c r="WAS1" t="s">
        <v>17487</v>
      </c>
      <c r="WAT1" t="s">
        <v>17488</v>
      </c>
      <c r="WAU1" t="s">
        <v>17489</v>
      </c>
      <c r="WAV1" t="s">
        <v>17490</v>
      </c>
      <c r="WAW1" t="s">
        <v>17491</v>
      </c>
      <c r="WAX1" t="s">
        <v>17492</v>
      </c>
      <c r="WAY1" t="s">
        <v>17493</v>
      </c>
      <c r="WAZ1" t="s">
        <v>17494</v>
      </c>
      <c r="WBA1" t="s">
        <v>17495</v>
      </c>
      <c r="WBB1" t="s">
        <v>17496</v>
      </c>
      <c r="WBC1" t="s">
        <v>17497</v>
      </c>
      <c r="WBD1" t="s">
        <v>17498</v>
      </c>
      <c r="WBE1" t="s">
        <v>17499</v>
      </c>
      <c r="WBF1" t="s">
        <v>17500</v>
      </c>
      <c r="WBG1" t="s">
        <v>17501</v>
      </c>
      <c r="WBH1" t="s">
        <v>17502</v>
      </c>
      <c r="WBI1" t="s">
        <v>17503</v>
      </c>
      <c r="WBJ1" t="s">
        <v>17504</v>
      </c>
      <c r="WBK1" t="s">
        <v>17505</v>
      </c>
      <c r="WBL1" t="s">
        <v>17506</v>
      </c>
      <c r="WBM1" t="s">
        <v>17507</v>
      </c>
      <c r="WBN1" t="s">
        <v>17508</v>
      </c>
      <c r="WBO1" t="s">
        <v>17509</v>
      </c>
      <c r="WBP1" t="s">
        <v>17510</v>
      </c>
      <c r="WBQ1" t="s">
        <v>17511</v>
      </c>
      <c r="WBR1" t="s">
        <v>17512</v>
      </c>
      <c r="WBS1" t="s">
        <v>17513</v>
      </c>
      <c r="WBT1" t="s">
        <v>17514</v>
      </c>
      <c r="WBU1" t="s">
        <v>17515</v>
      </c>
      <c r="WBV1" t="s">
        <v>17516</v>
      </c>
      <c r="WBW1" t="s">
        <v>17517</v>
      </c>
      <c r="WBX1" t="s">
        <v>17518</v>
      </c>
      <c r="WBY1" t="s">
        <v>17519</v>
      </c>
      <c r="WBZ1" t="s">
        <v>17520</v>
      </c>
      <c r="WCA1" t="s">
        <v>17521</v>
      </c>
      <c r="WCB1" t="s">
        <v>17522</v>
      </c>
      <c r="WCC1" t="s">
        <v>17523</v>
      </c>
      <c r="WCD1" t="s">
        <v>17524</v>
      </c>
      <c r="WCE1" t="s">
        <v>17525</v>
      </c>
      <c r="WCF1" t="s">
        <v>17526</v>
      </c>
      <c r="WCG1" t="s">
        <v>17527</v>
      </c>
      <c r="WCH1" t="s">
        <v>17528</v>
      </c>
      <c r="WCI1" t="s">
        <v>17529</v>
      </c>
      <c r="WCJ1" t="s">
        <v>17530</v>
      </c>
      <c r="WCK1" t="s">
        <v>17531</v>
      </c>
      <c r="WCL1" t="s">
        <v>17532</v>
      </c>
      <c r="WCM1" t="s">
        <v>17533</v>
      </c>
      <c r="WCN1" t="s">
        <v>17534</v>
      </c>
      <c r="WCO1" t="s">
        <v>17535</v>
      </c>
      <c r="WCP1" t="s">
        <v>17536</v>
      </c>
      <c r="WCQ1" t="s">
        <v>17537</v>
      </c>
      <c r="WCR1" t="s">
        <v>17538</v>
      </c>
      <c r="WCS1" t="s">
        <v>17539</v>
      </c>
      <c r="WCT1" t="s">
        <v>17540</v>
      </c>
      <c r="WCU1" t="s">
        <v>17541</v>
      </c>
      <c r="WCV1" t="s">
        <v>17542</v>
      </c>
      <c r="WCW1" t="s">
        <v>17543</v>
      </c>
      <c r="WCX1" t="s">
        <v>17544</v>
      </c>
      <c r="WCY1" t="s">
        <v>17545</v>
      </c>
      <c r="WCZ1" t="s">
        <v>17546</v>
      </c>
      <c r="WDA1" t="s">
        <v>17547</v>
      </c>
      <c r="WDB1" t="s">
        <v>17548</v>
      </c>
      <c r="WDC1" t="s">
        <v>17549</v>
      </c>
      <c r="WDD1" t="s">
        <v>17550</v>
      </c>
      <c r="WDE1" t="s">
        <v>17551</v>
      </c>
      <c r="WDF1" t="s">
        <v>17552</v>
      </c>
      <c r="WDG1" t="s">
        <v>17553</v>
      </c>
      <c r="WDH1" t="s">
        <v>17554</v>
      </c>
      <c r="WDI1" t="s">
        <v>17555</v>
      </c>
      <c r="WDJ1" t="s">
        <v>17556</v>
      </c>
      <c r="WDK1" t="s">
        <v>17557</v>
      </c>
      <c r="WDL1" t="s">
        <v>17558</v>
      </c>
      <c r="WDM1" t="s">
        <v>17559</v>
      </c>
      <c r="WDN1" t="s">
        <v>17560</v>
      </c>
      <c r="WDO1" t="s">
        <v>17561</v>
      </c>
      <c r="WDP1" t="s">
        <v>17562</v>
      </c>
      <c r="WDQ1" t="s">
        <v>17563</v>
      </c>
      <c r="WDR1" t="s">
        <v>17564</v>
      </c>
      <c r="WDS1" t="s">
        <v>17565</v>
      </c>
      <c r="WDT1" t="s">
        <v>17566</v>
      </c>
      <c r="WDU1" t="s">
        <v>17567</v>
      </c>
      <c r="WDV1" t="s">
        <v>17568</v>
      </c>
      <c r="WDW1" t="s">
        <v>17569</v>
      </c>
      <c r="WDX1" t="s">
        <v>17570</v>
      </c>
      <c r="WDY1" t="s">
        <v>17571</v>
      </c>
      <c r="WDZ1" t="s">
        <v>17572</v>
      </c>
      <c r="WEA1" t="s">
        <v>17573</v>
      </c>
      <c r="WEB1" t="s">
        <v>17574</v>
      </c>
      <c r="WEC1" t="s">
        <v>17575</v>
      </c>
      <c r="WED1" t="s">
        <v>17576</v>
      </c>
      <c r="WEE1" t="s">
        <v>17577</v>
      </c>
      <c r="WEF1" t="s">
        <v>17578</v>
      </c>
      <c r="WEG1" t="s">
        <v>17579</v>
      </c>
      <c r="WEH1" t="s">
        <v>17580</v>
      </c>
      <c r="WEI1" t="s">
        <v>17581</v>
      </c>
      <c r="WEJ1" t="s">
        <v>17582</v>
      </c>
      <c r="WEK1" t="s">
        <v>17583</v>
      </c>
      <c r="WEL1" t="s">
        <v>17584</v>
      </c>
      <c r="WEM1" t="s">
        <v>17585</v>
      </c>
      <c r="WEN1" t="s">
        <v>17586</v>
      </c>
      <c r="WEO1" t="s">
        <v>17587</v>
      </c>
      <c r="WEP1" t="s">
        <v>17588</v>
      </c>
      <c r="WEQ1" t="s">
        <v>17589</v>
      </c>
      <c r="WER1" t="s">
        <v>17590</v>
      </c>
      <c r="WES1" t="s">
        <v>17591</v>
      </c>
      <c r="WET1" t="s">
        <v>17592</v>
      </c>
      <c r="WEU1" t="s">
        <v>17593</v>
      </c>
      <c r="WEV1" t="s">
        <v>17594</v>
      </c>
      <c r="WEW1" t="s">
        <v>17595</v>
      </c>
      <c r="WEX1" t="s">
        <v>17596</v>
      </c>
      <c r="WEY1" t="s">
        <v>17597</v>
      </c>
      <c r="WEZ1" t="s">
        <v>17598</v>
      </c>
      <c r="WFA1" t="s">
        <v>17599</v>
      </c>
      <c r="WFB1" t="s">
        <v>17600</v>
      </c>
      <c r="WFC1" t="s">
        <v>17601</v>
      </c>
      <c r="WFD1" t="s">
        <v>17602</v>
      </c>
      <c r="WFE1" t="s">
        <v>17603</v>
      </c>
      <c r="WFF1" t="s">
        <v>17604</v>
      </c>
      <c r="WFG1" t="s">
        <v>17605</v>
      </c>
      <c r="WFH1" t="s">
        <v>17606</v>
      </c>
      <c r="WFI1" t="s">
        <v>17607</v>
      </c>
      <c r="WFJ1" t="s">
        <v>17608</v>
      </c>
      <c r="WFK1" t="s">
        <v>17609</v>
      </c>
      <c r="WFL1" t="s">
        <v>17610</v>
      </c>
      <c r="WFM1" t="s">
        <v>17611</v>
      </c>
      <c r="WFN1" t="s">
        <v>17612</v>
      </c>
      <c r="WFO1" t="s">
        <v>17613</v>
      </c>
      <c r="WFP1" t="s">
        <v>17614</v>
      </c>
      <c r="WFQ1" t="s">
        <v>17615</v>
      </c>
      <c r="WFR1" t="s">
        <v>17616</v>
      </c>
      <c r="WFS1" t="s">
        <v>17617</v>
      </c>
      <c r="WFT1" t="s">
        <v>17618</v>
      </c>
      <c r="WFU1" t="s">
        <v>17619</v>
      </c>
      <c r="WFV1" t="s">
        <v>17620</v>
      </c>
      <c r="WFW1" t="s">
        <v>17621</v>
      </c>
      <c r="WFX1" t="s">
        <v>17622</v>
      </c>
      <c r="WFY1" t="s">
        <v>17623</v>
      </c>
      <c r="WFZ1" t="s">
        <v>17624</v>
      </c>
      <c r="WGA1" t="s">
        <v>17625</v>
      </c>
      <c r="WGB1" t="s">
        <v>17626</v>
      </c>
      <c r="WGC1" t="s">
        <v>17627</v>
      </c>
      <c r="WGD1" t="s">
        <v>17628</v>
      </c>
      <c r="WGE1" t="s">
        <v>17629</v>
      </c>
      <c r="WGF1" t="s">
        <v>17630</v>
      </c>
      <c r="WGG1" t="s">
        <v>17631</v>
      </c>
      <c r="WGH1" t="s">
        <v>17632</v>
      </c>
      <c r="WGI1" t="s">
        <v>17633</v>
      </c>
      <c r="WGJ1" t="s">
        <v>17634</v>
      </c>
      <c r="WGK1" t="s">
        <v>17635</v>
      </c>
      <c r="WGL1" t="s">
        <v>17636</v>
      </c>
      <c r="WGM1" t="s">
        <v>17637</v>
      </c>
      <c r="WGN1" t="s">
        <v>17638</v>
      </c>
      <c r="WGO1" t="s">
        <v>17639</v>
      </c>
      <c r="WGP1" t="s">
        <v>17640</v>
      </c>
      <c r="WGQ1" t="s">
        <v>17641</v>
      </c>
      <c r="WGR1" t="s">
        <v>17642</v>
      </c>
      <c r="WGS1" t="s">
        <v>17643</v>
      </c>
      <c r="WGT1" t="s">
        <v>17644</v>
      </c>
      <c r="WGU1" t="s">
        <v>17645</v>
      </c>
      <c r="WGV1" t="s">
        <v>17646</v>
      </c>
      <c r="WGW1" t="s">
        <v>17647</v>
      </c>
      <c r="WGX1" t="s">
        <v>17648</v>
      </c>
      <c r="WGY1" t="s">
        <v>17649</v>
      </c>
      <c r="WGZ1" t="s">
        <v>17650</v>
      </c>
      <c r="WHA1" t="s">
        <v>17651</v>
      </c>
      <c r="WHB1" t="s">
        <v>17652</v>
      </c>
      <c r="WHC1" t="s">
        <v>17653</v>
      </c>
      <c r="WHD1" t="s">
        <v>17654</v>
      </c>
      <c r="WHE1" t="s">
        <v>17655</v>
      </c>
      <c r="WHF1" t="s">
        <v>17656</v>
      </c>
      <c r="WHG1" t="s">
        <v>17657</v>
      </c>
      <c r="WHH1" t="s">
        <v>17658</v>
      </c>
      <c r="WHI1" t="s">
        <v>17659</v>
      </c>
      <c r="WHJ1" t="s">
        <v>17660</v>
      </c>
      <c r="WHK1" t="s">
        <v>17661</v>
      </c>
      <c r="WHL1" t="s">
        <v>17662</v>
      </c>
      <c r="WHM1" t="s">
        <v>17663</v>
      </c>
      <c r="WHN1" t="s">
        <v>17664</v>
      </c>
      <c r="WHO1" t="s">
        <v>17665</v>
      </c>
      <c r="WHP1" t="s">
        <v>17666</v>
      </c>
      <c r="WHQ1" t="s">
        <v>17667</v>
      </c>
      <c r="WHR1" t="s">
        <v>17668</v>
      </c>
      <c r="WHS1" t="s">
        <v>17669</v>
      </c>
      <c r="WHT1" t="s">
        <v>17670</v>
      </c>
      <c r="WHU1" t="s">
        <v>17671</v>
      </c>
      <c r="WHV1" t="s">
        <v>17672</v>
      </c>
      <c r="WHW1" t="s">
        <v>17673</v>
      </c>
      <c r="WHX1" t="s">
        <v>17674</v>
      </c>
      <c r="WHY1" t="s">
        <v>17675</v>
      </c>
      <c r="WHZ1" t="s">
        <v>17676</v>
      </c>
      <c r="WIA1" t="s">
        <v>17677</v>
      </c>
      <c r="WIB1" t="s">
        <v>17678</v>
      </c>
      <c r="WIC1" t="s">
        <v>17679</v>
      </c>
      <c r="WID1" t="s">
        <v>17680</v>
      </c>
      <c r="WIE1" t="s">
        <v>17681</v>
      </c>
      <c r="WIF1" t="s">
        <v>17682</v>
      </c>
      <c r="WIG1" t="s">
        <v>17683</v>
      </c>
      <c r="WIH1" t="s">
        <v>17684</v>
      </c>
      <c r="WII1" t="s">
        <v>17685</v>
      </c>
      <c r="WIJ1" t="s">
        <v>17686</v>
      </c>
      <c r="WIK1" t="s">
        <v>17687</v>
      </c>
      <c r="WIL1" t="s">
        <v>17688</v>
      </c>
      <c r="WIM1" t="s">
        <v>17689</v>
      </c>
      <c r="WIN1" t="s">
        <v>17690</v>
      </c>
      <c r="WIO1" t="s">
        <v>17691</v>
      </c>
      <c r="WIP1" t="s">
        <v>17692</v>
      </c>
      <c r="WIQ1" t="s">
        <v>17693</v>
      </c>
      <c r="WIR1" t="s">
        <v>17694</v>
      </c>
      <c r="WIS1" t="s">
        <v>17695</v>
      </c>
      <c r="WIT1" t="s">
        <v>17696</v>
      </c>
      <c r="WIU1" t="s">
        <v>17697</v>
      </c>
      <c r="WIV1" t="s">
        <v>17698</v>
      </c>
      <c r="WIW1" t="s">
        <v>17699</v>
      </c>
      <c r="WIX1" t="s">
        <v>17700</v>
      </c>
      <c r="WIY1" t="s">
        <v>17701</v>
      </c>
      <c r="WIZ1" t="s">
        <v>17702</v>
      </c>
      <c r="WJA1" t="s">
        <v>17703</v>
      </c>
      <c r="WJB1" t="s">
        <v>17704</v>
      </c>
      <c r="WJC1" t="s">
        <v>17705</v>
      </c>
      <c r="WJD1" t="s">
        <v>17706</v>
      </c>
      <c r="WJE1" t="s">
        <v>17707</v>
      </c>
      <c r="WJF1" t="s">
        <v>17708</v>
      </c>
      <c r="WJG1" t="s">
        <v>17709</v>
      </c>
      <c r="WJH1" t="s">
        <v>17710</v>
      </c>
      <c r="WJI1" t="s">
        <v>17711</v>
      </c>
      <c r="WJJ1" t="s">
        <v>17712</v>
      </c>
      <c r="WJK1" t="s">
        <v>17713</v>
      </c>
      <c r="WJL1" t="s">
        <v>17714</v>
      </c>
      <c r="WJM1" t="s">
        <v>17715</v>
      </c>
      <c r="WJN1" t="s">
        <v>17716</v>
      </c>
      <c r="WJO1" t="s">
        <v>17717</v>
      </c>
      <c r="WJP1" t="s">
        <v>17718</v>
      </c>
      <c r="WJQ1" t="s">
        <v>17719</v>
      </c>
      <c r="WJR1" t="s">
        <v>17720</v>
      </c>
      <c r="WJS1" t="s">
        <v>17721</v>
      </c>
      <c r="WJT1" t="s">
        <v>17722</v>
      </c>
      <c r="WJU1" t="s">
        <v>17723</v>
      </c>
      <c r="WJV1" t="s">
        <v>17724</v>
      </c>
      <c r="WJW1" t="s">
        <v>17725</v>
      </c>
      <c r="WJX1" t="s">
        <v>17726</v>
      </c>
      <c r="WJY1" t="s">
        <v>17727</v>
      </c>
      <c r="WJZ1" t="s">
        <v>17728</v>
      </c>
      <c r="WKA1" t="s">
        <v>17729</v>
      </c>
      <c r="WKB1" t="s">
        <v>17730</v>
      </c>
      <c r="WKC1" t="s">
        <v>17731</v>
      </c>
      <c r="WKD1" t="s">
        <v>17732</v>
      </c>
      <c r="WKE1" t="s">
        <v>17733</v>
      </c>
      <c r="WKF1" t="s">
        <v>17734</v>
      </c>
      <c r="WKG1" t="s">
        <v>17735</v>
      </c>
      <c r="WKH1" t="s">
        <v>17736</v>
      </c>
      <c r="WKI1" t="s">
        <v>17737</v>
      </c>
      <c r="WKJ1" t="s">
        <v>17738</v>
      </c>
      <c r="WKK1" t="s">
        <v>17739</v>
      </c>
      <c r="WKL1" t="s">
        <v>17740</v>
      </c>
      <c r="WKM1" t="s">
        <v>17741</v>
      </c>
      <c r="WKN1" t="s">
        <v>17742</v>
      </c>
      <c r="WKO1" t="s">
        <v>17743</v>
      </c>
      <c r="WKP1" t="s">
        <v>17744</v>
      </c>
      <c r="WKQ1" t="s">
        <v>17745</v>
      </c>
      <c r="WKR1" t="s">
        <v>17746</v>
      </c>
      <c r="WKS1" t="s">
        <v>17747</v>
      </c>
      <c r="WKT1" t="s">
        <v>17748</v>
      </c>
      <c r="WKU1" t="s">
        <v>17749</v>
      </c>
      <c r="WKV1" t="s">
        <v>17750</v>
      </c>
      <c r="WKW1" t="s">
        <v>17751</v>
      </c>
      <c r="WKX1" t="s">
        <v>17752</v>
      </c>
      <c r="WKY1" t="s">
        <v>17753</v>
      </c>
      <c r="WKZ1" t="s">
        <v>17754</v>
      </c>
      <c r="WLA1" t="s">
        <v>17755</v>
      </c>
      <c r="WLB1" t="s">
        <v>17756</v>
      </c>
      <c r="WLC1" t="s">
        <v>17757</v>
      </c>
      <c r="WLD1" t="s">
        <v>17758</v>
      </c>
      <c r="WLE1" t="s">
        <v>17759</v>
      </c>
      <c r="WLF1" t="s">
        <v>17760</v>
      </c>
      <c r="WLG1" t="s">
        <v>17761</v>
      </c>
      <c r="WLH1" t="s">
        <v>17762</v>
      </c>
      <c r="WLI1" t="s">
        <v>17763</v>
      </c>
      <c r="WLJ1" t="s">
        <v>17764</v>
      </c>
      <c r="WLK1" t="s">
        <v>17765</v>
      </c>
      <c r="WLL1" t="s">
        <v>17766</v>
      </c>
      <c r="WLM1" t="s">
        <v>17767</v>
      </c>
      <c r="WLN1" t="s">
        <v>17768</v>
      </c>
      <c r="WLO1" t="s">
        <v>17769</v>
      </c>
      <c r="WLP1" t="s">
        <v>17770</v>
      </c>
      <c r="WLQ1" t="s">
        <v>17771</v>
      </c>
      <c r="WLR1" t="s">
        <v>17772</v>
      </c>
      <c r="WLS1" t="s">
        <v>17773</v>
      </c>
      <c r="WLT1" t="s">
        <v>17774</v>
      </c>
      <c r="WLU1" t="s">
        <v>17775</v>
      </c>
      <c r="WLV1" t="s">
        <v>17776</v>
      </c>
      <c r="WLW1" t="s">
        <v>17777</v>
      </c>
      <c r="WLX1" t="s">
        <v>17778</v>
      </c>
      <c r="WLY1" t="s">
        <v>17779</v>
      </c>
      <c r="WLZ1" t="s">
        <v>17780</v>
      </c>
      <c r="WMA1" t="s">
        <v>17781</v>
      </c>
      <c r="WMB1" t="s">
        <v>17782</v>
      </c>
      <c r="WMC1" t="s">
        <v>17783</v>
      </c>
      <c r="WMD1" t="s">
        <v>17784</v>
      </c>
      <c r="WME1" t="s">
        <v>17785</v>
      </c>
      <c r="WMF1" t="s">
        <v>17786</v>
      </c>
      <c r="WMG1" t="s">
        <v>17787</v>
      </c>
      <c r="WMH1" t="s">
        <v>17788</v>
      </c>
      <c r="WMI1" t="s">
        <v>17789</v>
      </c>
      <c r="WMJ1" t="s">
        <v>17790</v>
      </c>
      <c r="WMK1" t="s">
        <v>17791</v>
      </c>
      <c r="WML1" t="s">
        <v>17792</v>
      </c>
      <c r="WMM1" t="s">
        <v>17793</v>
      </c>
      <c r="WMN1" t="s">
        <v>17794</v>
      </c>
      <c r="WMO1" t="s">
        <v>17795</v>
      </c>
      <c r="WMP1" t="s">
        <v>17796</v>
      </c>
      <c r="WMQ1" t="s">
        <v>17797</v>
      </c>
      <c r="WMR1" t="s">
        <v>17798</v>
      </c>
      <c r="WMS1" t="s">
        <v>17799</v>
      </c>
      <c r="WMT1" t="s">
        <v>17800</v>
      </c>
      <c r="WMU1" t="s">
        <v>17801</v>
      </c>
      <c r="WMV1" t="s">
        <v>17802</v>
      </c>
      <c r="WMW1" t="s">
        <v>17803</v>
      </c>
      <c r="WMX1" t="s">
        <v>17804</v>
      </c>
      <c r="WMY1" t="s">
        <v>17805</v>
      </c>
      <c r="WMZ1" t="s">
        <v>17806</v>
      </c>
      <c r="WNA1" t="s">
        <v>17807</v>
      </c>
      <c r="WNB1" t="s">
        <v>17808</v>
      </c>
      <c r="WNC1" t="s">
        <v>17809</v>
      </c>
      <c r="WND1" t="s">
        <v>17810</v>
      </c>
      <c r="WNE1" t="s">
        <v>17811</v>
      </c>
      <c r="WNF1" t="s">
        <v>17812</v>
      </c>
      <c r="WNG1" t="s">
        <v>17813</v>
      </c>
      <c r="WNH1" t="s">
        <v>17814</v>
      </c>
      <c r="WNI1" t="s">
        <v>17815</v>
      </c>
      <c r="WNJ1" t="s">
        <v>17816</v>
      </c>
      <c r="WNK1" t="s">
        <v>17817</v>
      </c>
      <c r="WNL1" t="s">
        <v>17818</v>
      </c>
      <c r="WNM1" t="s">
        <v>17819</v>
      </c>
      <c r="WNN1" t="s">
        <v>17820</v>
      </c>
      <c r="WNO1" t="s">
        <v>17821</v>
      </c>
      <c r="WNP1" t="s">
        <v>17822</v>
      </c>
      <c r="WNQ1" t="s">
        <v>17823</v>
      </c>
      <c r="WNR1" t="s">
        <v>17824</v>
      </c>
      <c r="WNS1" t="s">
        <v>17825</v>
      </c>
      <c r="WNT1" t="s">
        <v>17826</v>
      </c>
      <c r="WNU1" t="s">
        <v>17827</v>
      </c>
      <c r="WNV1" t="s">
        <v>17828</v>
      </c>
      <c r="WNW1" t="s">
        <v>17829</v>
      </c>
      <c r="WNX1" t="s">
        <v>17830</v>
      </c>
      <c r="WNY1" t="s">
        <v>17831</v>
      </c>
      <c r="WNZ1" t="s">
        <v>17832</v>
      </c>
      <c r="WOA1" t="s">
        <v>17833</v>
      </c>
      <c r="WOB1" t="s">
        <v>17834</v>
      </c>
      <c r="WOC1" t="s">
        <v>17835</v>
      </c>
      <c r="WOD1" t="s">
        <v>17836</v>
      </c>
      <c r="WOE1" t="s">
        <v>17837</v>
      </c>
      <c r="WOF1" t="s">
        <v>17838</v>
      </c>
      <c r="WOG1" t="s">
        <v>17839</v>
      </c>
      <c r="WOH1" t="s">
        <v>17840</v>
      </c>
      <c r="WOI1" t="s">
        <v>17841</v>
      </c>
      <c r="WOJ1" t="s">
        <v>17842</v>
      </c>
      <c r="WOK1" t="s">
        <v>17843</v>
      </c>
      <c r="WOL1" t="s">
        <v>17844</v>
      </c>
      <c r="WOM1" t="s">
        <v>17845</v>
      </c>
      <c r="WON1" t="s">
        <v>17846</v>
      </c>
      <c r="WOO1" t="s">
        <v>17847</v>
      </c>
      <c r="WOP1" t="s">
        <v>17848</v>
      </c>
      <c r="WOQ1" t="s">
        <v>17849</v>
      </c>
      <c r="WOR1" t="s">
        <v>17850</v>
      </c>
      <c r="WOS1" t="s">
        <v>17851</v>
      </c>
      <c r="WOT1" t="s">
        <v>17852</v>
      </c>
      <c r="WOU1" t="s">
        <v>17853</v>
      </c>
      <c r="WOV1" t="s">
        <v>17854</v>
      </c>
      <c r="WOW1" t="s">
        <v>17855</v>
      </c>
      <c r="WOX1" t="s">
        <v>17856</v>
      </c>
      <c r="WOY1" t="s">
        <v>17857</v>
      </c>
      <c r="WOZ1" t="s">
        <v>17858</v>
      </c>
      <c r="WPA1" t="s">
        <v>17859</v>
      </c>
      <c r="WPB1" t="s">
        <v>17860</v>
      </c>
      <c r="WPC1" t="s">
        <v>17861</v>
      </c>
      <c r="WPD1" t="s">
        <v>17862</v>
      </c>
      <c r="WPE1" t="s">
        <v>17863</v>
      </c>
      <c r="WPF1" t="s">
        <v>17864</v>
      </c>
      <c r="WPG1" t="s">
        <v>17865</v>
      </c>
      <c r="WPH1" t="s">
        <v>17866</v>
      </c>
      <c r="WPI1" t="s">
        <v>17867</v>
      </c>
      <c r="WPJ1" t="s">
        <v>17868</v>
      </c>
      <c r="WPK1" t="s">
        <v>17869</v>
      </c>
      <c r="WPL1" t="s">
        <v>17870</v>
      </c>
      <c r="WPM1" t="s">
        <v>17871</v>
      </c>
      <c r="WPN1" t="s">
        <v>17872</v>
      </c>
      <c r="WPO1" t="s">
        <v>17873</v>
      </c>
      <c r="WPP1" t="s">
        <v>17874</v>
      </c>
      <c r="WPQ1" t="s">
        <v>17875</v>
      </c>
      <c r="WPR1" t="s">
        <v>17876</v>
      </c>
      <c r="WPS1" t="s">
        <v>17877</v>
      </c>
      <c r="WPT1" t="s">
        <v>17878</v>
      </c>
      <c r="WPU1" t="s">
        <v>17879</v>
      </c>
      <c r="WPV1" t="s">
        <v>17880</v>
      </c>
      <c r="WPW1" t="s">
        <v>17881</v>
      </c>
      <c r="WPX1" t="s">
        <v>17882</v>
      </c>
      <c r="WPY1" t="s">
        <v>17883</v>
      </c>
      <c r="WPZ1" t="s">
        <v>17884</v>
      </c>
      <c r="WQA1" t="s">
        <v>17885</v>
      </c>
      <c r="WQB1" t="s">
        <v>17886</v>
      </c>
      <c r="WQC1" t="s">
        <v>17887</v>
      </c>
      <c r="WQD1" t="s">
        <v>17888</v>
      </c>
      <c r="WQE1" t="s">
        <v>17889</v>
      </c>
      <c r="WQF1" t="s">
        <v>17890</v>
      </c>
      <c r="WQG1" t="s">
        <v>17891</v>
      </c>
      <c r="WQH1" t="s">
        <v>17892</v>
      </c>
      <c r="WQI1" t="s">
        <v>17893</v>
      </c>
      <c r="WQJ1" t="s">
        <v>17894</v>
      </c>
      <c r="WQK1" t="s">
        <v>17895</v>
      </c>
      <c r="WQL1" t="s">
        <v>17896</v>
      </c>
      <c r="WQM1" t="s">
        <v>17897</v>
      </c>
      <c r="WQN1" t="s">
        <v>17898</v>
      </c>
      <c r="WQO1" t="s">
        <v>17899</v>
      </c>
      <c r="WQP1" t="s">
        <v>17900</v>
      </c>
      <c r="WQQ1" t="s">
        <v>17901</v>
      </c>
      <c r="WQR1" t="s">
        <v>17902</v>
      </c>
      <c r="WQS1" t="s">
        <v>17903</v>
      </c>
      <c r="WQT1" t="s">
        <v>17904</v>
      </c>
      <c r="WQU1" t="s">
        <v>17905</v>
      </c>
      <c r="WQV1" t="s">
        <v>17906</v>
      </c>
      <c r="WQW1" t="s">
        <v>17907</v>
      </c>
      <c r="WQX1" t="s">
        <v>17908</v>
      </c>
      <c r="WQY1" t="s">
        <v>17909</v>
      </c>
      <c r="WQZ1" t="s">
        <v>17910</v>
      </c>
      <c r="WRA1" t="s">
        <v>17911</v>
      </c>
      <c r="WRB1" t="s">
        <v>17912</v>
      </c>
      <c r="WRC1" t="s">
        <v>17913</v>
      </c>
      <c r="WRD1" t="s">
        <v>17914</v>
      </c>
      <c r="WRE1" t="s">
        <v>17915</v>
      </c>
      <c r="WRF1" t="s">
        <v>17916</v>
      </c>
      <c r="WRG1" t="s">
        <v>17917</v>
      </c>
      <c r="WRH1" t="s">
        <v>17918</v>
      </c>
      <c r="WRI1" t="s">
        <v>17919</v>
      </c>
      <c r="WRJ1" t="s">
        <v>17920</v>
      </c>
      <c r="WRK1" t="s">
        <v>17921</v>
      </c>
      <c r="WRL1" t="s">
        <v>17922</v>
      </c>
      <c r="WRM1" t="s">
        <v>17923</v>
      </c>
      <c r="WRN1" t="s">
        <v>17924</v>
      </c>
      <c r="WRO1" t="s">
        <v>17925</v>
      </c>
      <c r="WRP1" t="s">
        <v>17926</v>
      </c>
      <c r="WRQ1" t="s">
        <v>17927</v>
      </c>
      <c r="WRR1" t="s">
        <v>17928</v>
      </c>
      <c r="WRS1" t="s">
        <v>17929</v>
      </c>
      <c r="WRT1" t="s">
        <v>17930</v>
      </c>
      <c r="WRU1" t="s">
        <v>17931</v>
      </c>
      <c r="WRV1" t="s">
        <v>17932</v>
      </c>
      <c r="WRW1" t="s">
        <v>17933</v>
      </c>
      <c r="WRX1" t="s">
        <v>17934</v>
      </c>
      <c r="WRY1" t="s">
        <v>17935</v>
      </c>
      <c r="WRZ1" t="s">
        <v>17936</v>
      </c>
      <c r="WSA1" t="s">
        <v>17937</v>
      </c>
      <c r="WSB1" t="s">
        <v>17938</v>
      </c>
      <c r="WSC1" t="s">
        <v>17939</v>
      </c>
      <c r="WSD1" t="s">
        <v>17940</v>
      </c>
      <c r="WSE1" t="s">
        <v>17941</v>
      </c>
      <c r="WSF1" t="s">
        <v>17942</v>
      </c>
      <c r="WSG1" t="s">
        <v>17943</v>
      </c>
      <c r="WSH1" t="s">
        <v>17944</v>
      </c>
      <c r="WSI1" t="s">
        <v>17945</v>
      </c>
      <c r="WSJ1" t="s">
        <v>17946</v>
      </c>
      <c r="WSK1" t="s">
        <v>17947</v>
      </c>
      <c r="WSL1" t="s">
        <v>17948</v>
      </c>
      <c r="WSM1" t="s">
        <v>17949</v>
      </c>
      <c r="WSN1" t="s">
        <v>17950</v>
      </c>
      <c r="WSO1" t="s">
        <v>17951</v>
      </c>
      <c r="WSP1" t="s">
        <v>17952</v>
      </c>
      <c r="WSQ1" t="s">
        <v>17953</v>
      </c>
      <c r="WSR1" t="s">
        <v>17954</v>
      </c>
      <c r="WSS1" t="s">
        <v>17955</v>
      </c>
      <c r="WST1" t="s">
        <v>17956</v>
      </c>
      <c r="WSU1" t="s">
        <v>17957</v>
      </c>
      <c r="WSV1" t="s">
        <v>17958</v>
      </c>
      <c r="WSW1" t="s">
        <v>17959</v>
      </c>
      <c r="WSX1" t="s">
        <v>17960</v>
      </c>
      <c r="WSY1" t="s">
        <v>17961</v>
      </c>
      <c r="WSZ1" t="s">
        <v>17962</v>
      </c>
      <c r="WTA1" t="s">
        <v>17963</v>
      </c>
      <c r="WTB1" t="s">
        <v>17964</v>
      </c>
      <c r="WTC1" t="s">
        <v>17965</v>
      </c>
      <c r="WTD1" t="s">
        <v>17966</v>
      </c>
      <c r="WTE1" t="s">
        <v>17967</v>
      </c>
      <c r="WTF1" t="s">
        <v>17968</v>
      </c>
      <c r="WTG1" t="s">
        <v>17969</v>
      </c>
      <c r="WTH1" t="s">
        <v>17970</v>
      </c>
      <c r="WTI1" t="s">
        <v>17971</v>
      </c>
      <c r="WTJ1" t="s">
        <v>17972</v>
      </c>
      <c r="WTK1" t="s">
        <v>17973</v>
      </c>
      <c r="WTL1" t="s">
        <v>17974</v>
      </c>
      <c r="WTM1" t="s">
        <v>17975</v>
      </c>
      <c r="WTN1" t="s">
        <v>17976</v>
      </c>
      <c r="WTO1" t="s">
        <v>17977</v>
      </c>
      <c r="WTP1" t="s">
        <v>17978</v>
      </c>
      <c r="WTQ1" t="s">
        <v>17979</v>
      </c>
      <c r="WTR1" t="s">
        <v>17980</v>
      </c>
      <c r="WTS1" t="s">
        <v>17981</v>
      </c>
      <c r="WTT1" t="s">
        <v>17982</v>
      </c>
      <c r="WTU1" t="s">
        <v>17983</v>
      </c>
      <c r="WTV1" t="s">
        <v>17984</v>
      </c>
      <c r="WTW1" t="s">
        <v>17985</v>
      </c>
      <c r="WTX1" t="s">
        <v>17986</v>
      </c>
      <c r="WTY1" t="s">
        <v>17987</v>
      </c>
      <c r="WTZ1" t="s">
        <v>17988</v>
      </c>
      <c r="WUA1" t="s">
        <v>17989</v>
      </c>
      <c r="WUB1" t="s">
        <v>17990</v>
      </c>
      <c r="WUC1" t="s">
        <v>17991</v>
      </c>
      <c r="WUD1" t="s">
        <v>17992</v>
      </c>
      <c r="WUE1" t="s">
        <v>17993</v>
      </c>
      <c r="WUF1" t="s">
        <v>17994</v>
      </c>
      <c r="WUG1" t="s">
        <v>17995</v>
      </c>
      <c r="WUH1" t="s">
        <v>17996</v>
      </c>
      <c r="WUI1" t="s">
        <v>17997</v>
      </c>
      <c r="WUJ1" t="s">
        <v>17998</v>
      </c>
      <c r="WUK1" t="s">
        <v>17999</v>
      </c>
      <c r="WUL1" t="s">
        <v>18000</v>
      </c>
      <c r="WUM1" t="s">
        <v>18001</v>
      </c>
      <c r="WUN1" t="s">
        <v>18002</v>
      </c>
      <c r="WUO1" t="s">
        <v>18003</v>
      </c>
      <c r="WUP1" t="s">
        <v>18004</v>
      </c>
      <c r="WUQ1" t="s">
        <v>18005</v>
      </c>
      <c r="WUR1" t="s">
        <v>18006</v>
      </c>
      <c r="WUS1" t="s">
        <v>18007</v>
      </c>
      <c r="WUT1" t="s">
        <v>18008</v>
      </c>
      <c r="WUU1" t="s">
        <v>18009</v>
      </c>
      <c r="WUV1" t="s">
        <v>18010</v>
      </c>
      <c r="WUW1" t="s">
        <v>18011</v>
      </c>
      <c r="WUX1" t="s">
        <v>18012</v>
      </c>
      <c r="WUY1" t="s">
        <v>18013</v>
      </c>
      <c r="WUZ1" t="s">
        <v>18014</v>
      </c>
      <c r="WVA1" t="s">
        <v>18015</v>
      </c>
      <c r="WVB1" t="s">
        <v>18016</v>
      </c>
      <c r="WVC1" t="s">
        <v>18017</v>
      </c>
      <c r="WVD1" t="s">
        <v>18018</v>
      </c>
      <c r="WVE1" t="s">
        <v>18019</v>
      </c>
      <c r="WVF1" t="s">
        <v>18020</v>
      </c>
      <c r="WVG1" t="s">
        <v>18021</v>
      </c>
      <c r="WVH1" t="s">
        <v>18022</v>
      </c>
      <c r="WVI1" t="s">
        <v>18023</v>
      </c>
      <c r="WVJ1" t="s">
        <v>18024</v>
      </c>
      <c r="WVK1" t="s">
        <v>18025</v>
      </c>
      <c r="WVL1" t="s">
        <v>18026</v>
      </c>
      <c r="WVM1" t="s">
        <v>18027</v>
      </c>
      <c r="WVN1" t="s">
        <v>18028</v>
      </c>
      <c r="WVO1" t="s">
        <v>18029</v>
      </c>
      <c r="WVP1" t="s">
        <v>18030</v>
      </c>
      <c r="WVQ1" t="s">
        <v>18031</v>
      </c>
      <c r="WVR1" t="s">
        <v>18032</v>
      </c>
      <c r="WVS1" t="s">
        <v>18033</v>
      </c>
      <c r="WVT1" t="s">
        <v>18034</v>
      </c>
      <c r="WVU1" t="s">
        <v>18035</v>
      </c>
      <c r="WVV1" t="s">
        <v>18036</v>
      </c>
      <c r="WVW1" t="s">
        <v>18037</v>
      </c>
      <c r="WVX1" t="s">
        <v>18038</v>
      </c>
      <c r="WVY1" t="s">
        <v>18039</v>
      </c>
      <c r="WVZ1" t="s">
        <v>18040</v>
      </c>
      <c r="WWA1" t="s">
        <v>18041</v>
      </c>
      <c r="WWB1" t="s">
        <v>18042</v>
      </c>
      <c r="WWC1" t="s">
        <v>18043</v>
      </c>
      <c r="WWD1" t="s">
        <v>18044</v>
      </c>
      <c r="WWE1" t="s">
        <v>18045</v>
      </c>
      <c r="WWF1" t="s">
        <v>18046</v>
      </c>
      <c r="WWG1" t="s">
        <v>18047</v>
      </c>
      <c r="WWH1" t="s">
        <v>18048</v>
      </c>
      <c r="WWI1" t="s">
        <v>18049</v>
      </c>
      <c r="WWJ1" t="s">
        <v>18050</v>
      </c>
      <c r="WWK1" t="s">
        <v>18051</v>
      </c>
      <c r="WWL1" t="s">
        <v>18052</v>
      </c>
      <c r="WWM1" t="s">
        <v>18053</v>
      </c>
      <c r="WWN1" t="s">
        <v>18054</v>
      </c>
      <c r="WWO1" t="s">
        <v>18055</v>
      </c>
      <c r="WWP1" t="s">
        <v>18056</v>
      </c>
      <c r="WWQ1" t="s">
        <v>18057</v>
      </c>
      <c r="WWR1" t="s">
        <v>18058</v>
      </c>
      <c r="WWS1" t="s">
        <v>18059</v>
      </c>
      <c r="WWT1" t="s">
        <v>18060</v>
      </c>
      <c r="WWU1" t="s">
        <v>18061</v>
      </c>
      <c r="WWV1" t="s">
        <v>18062</v>
      </c>
      <c r="WWW1" t="s">
        <v>18063</v>
      </c>
      <c r="WWX1" t="s">
        <v>18064</v>
      </c>
      <c r="WWY1" t="s">
        <v>18065</v>
      </c>
      <c r="WWZ1" t="s">
        <v>18066</v>
      </c>
      <c r="WXA1" t="s">
        <v>18067</v>
      </c>
      <c r="WXB1" t="s">
        <v>18068</v>
      </c>
      <c r="WXC1" t="s">
        <v>18069</v>
      </c>
      <c r="WXD1" t="s">
        <v>18070</v>
      </c>
      <c r="WXE1" t="s">
        <v>18071</v>
      </c>
      <c r="WXF1" t="s">
        <v>18072</v>
      </c>
      <c r="WXG1" t="s">
        <v>18073</v>
      </c>
      <c r="WXH1" t="s">
        <v>18074</v>
      </c>
      <c r="WXI1" t="s">
        <v>18075</v>
      </c>
      <c r="WXJ1" t="s">
        <v>18076</v>
      </c>
      <c r="WXK1" t="s">
        <v>18077</v>
      </c>
      <c r="WXL1" t="s">
        <v>18078</v>
      </c>
      <c r="WXM1" t="s">
        <v>18079</v>
      </c>
      <c r="WXN1" t="s">
        <v>18080</v>
      </c>
      <c r="WXO1" t="s">
        <v>18081</v>
      </c>
      <c r="WXP1" t="s">
        <v>18082</v>
      </c>
      <c r="WXQ1" t="s">
        <v>18083</v>
      </c>
      <c r="WXR1" t="s">
        <v>18084</v>
      </c>
      <c r="WXS1" t="s">
        <v>18085</v>
      </c>
      <c r="WXT1" t="s">
        <v>18086</v>
      </c>
      <c r="WXU1" t="s">
        <v>18087</v>
      </c>
      <c r="WXV1" t="s">
        <v>18088</v>
      </c>
      <c r="WXW1" t="s">
        <v>18089</v>
      </c>
      <c r="WXX1" t="s">
        <v>18090</v>
      </c>
      <c r="WXY1" t="s">
        <v>18091</v>
      </c>
      <c r="WXZ1" t="s">
        <v>18092</v>
      </c>
      <c r="WYA1" t="s">
        <v>18093</v>
      </c>
      <c r="WYB1" t="s">
        <v>18094</v>
      </c>
      <c r="WYC1" t="s">
        <v>18095</v>
      </c>
      <c r="WYD1" t="s">
        <v>18096</v>
      </c>
      <c r="WYE1" t="s">
        <v>18097</v>
      </c>
      <c r="WYF1" t="s">
        <v>18098</v>
      </c>
      <c r="WYG1" t="s">
        <v>18099</v>
      </c>
      <c r="WYH1" t="s">
        <v>18100</v>
      </c>
      <c r="WYI1" t="s">
        <v>18101</v>
      </c>
      <c r="WYJ1" t="s">
        <v>18102</v>
      </c>
      <c r="WYK1" t="s">
        <v>18103</v>
      </c>
      <c r="WYL1" t="s">
        <v>18104</v>
      </c>
      <c r="WYM1" t="s">
        <v>18105</v>
      </c>
      <c r="WYN1" t="s">
        <v>18106</v>
      </c>
      <c r="WYO1" t="s">
        <v>18107</v>
      </c>
      <c r="WYP1" t="s">
        <v>18108</v>
      </c>
      <c r="WYQ1" t="s">
        <v>18109</v>
      </c>
      <c r="WYR1" t="s">
        <v>18110</v>
      </c>
      <c r="WYS1" t="s">
        <v>18111</v>
      </c>
      <c r="WYT1" t="s">
        <v>18112</v>
      </c>
      <c r="WYU1" t="s">
        <v>18113</v>
      </c>
      <c r="WYV1" t="s">
        <v>18114</v>
      </c>
      <c r="WYW1" t="s">
        <v>18115</v>
      </c>
      <c r="WYX1" t="s">
        <v>18116</v>
      </c>
      <c r="WYY1" t="s">
        <v>18117</v>
      </c>
      <c r="WYZ1" t="s">
        <v>18118</v>
      </c>
      <c r="WZA1" t="s">
        <v>18119</v>
      </c>
      <c r="WZB1" t="s">
        <v>18120</v>
      </c>
      <c r="WZC1" t="s">
        <v>18121</v>
      </c>
      <c r="WZD1" t="s">
        <v>18122</v>
      </c>
      <c r="WZE1" t="s">
        <v>18123</v>
      </c>
      <c r="WZF1" t="s">
        <v>18124</v>
      </c>
      <c r="WZG1" t="s">
        <v>18125</v>
      </c>
      <c r="WZH1" t="s">
        <v>18126</v>
      </c>
      <c r="WZI1" t="s">
        <v>18127</v>
      </c>
      <c r="WZJ1" t="s">
        <v>18128</v>
      </c>
      <c r="WZK1" t="s">
        <v>18129</v>
      </c>
      <c r="WZL1" t="s">
        <v>18130</v>
      </c>
      <c r="WZM1" t="s">
        <v>18131</v>
      </c>
      <c r="WZN1" t="s">
        <v>18132</v>
      </c>
      <c r="WZO1" t="s">
        <v>18133</v>
      </c>
      <c r="WZP1" t="s">
        <v>18134</v>
      </c>
      <c r="WZQ1" t="s">
        <v>18135</v>
      </c>
      <c r="WZR1" t="s">
        <v>18136</v>
      </c>
      <c r="WZS1" t="s">
        <v>18137</v>
      </c>
      <c r="WZT1" t="s">
        <v>18138</v>
      </c>
      <c r="WZU1" t="s">
        <v>18139</v>
      </c>
      <c r="WZV1" t="s">
        <v>18140</v>
      </c>
      <c r="WZW1" t="s">
        <v>18141</v>
      </c>
      <c r="WZX1" t="s">
        <v>18142</v>
      </c>
      <c r="WZY1" t="s">
        <v>18143</v>
      </c>
      <c r="WZZ1" t="s">
        <v>18144</v>
      </c>
      <c r="XAA1" t="s">
        <v>18145</v>
      </c>
      <c r="XAB1" t="s">
        <v>18146</v>
      </c>
      <c r="XAC1" t="s">
        <v>18147</v>
      </c>
      <c r="XAD1" t="s">
        <v>18148</v>
      </c>
      <c r="XAE1" t="s">
        <v>18149</v>
      </c>
      <c r="XAF1" t="s">
        <v>18150</v>
      </c>
      <c r="XAG1" t="s">
        <v>18151</v>
      </c>
      <c r="XAH1" t="s">
        <v>18152</v>
      </c>
      <c r="XAI1" t="s">
        <v>18153</v>
      </c>
      <c r="XAJ1" t="s">
        <v>18154</v>
      </c>
      <c r="XAK1" t="s">
        <v>18155</v>
      </c>
      <c r="XAL1" t="s">
        <v>18156</v>
      </c>
      <c r="XAM1" t="s">
        <v>18157</v>
      </c>
      <c r="XAN1" t="s">
        <v>18158</v>
      </c>
      <c r="XAO1" t="s">
        <v>18159</v>
      </c>
      <c r="XAP1" t="s">
        <v>18160</v>
      </c>
      <c r="XAQ1" t="s">
        <v>18161</v>
      </c>
      <c r="XAR1" t="s">
        <v>18162</v>
      </c>
      <c r="XAS1" t="s">
        <v>18163</v>
      </c>
      <c r="XAT1" t="s">
        <v>18164</v>
      </c>
      <c r="XAU1" t="s">
        <v>18165</v>
      </c>
      <c r="XAV1" t="s">
        <v>18166</v>
      </c>
      <c r="XAW1" t="s">
        <v>18167</v>
      </c>
      <c r="XAX1" t="s">
        <v>18168</v>
      </c>
      <c r="XAY1" t="s">
        <v>18169</v>
      </c>
      <c r="XAZ1" t="s">
        <v>18170</v>
      </c>
      <c r="XBA1" t="s">
        <v>18171</v>
      </c>
      <c r="XBB1" t="s">
        <v>18172</v>
      </c>
      <c r="XBC1" t="s">
        <v>18173</v>
      </c>
      <c r="XBD1" t="s">
        <v>18174</v>
      </c>
      <c r="XBE1" t="s">
        <v>18175</v>
      </c>
      <c r="XBF1" t="s">
        <v>18176</v>
      </c>
      <c r="XBG1" t="s">
        <v>18177</v>
      </c>
      <c r="XBH1" t="s">
        <v>18178</v>
      </c>
      <c r="XBI1" t="s">
        <v>18179</v>
      </c>
      <c r="XBJ1" t="s">
        <v>18180</v>
      </c>
      <c r="XBK1" t="s">
        <v>18181</v>
      </c>
      <c r="XBL1" t="s">
        <v>18182</v>
      </c>
      <c r="XBM1" t="s">
        <v>18183</v>
      </c>
      <c r="XBN1" t="s">
        <v>18184</v>
      </c>
      <c r="XBO1" t="s">
        <v>18185</v>
      </c>
      <c r="XBP1" t="s">
        <v>18186</v>
      </c>
      <c r="XBQ1" t="s">
        <v>18187</v>
      </c>
      <c r="XBR1" t="s">
        <v>18188</v>
      </c>
      <c r="XBS1" t="s">
        <v>18189</v>
      </c>
      <c r="XBT1" t="s">
        <v>18190</v>
      </c>
      <c r="XBU1" t="s">
        <v>18191</v>
      </c>
      <c r="XBV1" t="s">
        <v>18192</v>
      </c>
      <c r="XBW1" t="s">
        <v>18193</v>
      </c>
      <c r="XBX1" t="s">
        <v>18194</v>
      </c>
      <c r="XBY1" t="s">
        <v>18195</v>
      </c>
      <c r="XBZ1" t="s">
        <v>18196</v>
      </c>
      <c r="XCA1" t="s">
        <v>18197</v>
      </c>
      <c r="XCB1" t="s">
        <v>18198</v>
      </c>
      <c r="XCC1" t="s">
        <v>18199</v>
      </c>
      <c r="XCD1" t="s">
        <v>18200</v>
      </c>
      <c r="XCE1" t="s">
        <v>18201</v>
      </c>
      <c r="XCF1" t="s">
        <v>18202</v>
      </c>
      <c r="XCG1" t="s">
        <v>18203</v>
      </c>
      <c r="XCH1" t="s">
        <v>18204</v>
      </c>
      <c r="XCI1" t="s">
        <v>18205</v>
      </c>
      <c r="XCJ1" t="s">
        <v>18206</v>
      </c>
      <c r="XCK1" t="s">
        <v>18207</v>
      </c>
      <c r="XCL1" t="s">
        <v>18208</v>
      </c>
      <c r="XCM1" t="s">
        <v>18209</v>
      </c>
      <c r="XCN1" t="s">
        <v>18210</v>
      </c>
      <c r="XCO1" t="s">
        <v>18211</v>
      </c>
      <c r="XCP1" t="s">
        <v>18212</v>
      </c>
      <c r="XCQ1" t="s">
        <v>18213</v>
      </c>
      <c r="XCR1" t="s">
        <v>18214</v>
      </c>
      <c r="XCS1" t="s">
        <v>18215</v>
      </c>
      <c r="XCT1" t="s">
        <v>18216</v>
      </c>
      <c r="XCU1" t="s">
        <v>18217</v>
      </c>
      <c r="XCV1" t="s">
        <v>18218</v>
      </c>
      <c r="XCW1" t="s">
        <v>18219</v>
      </c>
      <c r="XCX1" t="s">
        <v>18220</v>
      </c>
      <c r="XCY1" t="s">
        <v>18221</v>
      </c>
      <c r="XCZ1" t="s">
        <v>18222</v>
      </c>
      <c r="XDA1" t="s">
        <v>18223</v>
      </c>
      <c r="XDB1" t="s">
        <v>18224</v>
      </c>
      <c r="XDC1" t="s">
        <v>18225</v>
      </c>
      <c r="XDD1" t="s">
        <v>18226</v>
      </c>
      <c r="XDE1" t="s">
        <v>18227</v>
      </c>
      <c r="XDF1" t="s">
        <v>18228</v>
      </c>
      <c r="XDG1" t="s">
        <v>18229</v>
      </c>
      <c r="XDH1" t="s">
        <v>18230</v>
      </c>
      <c r="XDI1" t="s">
        <v>18231</v>
      </c>
      <c r="XDJ1" t="s">
        <v>18232</v>
      </c>
      <c r="XDK1" t="s">
        <v>18233</v>
      </c>
      <c r="XDL1" t="s">
        <v>18234</v>
      </c>
      <c r="XDM1" t="s">
        <v>18235</v>
      </c>
      <c r="XDN1" t="s">
        <v>18236</v>
      </c>
      <c r="XDO1" t="s">
        <v>18237</v>
      </c>
      <c r="XDP1" t="s">
        <v>18238</v>
      </c>
      <c r="XDQ1" t="s">
        <v>18239</v>
      </c>
      <c r="XDR1" t="s">
        <v>18240</v>
      </c>
      <c r="XDS1" t="s">
        <v>18241</v>
      </c>
      <c r="XDT1" t="s">
        <v>18242</v>
      </c>
      <c r="XDU1" t="s">
        <v>18243</v>
      </c>
      <c r="XDV1" t="s">
        <v>18244</v>
      </c>
      <c r="XDW1" t="s">
        <v>18245</v>
      </c>
      <c r="XDX1" t="s">
        <v>18246</v>
      </c>
      <c r="XDY1" t="s">
        <v>18247</v>
      </c>
      <c r="XDZ1" t="s">
        <v>18248</v>
      </c>
      <c r="XEA1" t="s">
        <v>18249</v>
      </c>
      <c r="XEB1" t="s">
        <v>18250</v>
      </c>
      <c r="XEC1" t="s">
        <v>18251</v>
      </c>
      <c r="XED1" t="s">
        <v>18252</v>
      </c>
      <c r="XEE1" t="s">
        <v>18253</v>
      </c>
      <c r="XEF1" t="s">
        <v>18254</v>
      </c>
      <c r="XEG1" t="s">
        <v>18255</v>
      </c>
      <c r="XEH1" t="s">
        <v>18256</v>
      </c>
      <c r="XEI1" t="s">
        <v>18257</v>
      </c>
      <c r="XEJ1" t="s">
        <v>18258</v>
      </c>
      <c r="XEK1" t="s">
        <v>18259</v>
      </c>
      <c r="XEL1" t="s">
        <v>18260</v>
      </c>
      <c r="XEM1" t="s">
        <v>18261</v>
      </c>
      <c r="XEN1" t="s">
        <v>18262</v>
      </c>
      <c r="XEO1" t="s">
        <v>18263</v>
      </c>
      <c r="XEP1" t="s">
        <v>18264</v>
      </c>
      <c r="XEQ1" t="s">
        <v>18265</v>
      </c>
      <c r="XER1" t="s">
        <v>18266</v>
      </c>
      <c r="XES1" t="s">
        <v>18267</v>
      </c>
      <c r="XET1" t="s">
        <v>18268</v>
      </c>
      <c r="XEU1" t="s">
        <v>18269</v>
      </c>
      <c r="XEV1" t="s">
        <v>18270</v>
      </c>
      <c r="XEW1" t="s">
        <v>18271</v>
      </c>
      <c r="XEX1" t="s">
        <v>18272</v>
      </c>
      <c r="XEY1" t="s">
        <v>18273</v>
      </c>
      <c r="XEZ1" t="s">
        <v>18274</v>
      </c>
      <c r="XFA1" t="s">
        <v>18275</v>
      </c>
      <c r="XFB1" t="s">
        <v>18276</v>
      </c>
      <c r="XFC1" t="s">
        <v>18277</v>
      </c>
      <c r="XFD1" t="s">
        <v>18278</v>
      </c>
    </row>
    <row r="2" spans="1:16384" x14ac:dyDescent="0.3">
      <c r="A2" t="s">
        <v>7</v>
      </c>
      <c r="B2" t="s">
        <v>8</v>
      </c>
      <c r="C2" t="s">
        <v>9</v>
      </c>
      <c r="D2" t="s">
        <v>10</v>
      </c>
      <c r="E2" t="s">
        <v>11</v>
      </c>
      <c r="F2" t="s">
        <v>12</v>
      </c>
      <c r="G2" t="s">
        <v>13</v>
      </c>
    </row>
    <row r="3" spans="1:16384" x14ac:dyDescent="0.3">
      <c r="A3" t="s">
        <v>14</v>
      </c>
      <c r="B3" t="s">
        <v>15</v>
      </c>
      <c r="C3" t="s">
        <v>16</v>
      </c>
      <c r="D3" t="s">
        <v>10</v>
      </c>
      <c r="E3" t="s">
        <v>17</v>
      </c>
      <c r="F3" t="s">
        <v>18</v>
      </c>
      <c r="G3" t="s">
        <v>19</v>
      </c>
    </row>
    <row r="4" spans="1:16384" x14ac:dyDescent="0.3">
      <c r="A4" t="s">
        <v>20</v>
      </c>
      <c r="B4" t="s">
        <v>21</v>
      </c>
      <c r="C4" t="s">
        <v>22</v>
      </c>
      <c r="D4" t="s">
        <v>23</v>
      </c>
      <c r="E4" t="s">
        <v>24</v>
      </c>
      <c r="F4" t="s">
        <v>25</v>
      </c>
      <c r="G4" t="s">
        <v>26</v>
      </c>
    </row>
    <row r="5" spans="1:16384" x14ac:dyDescent="0.3">
      <c r="A5" t="s">
        <v>27</v>
      </c>
      <c r="B5" t="s">
        <v>28</v>
      </c>
      <c r="C5" t="s">
        <v>29</v>
      </c>
      <c r="D5" t="s">
        <v>30</v>
      </c>
      <c r="E5" t="s">
        <v>31</v>
      </c>
      <c r="F5" t="s">
        <v>32</v>
      </c>
      <c r="G5" t="s">
        <v>33</v>
      </c>
    </row>
    <row r="6" spans="1:16384" x14ac:dyDescent="0.3">
      <c r="A6" t="s">
        <v>34</v>
      </c>
      <c r="B6" t="s">
        <v>34</v>
      </c>
      <c r="C6" t="s">
        <v>35</v>
      </c>
      <c r="D6" t="s">
        <v>36</v>
      </c>
      <c r="E6" t="s">
        <v>37</v>
      </c>
      <c r="F6" t="s">
        <v>38</v>
      </c>
      <c r="G6" t="s">
        <v>39</v>
      </c>
    </row>
    <row r="7" spans="1:16384" x14ac:dyDescent="0.3">
      <c r="A7" t="s">
        <v>40</v>
      </c>
      <c r="B7" t="s">
        <v>40</v>
      </c>
      <c r="C7" t="s">
        <v>41</v>
      </c>
      <c r="D7" t="s">
        <v>42</v>
      </c>
      <c r="E7" t="s">
        <v>43</v>
      </c>
      <c r="F7" t="s">
        <v>44</v>
      </c>
      <c r="G7" t="s">
        <v>45</v>
      </c>
    </row>
    <row r="8" spans="1:16384" x14ac:dyDescent="0.3">
      <c r="A8" t="s">
        <v>46</v>
      </c>
      <c r="B8" t="s">
        <v>46</v>
      </c>
      <c r="C8" t="s">
        <v>47</v>
      </c>
      <c r="D8" t="s">
        <v>48</v>
      </c>
      <c r="E8" t="s">
        <v>49</v>
      </c>
      <c r="F8" t="s">
        <v>50</v>
      </c>
      <c r="G8" t="s">
        <v>51</v>
      </c>
    </row>
    <row r="9" spans="1:16384" x14ac:dyDescent="0.3">
      <c r="A9" t="s">
        <v>52</v>
      </c>
      <c r="B9" t="s">
        <v>53</v>
      </c>
      <c r="C9" t="s">
        <v>54</v>
      </c>
      <c r="D9" t="s">
        <v>55</v>
      </c>
      <c r="E9" t="s">
        <v>56</v>
      </c>
      <c r="F9" t="s">
        <v>57</v>
      </c>
      <c r="G9" t="s">
        <v>58</v>
      </c>
    </row>
    <row r="10" spans="1:16384" x14ac:dyDescent="0.3">
      <c r="A10" t="s">
        <v>59</v>
      </c>
      <c r="B10" t="s">
        <v>60</v>
      </c>
      <c r="C10" t="s">
        <v>61</v>
      </c>
      <c r="D10" t="s">
        <v>62</v>
      </c>
      <c r="E10" t="s">
        <v>63</v>
      </c>
      <c r="F10" t="s">
        <v>64</v>
      </c>
      <c r="G10" t="s">
        <v>65</v>
      </c>
    </row>
    <row r="11" spans="1:16384" x14ac:dyDescent="0.3">
      <c r="A11" t="s">
        <v>66</v>
      </c>
      <c r="B11" t="s">
        <v>67</v>
      </c>
      <c r="C11" t="s">
        <v>68</v>
      </c>
      <c r="D11" t="s">
        <v>69</v>
      </c>
      <c r="E11" t="s">
        <v>70</v>
      </c>
      <c r="F11" t="s">
        <v>71</v>
      </c>
      <c r="G11" t="s">
        <v>72</v>
      </c>
    </row>
    <row r="12" spans="1:16384" x14ac:dyDescent="0.3">
      <c r="A12" t="s">
        <v>73</v>
      </c>
      <c r="B12" t="s">
        <v>74</v>
      </c>
      <c r="C12" t="s">
        <v>75</v>
      </c>
      <c r="D12" t="s">
        <v>76</v>
      </c>
      <c r="E12" t="s">
        <v>77</v>
      </c>
      <c r="F12" t="s">
        <v>78</v>
      </c>
      <c r="G12" t="s">
        <v>79</v>
      </c>
    </row>
    <row r="13" spans="1:16384" x14ac:dyDescent="0.3">
      <c r="A13" t="s">
        <v>80</v>
      </c>
      <c r="B13" t="s">
        <v>81</v>
      </c>
      <c r="C13" t="s">
        <v>82</v>
      </c>
      <c r="D13" t="s">
        <v>83</v>
      </c>
      <c r="E13" t="s">
        <v>84</v>
      </c>
      <c r="F13" t="s">
        <v>85</v>
      </c>
      <c r="G13" t="s">
        <v>19</v>
      </c>
    </row>
    <row r="14" spans="1:16384" x14ac:dyDescent="0.3">
      <c r="A14" t="s">
        <v>86</v>
      </c>
      <c r="B14" t="s">
        <v>87</v>
      </c>
      <c r="C14" t="s">
        <v>88</v>
      </c>
      <c r="D14" t="s">
        <v>89</v>
      </c>
      <c r="E14" t="s">
        <v>90</v>
      </c>
      <c r="F14" t="s">
        <v>91</v>
      </c>
      <c r="G14" t="s">
        <v>92</v>
      </c>
    </row>
    <row r="15" spans="1:16384" x14ac:dyDescent="0.3">
      <c r="A15" t="s">
        <v>93</v>
      </c>
      <c r="B15" t="s">
        <v>94</v>
      </c>
      <c r="C15" t="s">
        <v>95</v>
      </c>
      <c r="D15" t="s">
        <v>96</v>
      </c>
      <c r="E15" t="s">
        <v>97</v>
      </c>
      <c r="F15" t="s">
        <v>98</v>
      </c>
      <c r="G15" t="s">
        <v>99</v>
      </c>
    </row>
    <row r="16" spans="1:16384" x14ac:dyDescent="0.3">
      <c r="A16" t="s">
        <v>100</v>
      </c>
      <c r="B16" t="s">
        <v>101</v>
      </c>
      <c r="C16" t="s">
        <v>102</v>
      </c>
      <c r="D16" t="s">
        <v>103</v>
      </c>
      <c r="E16" t="s">
        <v>104</v>
      </c>
      <c r="F16" t="s">
        <v>105</v>
      </c>
      <c r="G16" t="s">
        <v>106</v>
      </c>
    </row>
    <row r="17" spans="1:7" x14ac:dyDescent="0.3">
      <c r="A17" t="s">
        <v>107</v>
      </c>
      <c r="B17" t="s">
        <v>108</v>
      </c>
      <c r="C17" t="s">
        <v>109</v>
      </c>
      <c r="D17" t="s">
        <v>110</v>
      </c>
      <c r="E17" t="s">
        <v>111</v>
      </c>
      <c r="F17" t="s">
        <v>112</v>
      </c>
      <c r="G17" t="s">
        <v>113</v>
      </c>
    </row>
    <row r="18" spans="1:7" x14ac:dyDescent="0.3">
      <c r="A18" t="s">
        <v>114</v>
      </c>
      <c r="B18" t="s">
        <v>115</v>
      </c>
      <c r="C18" t="s">
        <v>116</v>
      </c>
      <c r="D18" t="s">
        <v>117</v>
      </c>
      <c r="E18" t="s">
        <v>118</v>
      </c>
      <c r="F18" t="s">
        <v>119</v>
      </c>
      <c r="G18" t="s">
        <v>120</v>
      </c>
    </row>
    <row r="19" spans="1:7" x14ac:dyDescent="0.3">
      <c r="A19" t="s">
        <v>121</v>
      </c>
      <c r="B19" t="s">
        <v>122</v>
      </c>
      <c r="C19" t="s">
        <v>123</v>
      </c>
      <c r="D19" t="s">
        <v>124</v>
      </c>
      <c r="E19" t="s">
        <v>125</v>
      </c>
      <c r="F19" t="s">
        <v>126</v>
      </c>
      <c r="G19" t="s">
        <v>127</v>
      </c>
    </row>
    <row r="20" spans="1:7" x14ac:dyDescent="0.3">
      <c r="A20" t="s">
        <v>128</v>
      </c>
      <c r="B20" t="s">
        <v>129</v>
      </c>
      <c r="C20" t="s">
        <v>130</v>
      </c>
      <c r="D20" t="s">
        <v>124</v>
      </c>
      <c r="E20" t="s">
        <v>131</v>
      </c>
      <c r="F20" t="s">
        <v>132</v>
      </c>
      <c r="G20" t="s">
        <v>133</v>
      </c>
    </row>
    <row r="21" spans="1:7" x14ac:dyDescent="0.3">
      <c r="A21" t="s">
        <v>134</v>
      </c>
      <c r="B21" t="s">
        <v>135</v>
      </c>
      <c r="C21" t="s">
        <v>136</v>
      </c>
      <c r="D21" t="s">
        <v>137</v>
      </c>
      <c r="E21" t="s">
        <v>138</v>
      </c>
      <c r="F21" t="s">
        <v>139</v>
      </c>
      <c r="G21" t="s">
        <v>140</v>
      </c>
    </row>
    <row r="22" spans="1:7" x14ac:dyDescent="0.3">
      <c r="A22" t="s">
        <v>141</v>
      </c>
      <c r="B22" t="s">
        <v>141</v>
      </c>
      <c r="C22" t="s">
        <v>142</v>
      </c>
      <c r="D22" t="s">
        <v>143</v>
      </c>
      <c r="E22" t="s">
        <v>144</v>
      </c>
      <c r="F22" t="s">
        <v>145</v>
      </c>
      <c r="G22" t="s">
        <v>146</v>
      </c>
    </row>
    <row r="23" spans="1:7" x14ac:dyDescent="0.3">
      <c r="A23" t="s">
        <v>147</v>
      </c>
      <c r="B23" t="s">
        <v>148</v>
      </c>
      <c r="C23" t="s">
        <v>149</v>
      </c>
      <c r="D23" t="s">
        <v>150</v>
      </c>
      <c r="E23" t="s">
        <v>151</v>
      </c>
      <c r="F23" t="s">
        <v>152</v>
      </c>
      <c r="G23" t="s">
        <v>153</v>
      </c>
    </row>
    <row r="24" spans="1:7" x14ac:dyDescent="0.3">
      <c r="A24" t="s">
        <v>154</v>
      </c>
      <c r="B24" t="s">
        <v>155</v>
      </c>
      <c r="C24" t="s">
        <v>156</v>
      </c>
      <c r="D24" t="s">
        <v>157</v>
      </c>
      <c r="E24" t="s">
        <v>158</v>
      </c>
      <c r="F24" t="s">
        <v>159</v>
      </c>
      <c r="G24" t="s">
        <v>160</v>
      </c>
    </row>
    <row r="25" spans="1:7" x14ac:dyDescent="0.3">
      <c r="A25" t="s">
        <v>161</v>
      </c>
      <c r="B25" t="s">
        <v>162</v>
      </c>
      <c r="C25" t="s">
        <v>163</v>
      </c>
      <c r="D25" t="s">
        <v>164</v>
      </c>
      <c r="E25" t="s">
        <v>165</v>
      </c>
      <c r="F25" t="s">
        <v>166</v>
      </c>
      <c r="G25" t="s">
        <v>167</v>
      </c>
    </row>
    <row r="26" spans="1:7" x14ac:dyDescent="0.3">
      <c r="A26" t="s">
        <v>168</v>
      </c>
      <c r="B26" t="s">
        <v>169</v>
      </c>
      <c r="C26" t="s">
        <v>170</v>
      </c>
      <c r="D26" t="s">
        <v>171</v>
      </c>
      <c r="E26" t="s">
        <v>172</v>
      </c>
      <c r="F26" t="s">
        <v>173</v>
      </c>
      <c r="G26" t="s">
        <v>174</v>
      </c>
    </row>
    <row r="27" spans="1:7" x14ac:dyDescent="0.3">
      <c r="A27" t="s">
        <v>175</v>
      </c>
      <c r="B27" t="s">
        <v>176</v>
      </c>
      <c r="C27" t="s">
        <v>177</v>
      </c>
      <c r="D27" t="s">
        <v>178</v>
      </c>
      <c r="E27" t="s">
        <v>179</v>
      </c>
      <c r="F27" t="s">
        <v>180</v>
      </c>
      <c r="G27" t="s">
        <v>181</v>
      </c>
    </row>
    <row r="28" spans="1:7" x14ac:dyDescent="0.3">
      <c r="A28" t="s">
        <v>182</v>
      </c>
      <c r="B28" t="s">
        <v>183</v>
      </c>
      <c r="C28" t="s">
        <v>184</v>
      </c>
      <c r="D28" t="s">
        <v>185</v>
      </c>
      <c r="E28" t="s">
        <v>186</v>
      </c>
      <c r="F28" t="s">
        <v>187</v>
      </c>
      <c r="G28" t="s">
        <v>188</v>
      </c>
    </row>
    <row r="29" spans="1:7" x14ac:dyDescent="0.3">
      <c r="A29" t="s">
        <v>189</v>
      </c>
      <c r="B29" t="s">
        <v>190</v>
      </c>
      <c r="C29" t="s">
        <v>191</v>
      </c>
      <c r="D29" t="s">
        <v>192</v>
      </c>
      <c r="E29" t="s">
        <v>193</v>
      </c>
      <c r="F29" t="s">
        <v>194</v>
      </c>
      <c r="G29" t="s">
        <v>195</v>
      </c>
    </row>
    <row r="30" spans="1:7" x14ac:dyDescent="0.3">
      <c r="A30" t="s">
        <v>196</v>
      </c>
      <c r="B30" t="s">
        <v>197</v>
      </c>
      <c r="C30" t="s">
        <v>198</v>
      </c>
      <c r="D30" t="s">
        <v>199</v>
      </c>
      <c r="E30" t="s">
        <v>200</v>
      </c>
      <c r="F30" t="s">
        <v>201</v>
      </c>
      <c r="G30" t="s">
        <v>202</v>
      </c>
    </row>
    <row r="31" spans="1:7" x14ac:dyDescent="0.3">
      <c r="A31" t="s">
        <v>203</v>
      </c>
      <c r="B31" t="s">
        <v>204</v>
      </c>
      <c r="C31" t="s">
        <v>205</v>
      </c>
      <c r="D31" t="s">
        <v>206</v>
      </c>
      <c r="E31" t="s">
        <v>207</v>
      </c>
      <c r="F31" t="s">
        <v>208</v>
      </c>
      <c r="G31" t="s">
        <v>19</v>
      </c>
    </row>
    <row r="32" spans="1:7" x14ac:dyDescent="0.3">
      <c r="A32" t="s">
        <v>209</v>
      </c>
      <c r="B32" t="s">
        <v>210</v>
      </c>
      <c r="C32" t="s">
        <v>211</v>
      </c>
      <c r="D32" t="s">
        <v>212</v>
      </c>
      <c r="E32" t="s">
        <v>213</v>
      </c>
      <c r="F32" t="s">
        <v>214</v>
      </c>
      <c r="G32" t="s">
        <v>215</v>
      </c>
    </row>
    <row r="33" spans="1:7" x14ac:dyDescent="0.3">
      <c r="A33" t="s">
        <v>216</v>
      </c>
      <c r="B33" t="s">
        <v>217</v>
      </c>
      <c r="C33" t="s">
        <v>218</v>
      </c>
      <c r="D33" t="s">
        <v>10</v>
      </c>
      <c r="E33" t="s">
        <v>219</v>
      </c>
      <c r="F33" t="s">
        <v>220</v>
      </c>
      <c r="G33" t="s">
        <v>221</v>
      </c>
    </row>
    <row r="34" spans="1:7" x14ac:dyDescent="0.3">
      <c r="A34" t="s">
        <v>222</v>
      </c>
      <c r="B34" t="s">
        <v>223</v>
      </c>
      <c r="C34" t="s">
        <v>224</v>
      </c>
      <c r="D34" t="s">
        <v>178</v>
      </c>
      <c r="E34" t="s">
        <v>225</v>
      </c>
      <c r="F34" t="s">
        <v>226</v>
      </c>
      <c r="G34" t="s">
        <v>227</v>
      </c>
    </row>
    <row r="35" spans="1:7" x14ac:dyDescent="0.3">
      <c r="A35" t="s">
        <v>228</v>
      </c>
      <c r="B35" t="s">
        <v>229</v>
      </c>
      <c r="C35" t="s">
        <v>230</v>
      </c>
      <c r="D35" t="s">
        <v>10</v>
      </c>
      <c r="E35" t="s">
        <v>231</v>
      </c>
      <c r="F35" t="s">
        <v>232</v>
      </c>
      <c r="G35" t="s">
        <v>233</v>
      </c>
    </row>
    <row r="36" spans="1:7" x14ac:dyDescent="0.3">
      <c r="A36" t="s">
        <v>234</v>
      </c>
      <c r="B36" t="s">
        <v>235</v>
      </c>
      <c r="C36" t="s">
        <v>236</v>
      </c>
      <c r="D36" t="s">
        <v>30</v>
      </c>
      <c r="E36" t="s">
        <v>237</v>
      </c>
      <c r="F36" t="s">
        <v>238</v>
      </c>
      <c r="G36" t="s">
        <v>239</v>
      </c>
    </row>
    <row r="37" spans="1:7" x14ac:dyDescent="0.3">
      <c r="A37" t="s">
        <v>240</v>
      </c>
      <c r="B37" t="s">
        <v>241</v>
      </c>
      <c r="C37" t="s">
        <v>242</v>
      </c>
      <c r="D37" t="s">
        <v>243</v>
      </c>
      <c r="E37" t="s">
        <v>244</v>
      </c>
      <c r="F37" t="s">
        <v>245</v>
      </c>
      <c r="G37" t="s">
        <v>246</v>
      </c>
    </row>
    <row r="38" spans="1:7" x14ac:dyDescent="0.3">
      <c r="A38" t="s">
        <v>247</v>
      </c>
      <c r="B38" t="s">
        <v>247</v>
      </c>
      <c r="C38" t="s">
        <v>248</v>
      </c>
      <c r="D38" t="s">
        <v>249</v>
      </c>
      <c r="E38" t="s">
        <v>250</v>
      </c>
      <c r="F38" t="s">
        <v>251</v>
      </c>
      <c r="G38" t="s">
        <v>252</v>
      </c>
    </row>
    <row r="39" spans="1:7" x14ac:dyDescent="0.3">
      <c r="A39" t="s">
        <v>253</v>
      </c>
      <c r="B39" t="s">
        <v>254</v>
      </c>
      <c r="C39" t="s">
        <v>255</v>
      </c>
      <c r="D39" t="s">
        <v>256</v>
      </c>
      <c r="E39" t="s">
        <v>257</v>
      </c>
      <c r="F39" t="s">
        <v>258</v>
      </c>
      <c r="G39" t="s">
        <v>259</v>
      </c>
    </row>
    <row r="40" spans="1:7" x14ac:dyDescent="0.3">
      <c r="A40" t="s">
        <v>260</v>
      </c>
      <c r="B40" t="s">
        <v>261</v>
      </c>
      <c r="C40" t="s">
        <v>262</v>
      </c>
      <c r="D40" t="s">
        <v>263</v>
      </c>
      <c r="E40" t="s">
        <v>264</v>
      </c>
      <c r="F40" t="s">
        <v>265</v>
      </c>
      <c r="G40" t="s">
        <v>266</v>
      </c>
    </row>
    <row r="41" spans="1:7" x14ac:dyDescent="0.3">
      <c r="A41" t="s">
        <v>267</v>
      </c>
      <c r="B41" t="s">
        <v>268</v>
      </c>
      <c r="C41" t="s">
        <v>269</v>
      </c>
      <c r="D41" t="s">
        <v>270</v>
      </c>
      <c r="E41" t="s">
        <v>271</v>
      </c>
      <c r="F41" t="s">
        <v>272</v>
      </c>
      <c r="G41" t="s">
        <v>273</v>
      </c>
    </row>
    <row r="42" spans="1:7" x14ac:dyDescent="0.3">
      <c r="A42" t="s">
        <v>274</v>
      </c>
      <c r="B42" t="s">
        <v>275</v>
      </c>
      <c r="C42" t="s">
        <v>276</v>
      </c>
      <c r="D42" t="s">
        <v>243</v>
      </c>
      <c r="E42" t="s">
        <v>277</v>
      </c>
      <c r="F42" t="s">
        <v>278</v>
      </c>
      <c r="G42" t="s">
        <v>279</v>
      </c>
    </row>
    <row r="43" spans="1:7" x14ac:dyDescent="0.3">
      <c r="A43" t="s">
        <v>280</v>
      </c>
      <c r="B43" t="s">
        <v>281</v>
      </c>
      <c r="C43" t="s">
        <v>282</v>
      </c>
      <c r="D43" t="s">
        <v>283</v>
      </c>
      <c r="E43" t="s">
        <v>284</v>
      </c>
      <c r="F43" t="s">
        <v>285</v>
      </c>
      <c r="G43" t="s">
        <v>286</v>
      </c>
    </row>
    <row r="44" spans="1:7" x14ac:dyDescent="0.3">
      <c r="A44" t="s">
        <v>287</v>
      </c>
      <c r="B44" t="s">
        <v>288</v>
      </c>
      <c r="C44" t="s">
        <v>289</v>
      </c>
      <c r="D44" t="s">
        <v>290</v>
      </c>
      <c r="E44" t="s">
        <v>291</v>
      </c>
      <c r="F44" t="s">
        <v>292</v>
      </c>
      <c r="G44" t="s">
        <v>293</v>
      </c>
    </row>
    <row r="45" spans="1:7" x14ac:dyDescent="0.3">
      <c r="A45" t="s">
        <v>294</v>
      </c>
      <c r="B45" t="s">
        <v>295</v>
      </c>
      <c r="C45" t="s">
        <v>296</v>
      </c>
      <c r="D45" t="s">
        <v>297</v>
      </c>
      <c r="E45" t="s">
        <v>298</v>
      </c>
      <c r="F45" t="s">
        <v>299</v>
      </c>
      <c r="G45" t="s">
        <v>300</v>
      </c>
    </row>
    <row r="46" spans="1:7" x14ac:dyDescent="0.3">
      <c r="A46" t="s">
        <v>301</v>
      </c>
      <c r="B46" t="s">
        <v>302</v>
      </c>
      <c r="C46" t="s">
        <v>303</v>
      </c>
      <c r="D46" t="s">
        <v>304</v>
      </c>
      <c r="E46" t="s">
        <v>305</v>
      </c>
      <c r="F46" t="s">
        <v>306</v>
      </c>
      <c r="G46" t="s">
        <v>307</v>
      </c>
    </row>
    <row r="47" spans="1:7" x14ac:dyDescent="0.3">
      <c r="A47" t="s">
        <v>308</v>
      </c>
      <c r="B47" t="s">
        <v>309</v>
      </c>
      <c r="C47" t="s">
        <v>310</v>
      </c>
      <c r="D47" t="s">
        <v>30</v>
      </c>
      <c r="E47" t="s">
        <v>311</v>
      </c>
      <c r="F47" t="s">
        <v>312</v>
      </c>
      <c r="G47" t="s">
        <v>313</v>
      </c>
    </row>
    <row r="48" spans="1:7" x14ac:dyDescent="0.3">
      <c r="A48" t="s">
        <v>314</v>
      </c>
      <c r="B48" t="s">
        <v>314</v>
      </c>
      <c r="C48" t="s">
        <v>315</v>
      </c>
      <c r="D48" t="s">
        <v>316</v>
      </c>
      <c r="E48" t="s">
        <v>317</v>
      </c>
      <c r="F48" t="s">
        <v>318</v>
      </c>
      <c r="G48" t="s">
        <v>319</v>
      </c>
    </row>
    <row r="49" spans="1:7" x14ac:dyDescent="0.3">
      <c r="A49" t="s">
        <v>320</v>
      </c>
      <c r="B49" t="s">
        <v>321</v>
      </c>
      <c r="C49" t="s">
        <v>322</v>
      </c>
      <c r="D49" t="s">
        <v>323</v>
      </c>
      <c r="E49" t="s">
        <v>324</v>
      </c>
      <c r="F49" t="s">
        <v>325</v>
      </c>
      <c r="G49" t="s">
        <v>326</v>
      </c>
    </row>
    <row r="50" spans="1:7" x14ac:dyDescent="0.3">
      <c r="A50" t="s">
        <v>327</v>
      </c>
      <c r="B50" t="s">
        <v>328</v>
      </c>
      <c r="C50" t="s">
        <v>329</v>
      </c>
      <c r="D50" t="s">
        <v>76</v>
      </c>
      <c r="E50" t="s">
        <v>330</v>
      </c>
      <c r="F50" t="s">
        <v>331</v>
      </c>
      <c r="G50" t="s">
        <v>332</v>
      </c>
    </row>
    <row r="51" spans="1:7" x14ac:dyDescent="0.3">
      <c r="A51" t="s">
        <v>333</v>
      </c>
      <c r="B51" t="s">
        <v>334</v>
      </c>
      <c r="C51" t="s">
        <v>335</v>
      </c>
      <c r="D51" t="s">
        <v>336</v>
      </c>
      <c r="E51" t="s">
        <v>337</v>
      </c>
      <c r="F51" t="s">
        <v>338</v>
      </c>
      <c r="G51" t="s">
        <v>339</v>
      </c>
    </row>
    <row r="52" spans="1:7" x14ac:dyDescent="0.3">
      <c r="A52" t="s">
        <v>340</v>
      </c>
      <c r="B52" t="s">
        <v>341</v>
      </c>
      <c r="C52" t="s">
        <v>342</v>
      </c>
      <c r="D52" t="s">
        <v>343</v>
      </c>
      <c r="E52" t="s">
        <v>344</v>
      </c>
      <c r="F52" t="s">
        <v>345</v>
      </c>
      <c r="G52" t="s">
        <v>346</v>
      </c>
    </row>
    <row r="53" spans="1:7" x14ac:dyDescent="0.3">
      <c r="A53" t="s">
        <v>347</v>
      </c>
      <c r="B53" t="s">
        <v>347</v>
      </c>
      <c r="C53" t="s">
        <v>348</v>
      </c>
      <c r="D53" t="s">
        <v>349</v>
      </c>
      <c r="E53" t="s">
        <v>350</v>
      </c>
      <c r="F53" t="s">
        <v>351</v>
      </c>
      <c r="G53" t="s">
        <v>352</v>
      </c>
    </row>
    <row r="54" spans="1:7" x14ac:dyDescent="0.3">
      <c r="A54" t="s">
        <v>353</v>
      </c>
      <c r="B54" t="s">
        <v>354</v>
      </c>
      <c r="C54" t="s">
        <v>355</v>
      </c>
      <c r="D54" t="s">
        <v>356</v>
      </c>
      <c r="E54" t="s">
        <v>357</v>
      </c>
      <c r="F54" t="s">
        <v>358</v>
      </c>
      <c r="G54" t="s">
        <v>359</v>
      </c>
    </row>
    <row r="55" spans="1:7" x14ac:dyDescent="0.3">
      <c r="A55" t="s">
        <v>360</v>
      </c>
      <c r="B55" t="s">
        <v>361</v>
      </c>
      <c r="C55" t="s">
        <v>362</v>
      </c>
      <c r="D55" t="s">
        <v>363</v>
      </c>
      <c r="E55" t="s">
        <v>364</v>
      </c>
      <c r="F55" t="s">
        <v>365</v>
      </c>
      <c r="G55" t="s">
        <v>366</v>
      </c>
    </row>
    <row r="56" spans="1:7" x14ac:dyDescent="0.3">
      <c r="A56" t="s">
        <v>367</v>
      </c>
      <c r="B56" t="s">
        <v>368</v>
      </c>
      <c r="C56" t="s">
        <v>369</v>
      </c>
      <c r="D56" t="s">
        <v>370</v>
      </c>
      <c r="E56" t="s">
        <v>371</v>
      </c>
      <c r="F56" t="s">
        <v>372</v>
      </c>
      <c r="G56" t="s">
        <v>373</v>
      </c>
    </row>
    <row r="57" spans="1:7" x14ac:dyDescent="0.3">
      <c r="A57" t="s">
        <v>374</v>
      </c>
      <c r="B57" t="s">
        <v>375</v>
      </c>
      <c r="C57" t="s">
        <v>376</v>
      </c>
      <c r="D57" t="s">
        <v>377</v>
      </c>
      <c r="E57" t="s">
        <v>378</v>
      </c>
      <c r="F57" t="s">
        <v>379</v>
      </c>
      <c r="G57" t="s">
        <v>380</v>
      </c>
    </row>
    <row r="58" spans="1:7" x14ac:dyDescent="0.3">
      <c r="A58" t="s">
        <v>381</v>
      </c>
      <c r="B58" t="s">
        <v>382</v>
      </c>
      <c r="C58" t="s">
        <v>383</v>
      </c>
      <c r="D58" t="s">
        <v>384</v>
      </c>
      <c r="E58" t="s">
        <v>385</v>
      </c>
      <c r="F58" t="s">
        <v>386</v>
      </c>
      <c r="G58" t="s">
        <v>387</v>
      </c>
    </row>
    <row r="59" spans="1:7" x14ac:dyDescent="0.3">
      <c r="A59" t="s">
        <v>388</v>
      </c>
      <c r="B59" t="s">
        <v>389</v>
      </c>
      <c r="C59" t="s">
        <v>390</v>
      </c>
      <c r="D59" t="s">
        <v>391</v>
      </c>
      <c r="E59" t="s">
        <v>392</v>
      </c>
      <c r="F59" t="s">
        <v>393</v>
      </c>
      <c r="G59" t="s">
        <v>394</v>
      </c>
    </row>
    <row r="60" spans="1:7" x14ac:dyDescent="0.3">
      <c r="A60" t="s">
        <v>395</v>
      </c>
      <c r="B60" t="s">
        <v>396</v>
      </c>
      <c r="C60" t="s">
        <v>397</v>
      </c>
      <c r="D60" t="s">
        <v>398</v>
      </c>
      <c r="E60" t="s">
        <v>399</v>
      </c>
      <c r="F60" t="s">
        <v>400</v>
      </c>
      <c r="G60" t="s">
        <v>401</v>
      </c>
    </row>
    <row r="61" spans="1:7" x14ac:dyDescent="0.3">
      <c r="A61" t="s">
        <v>402</v>
      </c>
      <c r="B61" t="s">
        <v>403</v>
      </c>
      <c r="C61" t="s">
        <v>404</v>
      </c>
      <c r="D61" t="s">
        <v>405</v>
      </c>
      <c r="E61" t="s">
        <v>406</v>
      </c>
      <c r="F61" t="s">
        <v>407</v>
      </c>
      <c r="G61" t="s">
        <v>408</v>
      </c>
    </row>
    <row r="62" spans="1:7" x14ac:dyDescent="0.3">
      <c r="A62" t="s">
        <v>409</v>
      </c>
      <c r="B62" t="s">
        <v>410</v>
      </c>
      <c r="C62" t="s">
        <v>411</v>
      </c>
      <c r="D62" t="s">
        <v>36</v>
      </c>
      <c r="E62" t="s">
        <v>412</v>
      </c>
      <c r="F62" t="s">
        <v>413</v>
      </c>
      <c r="G62" t="s">
        <v>394</v>
      </c>
    </row>
    <row r="63" spans="1:7" x14ac:dyDescent="0.3">
      <c r="A63" t="s">
        <v>414</v>
      </c>
      <c r="B63" t="s">
        <v>415</v>
      </c>
      <c r="C63" t="s">
        <v>416</v>
      </c>
      <c r="D63" t="s">
        <v>150</v>
      </c>
      <c r="E63" t="s">
        <v>417</v>
      </c>
      <c r="F63" t="s">
        <v>418</v>
      </c>
      <c r="G63" t="s">
        <v>419</v>
      </c>
    </row>
    <row r="64" spans="1:7" x14ac:dyDescent="0.3">
      <c r="A64" t="s">
        <v>420</v>
      </c>
      <c r="B64" t="s">
        <v>421</v>
      </c>
      <c r="C64" t="s">
        <v>422</v>
      </c>
      <c r="D64" t="s">
        <v>423</v>
      </c>
      <c r="E64" t="s">
        <v>424</v>
      </c>
      <c r="F64" t="s">
        <v>425</v>
      </c>
      <c r="G64" t="s">
        <v>426</v>
      </c>
    </row>
    <row r="65" spans="1:7" x14ac:dyDescent="0.3">
      <c r="A65" t="s">
        <v>427</v>
      </c>
      <c r="B65" t="s">
        <v>428</v>
      </c>
      <c r="C65" t="s">
        <v>429</v>
      </c>
      <c r="D65" t="s">
        <v>110</v>
      </c>
      <c r="E65" t="s">
        <v>430</v>
      </c>
      <c r="F65" t="s">
        <v>431</v>
      </c>
      <c r="G65" t="s">
        <v>432</v>
      </c>
    </row>
    <row r="66" spans="1:7" x14ac:dyDescent="0.3">
      <c r="A66" t="s">
        <v>433</v>
      </c>
      <c r="B66" t="s">
        <v>434</v>
      </c>
      <c r="C66" t="s">
        <v>435</v>
      </c>
      <c r="D66" t="s">
        <v>83</v>
      </c>
      <c r="E66" t="s">
        <v>436</v>
      </c>
      <c r="F66" t="s">
        <v>437</v>
      </c>
      <c r="G66" t="s">
        <v>438</v>
      </c>
    </row>
    <row r="67" spans="1:7" x14ac:dyDescent="0.3">
      <c r="A67" t="s">
        <v>439</v>
      </c>
      <c r="B67" t="s">
        <v>440</v>
      </c>
      <c r="C67" t="s">
        <v>441</v>
      </c>
      <c r="D67" t="s">
        <v>83</v>
      </c>
      <c r="E67" t="s">
        <v>442</v>
      </c>
      <c r="F67" t="s">
        <v>443</v>
      </c>
      <c r="G67" t="s">
        <v>444</v>
      </c>
    </row>
    <row r="68" spans="1:7" x14ac:dyDescent="0.3">
      <c r="A68" t="s">
        <v>445</v>
      </c>
      <c r="B68" t="s">
        <v>446</v>
      </c>
      <c r="C68" t="s">
        <v>47</v>
      </c>
      <c r="D68" t="s">
        <v>137</v>
      </c>
      <c r="E68" t="s">
        <v>447</v>
      </c>
      <c r="F68" t="s">
        <v>448</v>
      </c>
      <c r="G68" t="s">
        <v>449</v>
      </c>
    </row>
    <row r="69" spans="1:7" x14ac:dyDescent="0.3">
      <c r="A69" t="s">
        <v>450</v>
      </c>
      <c r="B69" t="s">
        <v>450</v>
      </c>
      <c r="C69" t="s">
        <v>451</v>
      </c>
      <c r="D69" t="s">
        <v>452</v>
      </c>
      <c r="E69" t="s">
        <v>453</v>
      </c>
      <c r="F69" t="s">
        <v>454</v>
      </c>
      <c r="G69" t="s">
        <v>455</v>
      </c>
    </row>
    <row r="70" spans="1:7" x14ac:dyDescent="0.3">
      <c r="A70" t="s">
        <v>456</v>
      </c>
      <c r="B70" t="s">
        <v>457</v>
      </c>
      <c r="C70" t="s">
        <v>458</v>
      </c>
      <c r="D70" t="s">
        <v>459</v>
      </c>
      <c r="E70" t="s">
        <v>460</v>
      </c>
      <c r="F70" t="s">
        <v>461</v>
      </c>
      <c r="G70" t="s">
        <v>462</v>
      </c>
    </row>
    <row r="71" spans="1:7" x14ac:dyDescent="0.3">
      <c r="A71" t="s">
        <v>463</v>
      </c>
      <c r="B71" t="s">
        <v>464</v>
      </c>
      <c r="C71" t="s">
        <v>465</v>
      </c>
      <c r="D71" t="s">
        <v>117</v>
      </c>
      <c r="E71" t="s">
        <v>466</v>
      </c>
      <c r="F71" t="s">
        <v>467</v>
      </c>
      <c r="G71" t="s">
        <v>468</v>
      </c>
    </row>
    <row r="72" spans="1:7" x14ac:dyDescent="0.3">
      <c r="A72" t="s">
        <v>469</v>
      </c>
      <c r="B72" t="s">
        <v>470</v>
      </c>
      <c r="C72" t="s">
        <v>471</v>
      </c>
      <c r="D72" t="s">
        <v>30</v>
      </c>
      <c r="E72" t="s">
        <v>472</v>
      </c>
      <c r="F72" t="s">
        <v>473</v>
      </c>
      <c r="G72" t="s">
        <v>474</v>
      </c>
    </row>
    <row r="73" spans="1:7" x14ac:dyDescent="0.3">
      <c r="A73" t="s">
        <v>475</v>
      </c>
      <c r="B73" t="s">
        <v>476</v>
      </c>
      <c r="C73" t="s">
        <v>315</v>
      </c>
      <c r="D73" t="s">
        <v>48</v>
      </c>
      <c r="E73" t="s">
        <v>477</v>
      </c>
      <c r="F73" t="s">
        <v>478</v>
      </c>
      <c r="G73" t="s">
        <v>479</v>
      </c>
    </row>
    <row r="74" spans="1:7" x14ac:dyDescent="0.3">
      <c r="A74" t="s">
        <v>480</v>
      </c>
      <c r="B74" t="s">
        <v>481</v>
      </c>
      <c r="C74" t="s">
        <v>102</v>
      </c>
      <c r="D74" t="s">
        <v>62</v>
      </c>
      <c r="E74" t="s">
        <v>482</v>
      </c>
      <c r="F74" t="s">
        <v>483</v>
      </c>
      <c r="G74" t="s">
        <v>484</v>
      </c>
    </row>
    <row r="75" spans="1:7" x14ac:dyDescent="0.3">
      <c r="A75" t="s">
        <v>485</v>
      </c>
      <c r="B75" t="s">
        <v>486</v>
      </c>
      <c r="C75" t="s">
        <v>487</v>
      </c>
      <c r="D75" t="s">
        <v>488</v>
      </c>
      <c r="E75" t="s">
        <v>489</v>
      </c>
      <c r="F75" t="s">
        <v>490</v>
      </c>
      <c r="G75" t="s">
        <v>491</v>
      </c>
    </row>
    <row r="76" spans="1:7" x14ac:dyDescent="0.3">
      <c r="A76" t="s">
        <v>492</v>
      </c>
      <c r="B76" t="s">
        <v>493</v>
      </c>
      <c r="C76" t="s">
        <v>494</v>
      </c>
      <c r="D76" t="s">
        <v>178</v>
      </c>
      <c r="E76" t="s">
        <v>495</v>
      </c>
      <c r="F76" t="s">
        <v>496</v>
      </c>
      <c r="G76" t="s">
        <v>497</v>
      </c>
    </row>
    <row r="77" spans="1:7" x14ac:dyDescent="0.3">
      <c r="A77" t="s">
        <v>498</v>
      </c>
      <c r="B77" t="s">
        <v>499</v>
      </c>
      <c r="C77" t="s">
        <v>500</v>
      </c>
      <c r="D77" t="s">
        <v>62</v>
      </c>
      <c r="E77" t="s">
        <v>501</v>
      </c>
      <c r="F77" t="s">
        <v>502</v>
      </c>
      <c r="G77" t="s">
        <v>503</v>
      </c>
    </row>
    <row r="78" spans="1:7" x14ac:dyDescent="0.3">
      <c r="A78" t="s">
        <v>504</v>
      </c>
      <c r="B78" t="s">
        <v>505</v>
      </c>
      <c r="C78" t="s">
        <v>506</v>
      </c>
      <c r="D78" t="s">
        <v>323</v>
      </c>
      <c r="E78" t="s">
        <v>507</v>
      </c>
      <c r="F78" t="s">
        <v>508</v>
      </c>
      <c r="G78" t="s">
        <v>509</v>
      </c>
    </row>
    <row r="79" spans="1:7" x14ac:dyDescent="0.3">
      <c r="A79" t="s">
        <v>510</v>
      </c>
      <c r="B79" t="s">
        <v>511</v>
      </c>
      <c r="C79" t="s">
        <v>47</v>
      </c>
      <c r="D79" t="s">
        <v>62</v>
      </c>
      <c r="E79" t="s">
        <v>512</v>
      </c>
      <c r="F79" t="s">
        <v>513</v>
      </c>
      <c r="G79" t="s">
        <v>514</v>
      </c>
    </row>
    <row r="80" spans="1:7" x14ac:dyDescent="0.3">
      <c r="A80" t="s">
        <v>515</v>
      </c>
      <c r="B80" t="s">
        <v>516</v>
      </c>
      <c r="C80" t="s">
        <v>517</v>
      </c>
      <c r="D80" t="s">
        <v>518</v>
      </c>
      <c r="E80" t="s">
        <v>519</v>
      </c>
      <c r="F80" t="s">
        <v>520</v>
      </c>
      <c r="G80" t="s">
        <v>521</v>
      </c>
    </row>
    <row r="81" spans="1:7" x14ac:dyDescent="0.3">
      <c r="A81" t="s">
        <v>522</v>
      </c>
      <c r="B81" t="s">
        <v>523</v>
      </c>
      <c r="C81" t="s">
        <v>524</v>
      </c>
      <c r="D81" t="s">
        <v>30</v>
      </c>
      <c r="E81" t="s">
        <v>525</v>
      </c>
      <c r="F81" t="s">
        <v>526</v>
      </c>
      <c r="G81" t="s">
        <v>527</v>
      </c>
    </row>
    <row r="82" spans="1:7" x14ac:dyDescent="0.3">
      <c r="A82" t="s">
        <v>528</v>
      </c>
      <c r="B82" t="s">
        <v>529</v>
      </c>
      <c r="C82" t="s">
        <v>530</v>
      </c>
      <c r="D82" t="s">
        <v>452</v>
      </c>
      <c r="E82" t="s">
        <v>531</v>
      </c>
      <c r="F82" t="s">
        <v>532</v>
      </c>
      <c r="G82" t="s">
        <v>533</v>
      </c>
    </row>
    <row r="83" spans="1:7" x14ac:dyDescent="0.3">
      <c r="A83" t="s">
        <v>534</v>
      </c>
      <c r="B83" t="s">
        <v>535</v>
      </c>
      <c r="C83" t="s">
        <v>536</v>
      </c>
      <c r="D83" t="s">
        <v>199</v>
      </c>
      <c r="E83" t="s">
        <v>537</v>
      </c>
      <c r="F83" t="s">
        <v>538</v>
      </c>
      <c r="G83" t="s">
        <v>539</v>
      </c>
    </row>
    <row r="84" spans="1:7" x14ac:dyDescent="0.3">
      <c r="A84" t="s">
        <v>540</v>
      </c>
      <c r="B84" t="s">
        <v>541</v>
      </c>
      <c r="C84" t="s">
        <v>542</v>
      </c>
      <c r="D84" t="s">
        <v>10</v>
      </c>
      <c r="E84" t="s">
        <v>543</v>
      </c>
      <c r="F84" t="s">
        <v>544</v>
      </c>
      <c r="G84" t="s">
        <v>545</v>
      </c>
    </row>
    <row r="85" spans="1:7" x14ac:dyDescent="0.3">
      <c r="A85" t="s">
        <v>546</v>
      </c>
      <c r="B85" t="s">
        <v>547</v>
      </c>
      <c r="C85" t="s">
        <v>548</v>
      </c>
      <c r="D85" t="s">
        <v>549</v>
      </c>
      <c r="E85" t="s">
        <v>550</v>
      </c>
      <c r="F85" t="s">
        <v>551</v>
      </c>
      <c r="G85" t="s">
        <v>552</v>
      </c>
    </row>
    <row r="86" spans="1:7" x14ac:dyDescent="0.3">
      <c r="A86" t="s">
        <v>553</v>
      </c>
      <c r="B86" t="s">
        <v>554</v>
      </c>
      <c r="C86" t="s">
        <v>555</v>
      </c>
      <c r="D86" t="s">
        <v>556</v>
      </c>
      <c r="E86" t="s">
        <v>557</v>
      </c>
      <c r="F86" t="s">
        <v>558</v>
      </c>
      <c r="G86" t="s">
        <v>559</v>
      </c>
    </row>
    <row r="87" spans="1:7" x14ac:dyDescent="0.3">
      <c r="A87" t="s">
        <v>560</v>
      </c>
      <c r="B87" t="s">
        <v>561</v>
      </c>
      <c r="C87" t="s">
        <v>562</v>
      </c>
      <c r="D87" t="s">
        <v>563</v>
      </c>
      <c r="E87" t="s">
        <v>564</v>
      </c>
      <c r="F87" t="s">
        <v>565</v>
      </c>
      <c r="G87" t="s">
        <v>566</v>
      </c>
    </row>
    <row r="88" spans="1:7" x14ac:dyDescent="0.3">
      <c r="A88" t="s">
        <v>567</v>
      </c>
      <c r="B88" t="s">
        <v>568</v>
      </c>
      <c r="C88" t="s">
        <v>569</v>
      </c>
      <c r="D88" t="s">
        <v>316</v>
      </c>
      <c r="E88" t="s">
        <v>570</v>
      </c>
      <c r="F88" t="s">
        <v>571</v>
      </c>
      <c r="G88" t="s">
        <v>572</v>
      </c>
    </row>
    <row r="89" spans="1:7" x14ac:dyDescent="0.3">
      <c r="A89" t="s">
        <v>573</v>
      </c>
      <c r="B89" t="s">
        <v>574</v>
      </c>
      <c r="C89" t="s">
        <v>575</v>
      </c>
      <c r="D89" t="s">
        <v>576</v>
      </c>
      <c r="E89" t="s">
        <v>577</v>
      </c>
      <c r="F89" t="s">
        <v>578</v>
      </c>
      <c r="G89" t="s">
        <v>579</v>
      </c>
    </row>
    <row r="90" spans="1:7" x14ac:dyDescent="0.3">
      <c r="A90" t="s">
        <v>580</v>
      </c>
      <c r="B90" t="s">
        <v>581</v>
      </c>
      <c r="C90" t="s">
        <v>582</v>
      </c>
      <c r="D90" t="s">
        <v>583</v>
      </c>
      <c r="E90" t="s">
        <v>584</v>
      </c>
      <c r="F90" t="s">
        <v>585</v>
      </c>
      <c r="G90" t="s">
        <v>586</v>
      </c>
    </row>
    <row r="91" spans="1:7" x14ac:dyDescent="0.3">
      <c r="A91" t="s">
        <v>587</v>
      </c>
      <c r="B91" t="s">
        <v>588</v>
      </c>
      <c r="C91" t="s">
        <v>589</v>
      </c>
      <c r="D91" t="s">
        <v>290</v>
      </c>
      <c r="E91" t="s">
        <v>590</v>
      </c>
      <c r="F91" t="s">
        <v>591</v>
      </c>
      <c r="G91" t="s">
        <v>592</v>
      </c>
    </row>
    <row r="92" spans="1:7" x14ac:dyDescent="0.3">
      <c r="A92" t="s">
        <v>593</v>
      </c>
      <c r="B92" t="s">
        <v>594</v>
      </c>
      <c r="C92" t="s">
        <v>595</v>
      </c>
      <c r="D92" t="s">
        <v>596</v>
      </c>
      <c r="E92" t="s">
        <v>597</v>
      </c>
      <c r="F92" t="s">
        <v>598</v>
      </c>
      <c r="G92" t="s">
        <v>599</v>
      </c>
    </row>
    <row r="93" spans="1:7" x14ac:dyDescent="0.3">
      <c r="A93" t="s">
        <v>600</v>
      </c>
      <c r="B93" t="s">
        <v>601</v>
      </c>
      <c r="C93" t="s">
        <v>602</v>
      </c>
      <c r="D93" t="s">
        <v>603</v>
      </c>
      <c r="E93" t="s">
        <v>604</v>
      </c>
      <c r="F93" t="s">
        <v>605</v>
      </c>
      <c r="G93" t="s">
        <v>606</v>
      </c>
    </row>
    <row r="94" spans="1:7" x14ac:dyDescent="0.3">
      <c r="A94" t="s">
        <v>607</v>
      </c>
      <c r="B94" t="s">
        <v>608</v>
      </c>
      <c r="C94" t="s">
        <v>609</v>
      </c>
      <c r="D94" t="s">
        <v>69</v>
      </c>
      <c r="E94" t="s">
        <v>610</v>
      </c>
      <c r="F94" t="s">
        <v>611</v>
      </c>
      <c r="G94" t="s">
        <v>612</v>
      </c>
    </row>
    <row r="95" spans="1:7" x14ac:dyDescent="0.3">
      <c r="A95" t="s">
        <v>613</v>
      </c>
      <c r="B95" t="s">
        <v>614</v>
      </c>
      <c r="C95" t="s">
        <v>615</v>
      </c>
      <c r="D95" t="s">
        <v>363</v>
      </c>
      <c r="E95" t="s">
        <v>616</v>
      </c>
      <c r="F95" t="s">
        <v>617</v>
      </c>
      <c r="G95" t="s">
        <v>618</v>
      </c>
    </row>
    <row r="96" spans="1:7" x14ac:dyDescent="0.3">
      <c r="A96" t="s">
        <v>619</v>
      </c>
      <c r="B96" t="s">
        <v>620</v>
      </c>
      <c r="C96" t="s">
        <v>621</v>
      </c>
      <c r="D96" t="s">
        <v>622</v>
      </c>
      <c r="E96" t="s">
        <v>623</v>
      </c>
      <c r="F96" t="s">
        <v>624</v>
      </c>
      <c r="G96" t="s">
        <v>625</v>
      </c>
    </row>
    <row r="97" spans="1:7" x14ac:dyDescent="0.3">
      <c r="A97" t="s">
        <v>626</v>
      </c>
      <c r="B97" t="s">
        <v>627</v>
      </c>
      <c r="C97" t="s">
        <v>628</v>
      </c>
      <c r="D97" t="s">
        <v>30</v>
      </c>
      <c r="E97" t="s">
        <v>629</v>
      </c>
      <c r="F97" t="s">
        <v>630</v>
      </c>
      <c r="G97" t="s">
        <v>631</v>
      </c>
    </row>
    <row r="98" spans="1:7" x14ac:dyDescent="0.3">
      <c r="A98" t="s">
        <v>632</v>
      </c>
      <c r="B98" t="s">
        <v>633</v>
      </c>
      <c r="C98" t="s">
        <v>634</v>
      </c>
      <c r="D98" t="s">
        <v>459</v>
      </c>
      <c r="E98" t="s">
        <v>635</v>
      </c>
      <c r="F98" t="s">
        <v>636</v>
      </c>
      <c r="G98" t="s">
        <v>637</v>
      </c>
    </row>
    <row r="99" spans="1:7" x14ac:dyDescent="0.3">
      <c r="A99" t="s">
        <v>638</v>
      </c>
      <c r="B99" t="s">
        <v>639</v>
      </c>
      <c r="C99" t="s">
        <v>640</v>
      </c>
      <c r="D99" t="s">
        <v>641</v>
      </c>
      <c r="E99" t="s">
        <v>642</v>
      </c>
      <c r="F99" t="s">
        <v>643</v>
      </c>
      <c r="G99" t="s">
        <v>644</v>
      </c>
    </row>
    <row r="100" spans="1:7" x14ac:dyDescent="0.3">
      <c r="A100" t="s">
        <v>645</v>
      </c>
      <c r="B100" t="s">
        <v>646</v>
      </c>
      <c r="C100" t="s">
        <v>647</v>
      </c>
      <c r="D100" t="s">
        <v>648</v>
      </c>
      <c r="E100" t="s">
        <v>649</v>
      </c>
      <c r="F100" t="s">
        <v>650</v>
      </c>
      <c r="G100" t="s">
        <v>651</v>
      </c>
    </row>
    <row r="101" spans="1:7" x14ac:dyDescent="0.3">
      <c r="A101" t="s">
        <v>652</v>
      </c>
      <c r="B101" t="s">
        <v>653</v>
      </c>
      <c r="C101" t="s">
        <v>654</v>
      </c>
      <c r="D101" t="s">
        <v>655</v>
      </c>
      <c r="E101" t="s">
        <v>656</v>
      </c>
      <c r="F101" t="s">
        <v>657</v>
      </c>
      <c r="G101" t="s">
        <v>658</v>
      </c>
    </row>
    <row r="102" spans="1:7" x14ac:dyDescent="0.3">
      <c r="A102" t="s">
        <v>659</v>
      </c>
      <c r="B102" t="s">
        <v>660</v>
      </c>
      <c r="C102" t="s">
        <v>661</v>
      </c>
      <c r="D102" t="s">
        <v>662</v>
      </c>
      <c r="E102" t="s">
        <v>663</v>
      </c>
      <c r="F102" t="s">
        <v>664</v>
      </c>
      <c r="G102" t="s">
        <v>665</v>
      </c>
    </row>
    <row r="103" spans="1:7" x14ac:dyDescent="0.3">
      <c r="A103" t="s">
        <v>666</v>
      </c>
      <c r="B103" t="s">
        <v>667</v>
      </c>
      <c r="C103" t="s">
        <v>668</v>
      </c>
      <c r="D103" t="s">
        <v>669</v>
      </c>
      <c r="E103" t="s">
        <v>670</v>
      </c>
      <c r="F103" t="s">
        <v>671</v>
      </c>
      <c r="G103" t="s">
        <v>672</v>
      </c>
    </row>
    <row r="104" spans="1:7" x14ac:dyDescent="0.3">
      <c r="A104" t="s">
        <v>673</v>
      </c>
      <c r="B104" t="s">
        <v>674</v>
      </c>
      <c r="C104" t="s">
        <v>675</v>
      </c>
      <c r="D104" t="s">
        <v>23</v>
      </c>
      <c r="E104" t="s">
        <v>676</v>
      </c>
      <c r="F104" t="s">
        <v>677</v>
      </c>
      <c r="G104" t="s">
        <v>678</v>
      </c>
    </row>
    <row r="105" spans="1:7" x14ac:dyDescent="0.3">
      <c r="A105" t="s">
        <v>679</v>
      </c>
      <c r="B105" t="s">
        <v>680</v>
      </c>
      <c r="C105" t="s">
        <v>681</v>
      </c>
      <c r="D105" t="s">
        <v>682</v>
      </c>
      <c r="E105" t="s">
        <v>683</v>
      </c>
      <c r="F105" t="s">
        <v>684</v>
      </c>
      <c r="G105" t="s">
        <v>685</v>
      </c>
    </row>
    <row r="106" spans="1:7" x14ac:dyDescent="0.3">
      <c r="A106" t="s">
        <v>686</v>
      </c>
      <c r="B106" t="s">
        <v>687</v>
      </c>
      <c r="C106" t="s">
        <v>688</v>
      </c>
      <c r="D106" t="s">
        <v>363</v>
      </c>
      <c r="E106" t="s">
        <v>689</v>
      </c>
      <c r="F106" t="s">
        <v>690</v>
      </c>
      <c r="G106" t="s">
        <v>691</v>
      </c>
    </row>
    <row r="107" spans="1:7" x14ac:dyDescent="0.3">
      <c r="A107" t="s">
        <v>692</v>
      </c>
      <c r="B107" t="s">
        <v>693</v>
      </c>
      <c r="C107" t="s">
        <v>694</v>
      </c>
      <c r="D107" t="s">
        <v>695</v>
      </c>
      <c r="E107" t="s">
        <v>696</v>
      </c>
      <c r="F107" t="s">
        <v>697</v>
      </c>
      <c r="G107" t="s">
        <v>698</v>
      </c>
    </row>
    <row r="108" spans="1:7" x14ac:dyDescent="0.3">
      <c r="A108" t="s">
        <v>699</v>
      </c>
      <c r="B108" t="s">
        <v>700</v>
      </c>
      <c r="C108" t="s">
        <v>701</v>
      </c>
      <c r="D108" t="s">
        <v>48</v>
      </c>
      <c r="E108" t="s">
        <v>702</v>
      </c>
      <c r="F108" t="s">
        <v>703</v>
      </c>
      <c r="G108" t="s">
        <v>704</v>
      </c>
    </row>
    <row r="109" spans="1:7" x14ac:dyDescent="0.3">
      <c r="A109" t="s">
        <v>705</v>
      </c>
      <c r="B109" t="s">
        <v>706</v>
      </c>
      <c r="C109" t="s">
        <v>707</v>
      </c>
      <c r="D109" t="s">
        <v>708</v>
      </c>
      <c r="E109" t="s">
        <v>709</v>
      </c>
      <c r="F109" t="s">
        <v>710</v>
      </c>
      <c r="G109" t="s">
        <v>711</v>
      </c>
    </row>
    <row r="110" spans="1:7" x14ac:dyDescent="0.3">
      <c r="A110" t="s">
        <v>1</v>
      </c>
      <c r="B110" t="s">
        <v>712</v>
      </c>
      <c r="C110" t="s">
        <v>713</v>
      </c>
      <c r="D110" t="s">
        <v>103</v>
      </c>
      <c r="E110" t="s">
        <v>714</v>
      </c>
      <c r="F110" t="s">
        <v>715</v>
      </c>
      <c r="G110" t="s">
        <v>716</v>
      </c>
    </row>
    <row r="111" spans="1:7" x14ac:dyDescent="0.3">
      <c r="A111" t="s">
        <v>717</v>
      </c>
      <c r="B111" t="s">
        <v>718</v>
      </c>
      <c r="C111" t="s">
        <v>719</v>
      </c>
      <c r="D111" t="s">
        <v>48</v>
      </c>
      <c r="E111" t="s">
        <v>720</v>
      </c>
      <c r="F111" t="s">
        <v>721</v>
      </c>
      <c r="G111" t="s">
        <v>722</v>
      </c>
    </row>
    <row r="112" spans="1:7" x14ac:dyDescent="0.3">
      <c r="A112" t="s">
        <v>723</v>
      </c>
      <c r="B112" t="s">
        <v>724</v>
      </c>
      <c r="C112" t="s">
        <v>725</v>
      </c>
      <c r="D112" t="s">
        <v>726</v>
      </c>
      <c r="E112" t="s">
        <v>727</v>
      </c>
      <c r="F112" t="s">
        <v>728</v>
      </c>
      <c r="G112" t="s">
        <v>729</v>
      </c>
    </row>
    <row r="113" spans="1:7" x14ac:dyDescent="0.3">
      <c r="A113" t="s">
        <v>730</v>
      </c>
      <c r="B113" t="s">
        <v>731</v>
      </c>
      <c r="C113" t="s">
        <v>732</v>
      </c>
      <c r="D113" t="s">
        <v>733</v>
      </c>
      <c r="E113" t="s">
        <v>734</v>
      </c>
      <c r="F113" t="s">
        <v>735</v>
      </c>
      <c r="G113" t="s">
        <v>736</v>
      </c>
    </row>
    <row r="114" spans="1:7" x14ac:dyDescent="0.3">
      <c r="A114" t="s">
        <v>737</v>
      </c>
      <c r="B114" t="s">
        <v>738</v>
      </c>
      <c r="C114" t="s">
        <v>739</v>
      </c>
      <c r="D114" t="s">
        <v>740</v>
      </c>
      <c r="E114" t="s">
        <v>741</v>
      </c>
      <c r="F114" t="s">
        <v>742</v>
      </c>
      <c r="G114" t="s">
        <v>743</v>
      </c>
    </row>
    <row r="115" spans="1:7" x14ac:dyDescent="0.3">
      <c r="A115" t="s">
        <v>744</v>
      </c>
      <c r="B115" t="s">
        <v>745</v>
      </c>
      <c r="C115" t="s">
        <v>746</v>
      </c>
      <c r="D115" t="s">
        <v>69</v>
      </c>
      <c r="E115" t="s">
        <v>747</v>
      </c>
      <c r="F115" t="s">
        <v>748</v>
      </c>
      <c r="G115" t="s">
        <v>749</v>
      </c>
    </row>
    <row r="116" spans="1:7" x14ac:dyDescent="0.3">
      <c r="A116" t="s">
        <v>750</v>
      </c>
      <c r="B116" t="s">
        <v>751</v>
      </c>
      <c r="C116" t="s">
        <v>752</v>
      </c>
      <c r="D116" t="s">
        <v>753</v>
      </c>
      <c r="E116" t="s">
        <v>754</v>
      </c>
      <c r="F116" t="s">
        <v>755</v>
      </c>
      <c r="G116" t="s">
        <v>756</v>
      </c>
    </row>
    <row r="117" spans="1:7" x14ac:dyDescent="0.3">
      <c r="A117" t="s">
        <v>757</v>
      </c>
      <c r="B117" t="s">
        <v>758</v>
      </c>
      <c r="C117" t="s">
        <v>759</v>
      </c>
      <c r="D117" t="s">
        <v>760</v>
      </c>
      <c r="E117" t="s">
        <v>761</v>
      </c>
      <c r="F117" t="s">
        <v>762</v>
      </c>
      <c r="G117" t="s">
        <v>763</v>
      </c>
    </row>
    <row r="118" spans="1:7" x14ac:dyDescent="0.3">
      <c r="A118" t="s">
        <v>764</v>
      </c>
      <c r="B118" t="s">
        <v>765</v>
      </c>
      <c r="C118" t="s">
        <v>766</v>
      </c>
      <c r="D118" t="s">
        <v>459</v>
      </c>
      <c r="E118" t="s">
        <v>767</v>
      </c>
      <c r="F118" t="s">
        <v>768</v>
      </c>
      <c r="G118" t="s">
        <v>559</v>
      </c>
    </row>
    <row r="119" spans="1:7" x14ac:dyDescent="0.3">
      <c r="A119" t="s">
        <v>769</v>
      </c>
      <c r="B119" t="s">
        <v>770</v>
      </c>
      <c r="C119" t="s">
        <v>771</v>
      </c>
      <c r="D119" t="s">
        <v>256</v>
      </c>
      <c r="E119" t="s">
        <v>772</v>
      </c>
      <c r="F119" t="s">
        <v>773</v>
      </c>
      <c r="G119" t="s">
        <v>774</v>
      </c>
    </row>
    <row r="120" spans="1:7" x14ac:dyDescent="0.3">
      <c r="A120" t="s">
        <v>775</v>
      </c>
      <c r="B120" t="s">
        <v>776</v>
      </c>
      <c r="C120" t="s">
        <v>777</v>
      </c>
      <c r="D120" t="s">
        <v>778</v>
      </c>
      <c r="E120" t="s">
        <v>779</v>
      </c>
      <c r="F120" t="s">
        <v>780</v>
      </c>
      <c r="G120" t="s">
        <v>781</v>
      </c>
    </row>
    <row r="121" spans="1:7" x14ac:dyDescent="0.3">
      <c r="A121" t="s">
        <v>782</v>
      </c>
      <c r="B121" t="s">
        <v>783</v>
      </c>
      <c r="C121" t="s">
        <v>784</v>
      </c>
      <c r="D121" t="s">
        <v>785</v>
      </c>
      <c r="E121" t="s">
        <v>786</v>
      </c>
      <c r="F121" t="s">
        <v>787</v>
      </c>
      <c r="G121" t="s">
        <v>788</v>
      </c>
    </row>
    <row r="122" spans="1:7" x14ac:dyDescent="0.3">
      <c r="A122" t="s">
        <v>789</v>
      </c>
      <c r="B122" t="s">
        <v>789</v>
      </c>
      <c r="C122" t="s">
        <v>790</v>
      </c>
      <c r="D122" t="s">
        <v>791</v>
      </c>
      <c r="E122" t="s">
        <v>792</v>
      </c>
      <c r="F122" t="s">
        <v>793</v>
      </c>
      <c r="G122" t="s">
        <v>691</v>
      </c>
    </row>
    <row r="123" spans="1:7" x14ac:dyDescent="0.3">
      <c r="A123" t="s">
        <v>794</v>
      </c>
      <c r="B123" t="s">
        <v>795</v>
      </c>
      <c r="C123" t="s">
        <v>796</v>
      </c>
      <c r="D123" t="s">
        <v>797</v>
      </c>
      <c r="E123" t="s">
        <v>798</v>
      </c>
      <c r="F123" t="s">
        <v>799</v>
      </c>
      <c r="G123" t="s">
        <v>800</v>
      </c>
    </row>
    <row r="124" spans="1:7" x14ac:dyDescent="0.3">
      <c r="A124" t="s">
        <v>801</v>
      </c>
      <c r="B124" t="s">
        <v>802</v>
      </c>
      <c r="C124" t="s">
        <v>803</v>
      </c>
      <c r="D124" t="s">
        <v>117</v>
      </c>
      <c r="E124" t="s">
        <v>804</v>
      </c>
      <c r="F124" t="s">
        <v>805</v>
      </c>
      <c r="G124" t="s">
        <v>806</v>
      </c>
    </row>
    <row r="125" spans="1:7" x14ac:dyDescent="0.3">
      <c r="A125" t="s">
        <v>807</v>
      </c>
      <c r="B125" t="s">
        <v>808</v>
      </c>
      <c r="C125" t="s">
        <v>809</v>
      </c>
      <c r="D125" t="s">
        <v>810</v>
      </c>
      <c r="E125" t="s">
        <v>811</v>
      </c>
      <c r="F125" t="s">
        <v>812</v>
      </c>
      <c r="G125" t="s">
        <v>813</v>
      </c>
    </row>
    <row r="126" spans="1:7" x14ac:dyDescent="0.3">
      <c r="A126" t="s">
        <v>814</v>
      </c>
      <c r="B126" t="s">
        <v>814</v>
      </c>
      <c r="C126" t="s">
        <v>47</v>
      </c>
      <c r="D126" t="s">
        <v>263</v>
      </c>
      <c r="E126" t="s">
        <v>815</v>
      </c>
      <c r="F126" t="s">
        <v>816</v>
      </c>
      <c r="G126" t="s">
        <v>817</v>
      </c>
    </row>
    <row r="127" spans="1:7" x14ac:dyDescent="0.3">
      <c r="A127" t="s">
        <v>818</v>
      </c>
      <c r="B127" t="s">
        <v>819</v>
      </c>
      <c r="C127" t="s">
        <v>820</v>
      </c>
      <c r="D127" t="s">
        <v>256</v>
      </c>
      <c r="E127" t="s">
        <v>821</v>
      </c>
      <c r="F127" t="s">
        <v>822</v>
      </c>
      <c r="G127" t="s">
        <v>823</v>
      </c>
    </row>
    <row r="128" spans="1:7" x14ac:dyDescent="0.3">
      <c r="A128" t="s">
        <v>824</v>
      </c>
      <c r="B128" t="s">
        <v>825</v>
      </c>
      <c r="C128" t="s">
        <v>826</v>
      </c>
      <c r="D128" t="s">
        <v>10</v>
      </c>
      <c r="E128" t="s">
        <v>827</v>
      </c>
      <c r="F128" t="s">
        <v>828</v>
      </c>
      <c r="G128" t="s">
        <v>829</v>
      </c>
    </row>
    <row r="129" spans="1:7" x14ac:dyDescent="0.3">
      <c r="A129" t="s">
        <v>830</v>
      </c>
      <c r="B129" t="s">
        <v>831</v>
      </c>
      <c r="C129" t="s">
        <v>832</v>
      </c>
      <c r="D129" t="s">
        <v>833</v>
      </c>
      <c r="E129" t="s">
        <v>834</v>
      </c>
      <c r="F129" t="s">
        <v>835</v>
      </c>
      <c r="G129" t="s">
        <v>836</v>
      </c>
    </row>
    <row r="130" spans="1:7" x14ac:dyDescent="0.3">
      <c r="A130" t="s">
        <v>837</v>
      </c>
      <c r="B130" t="s">
        <v>838</v>
      </c>
      <c r="C130" t="s">
        <v>839</v>
      </c>
      <c r="D130" t="s">
        <v>576</v>
      </c>
      <c r="E130" t="s">
        <v>840</v>
      </c>
      <c r="F130" t="s">
        <v>841</v>
      </c>
      <c r="G130" t="s">
        <v>842</v>
      </c>
    </row>
    <row r="131" spans="1:7" x14ac:dyDescent="0.3">
      <c r="A131" t="s">
        <v>843</v>
      </c>
      <c r="B131" t="s">
        <v>844</v>
      </c>
      <c r="C131" t="s">
        <v>845</v>
      </c>
      <c r="D131" t="s">
        <v>846</v>
      </c>
      <c r="E131" t="s">
        <v>847</v>
      </c>
      <c r="F131" t="s">
        <v>848</v>
      </c>
      <c r="G131" t="s">
        <v>849</v>
      </c>
    </row>
    <row r="132" spans="1:7" x14ac:dyDescent="0.3">
      <c r="A132" t="s">
        <v>850</v>
      </c>
      <c r="B132" t="s">
        <v>851</v>
      </c>
      <c r="C132" t="s">
        <v>852</v>
      </c>
      <c r="D132" t="s">
        <v>853</v>
      </c>
      <c r="E132" t="s">
        <v>854</v>
      </c>
      <c r="F132" t="s">
        <v>855</v>
      </c>
      <c r="G132" t="s">
        <v>856</v>
      </c>
    </row>
    <row r="133" spans="1:7" x14ac:dyDescent="0.3">
      <c r="A133" t="s">
        <v>857</v>
      </c>
      <c r="B133" t="s">
        <v>858</v>
      </c>
      <c r="C133" t="s">
        <v>859</v>
      </c>
      <c r="D133" t="s">
        <v>860</v>
      </c>
      <c r="E133" t="s">
        <v>861</v>
      </c>
      <c r="F133" t="s">
        <v>862</v>
      </c>
      <c r="G133" t="s">
        <v>863</v>
      </c>
    </row>
    <row r="134" spans="1:7" x14ac:dyDescent="0.3">
      <c r="A134" t="s">
        <v>864</v>
      </c>
      <c r="B134" t="s">
        <v>865</v>
      </c>
      <c r="C134" t="s">
        <v>866</v>
      </c>
      <c r="D134" t="s">
        <v>10</v>
      </c>
      <c r="E134" t="s">
        <v>867</v>
      </c>
      <c r="F134" t="s">
        <v>868</v>
      </c>
      <c r="G134" t="s">
        <v>869</v>
      </c>
    </row>
    <row r="135" spans="1:7" x14ac:dyDescent="0.3">
      <c r="A135" t="s">
        <v>870</v>
      </c>
      <c r="B135" t="s">
        <v>871</v>
      </c>
      <c r="C135" t="s">
        <v>872</v>
      </c>
      <c r="D135" t="s">
        <v>791</v>
      </c>
      <c r="E135" t="s">
        <v>873</v>
      </c>
      <c r="F135" t="s">
        <v>874</v>
      </c>
      <c r="G135" t="s">
        <v>875</v>
      </c>
    </row>
    <row r="136" spans="1:7" x14ac:dyDescent="0.3">
      <c r="A136" t="s">
        <v>876</v>
      </c>
      <c r="B136" t="s">
        <v>877</v>
      </c>
      <c r="C136" t="s">
        <v>878</v>
      </c>
      <c r="D136" t="s">
        <v>879</v>
      </c>
      <c r="E136" t="s">
        <v>880</v>
      </c>
      <c r="F136" t="s">
        <v>881</v>
      </c>
      <c r="G136" t="s">
        <v>882</v>
      </c>
    </row>
    <row r="137" spans="1:7" x14ac:dyDescent="0.3">
      <c r="A137" t="s">
        <v>883</v>
      </c>
      <c r="B137" t="s">
        <v>884</v>
      </c>
      <c r="C137" t="s">
        <v>885</v>
      </c>
      <c r="D137" t="s">
        <v>886</v>
      </c>
      <c r="E137" t="s">
        <v>887</v>
      </c>
      <c r="F137" t="s">
        <v>888</v>
      </c>
      <c r="G137" t="s">
        <v>889</v>
      </c>
    </row>
    <row r="138" spans="1:7" x14ac:dyDescent="0.3">
      <c r="A138" t="s">
        <v>890</v>
      </c>
      <c r="B138" t="s">
        <v>457</v>
      </c>
      <c r="C138" t="s">
        <v>891</v>
      </c>
      <c r="D138" t="s">
        <v>316</v>
      </c>
      <c r="E138" t="s">
        <v>892</v>
      </c>
      <c r="F138" t="s">
        <v>893</v>
      </c>
      <c r="G138" t="s">
        <v>691</v>
      </c>
    </row>
    <row r="139" spans="1:7" x14ac:dyDescent="0.3">
      <c r="A139" t="s">
        <v>894</v>
      </c>
      <c r="B139" t="s">
        <v>895</v>
      </c>
      <c r="C139" t="s">
        <v>896</v>
      </c>
      <c r="D139" t="s">
        <v>349</v>
      </c>
      <c r="E139" t="s">
        <v>897</v>
      </c>
      <c r="F139" t="s">
        <v>898</v>
      </c>
      <c r="G139" t="s">
        <v>899</v>
      </c>
    </row>
    <row r="140" spans="1:7" x14ac:dyDescent="0.3">
      <c r="A140" t="s">
        <v>900</v>
      </c>
      <c r="B140" t="s">
        <v>901</v>
      </c>
      <c r="C140" t="s">
        <v>902</v>
      </c>
      <c r="D140" t="s">
        <v>349</v>
      </c>
      <c r="E140" t="s">
        <v>903</v>
      </c>
      <c r="F140" t="s">
        <v>904</v>
      </c>
      <c r="G140" t="s">
        <v>905</v>
      </c>
    </row>
    <row r="141" spans="1:7" x14ac:dyDescent="0.3">
      <c r="A141" t="s">
        <v>906</v>
      </c>
      <c r="B141" t="s">
        <v>907</v>
      </c>
      <c r="C141" t="s">
        <v>908</v>
      </c>
      <c r="D141" t="s">
        <v>909</v>
      </c>
      <c r="E141" t="s">
        <v>910</v>
      </c>
      <c r="F141" t="s">
        <v>911</v>
      </c>
      <c r="G141" t="s">
        <v>912</v>
      </c>
    </row>
    <row r="142" spans="1:7" x14ac:dyDescent="0.3">
      <c r="A142" t="s">
        <v>913</v>
      </c>
      <c r="B142" t="s">
        <v>914</v>
      </c>
      <c r="C142" t="s">
        <v>915</v>
      </c>
      <c r="D142" t="s">
        <v>916</v>
      </c>
      <c r="E142" t="s">
        <v>917</v>
      </c>
      <c r="F142" t="s">
        <v>918</v>
      </c>
      <c r="G142" t="s">
        <v>919</v>
      </c>
    </row>
    <row r="143" spans="1:7" x14ac:dyDescent="0.3">
      <c r="A143" t="s">
        <v>920</v>
      </c>
      <c r="B143" t="s">
        <v>921</v>
      </c>
      <c r="C143" t="s">
        <v>922</v>
      </c>
      <c r="D143" t="s">
        <v>923</v>
      </c>
      <c r="E143" t="s">
        <v>924</v>
      </c>
      <c r="F143" t="s">
        <v>925</v>
      </c>
      <c r="G143" t="s">
        <v>926</v>
      </c>
    </row>
    <row r="144" spans="1:7" x14ac:dyDescent="0.3">
      <c r="A144" t="s">
        <v>927</v>
      </c>
      <c r="B144" t="s">
        <v>928</v>
      </c>
      <c r="C144" t="s">
        <v>929</v>
      </c>
      <c r="D144" t="s">
        <v>930</v>
      </c>
      <c r="E144" t="s">
        <v>931</v>
      </c>
      <c r="F144" t="s">
        <v>932</v>
      </c>
      <c r="G144" t="s">
        <v>933</v>
      </c>
    </row>
    <row r="145" spans="1:7" x14ac:dyDescent="0.3">
      <c r="A145" t="s">
        <v>934</v>
      </c>
      <c r="B145" t="s">
        <v>935</v>
      </c>
      <c r="C145" t="s">
        <v>936</v>
      </c>
      <c r="D145" t="s">
        <v>30</v>
      </c>
      <c r="E145" t="s">
        <v>937</v>
      </c>
      <c r="F145" t="s">
        <v>938</v>
      </c>
      <c r="G145" t="s">
        <v>939</v>
      </c>
    </row>
    <row r="146" spans="1:7" x14ac:dyDescent="0.3">
      <c r="A146" t="s">
        <v>940</v>
      </c>
      <c r="B146" t="s">
        <v>941</v>
      </c>
      <c r="C146" t="s">
        <v>942</v>
      </c>
      <c r="D146" t="s">
        <v>943</v>
      </c>
      <c r="E146" t="s">
        <v>944</v>
      </c>
      <c r="F146" t="s">
        <v>945</v>
      </c>
      <c r="G146" t="s">
        <v>946</v>
      </c>
    </row>
    <row r="147" spans="1:7" x14ac:dyDescent="0.3">
      <c r="A147" t="s">
        <v>947</v>
      </c>
      <c r="B147" t="s">
        <v>948</v>
      </c>
      <c r="C147" t="s">
        <v>949</v>
      </c>
      <c r="D147" t="s">
        <v>950</v>
      </c>
      <c r="E147" t="s">
        <v>951</v>
      </c>
      <c r="F147" t="s">
        <v>952</v>
      </c>
      <c r="G147" t="s">
        <v>953</v>
      </c>
    </row>
    <row r="148" spans="1:7" x14ac:dyDescent="0.3">
      <c r="A148" t="s">
        <v>954</v>
      </c>
      <c r="B148" t="s">
        <v>955</v>
      </c>
      <c r="C148" t="s">
        <v>956</v>
      </c>
      <c r="D148" t="s">
        <v>957</v>
      </c>
      <c r="E148" t="s">
        <v>958</v>
      </c>
      <c r="F148" t="s">
        <v>959</v>
      </c>
      <c r="G148" t="s">
        <v>960</v>
      </c>
    </row>
    <row r="149" spans="1:7" x14ac:dyDescent="0.3">
      <c r="A149" t="s">
        <v>961</v>
      </c>
      <c r="B149" t="s">
        <v>962</v>
      </c>
      <c r="C149" t="s">
        <v>963</v>
      </c>
      <c r="D149" t="s">
        <v>263</v>
      </c>
      <c r="E149" t="s">
        <v>964</v>
      </c>
      <c r="F149" t="s">
        <v>965</v>
      </c>
      <c r="G149" t="s">
        <v>966</v>
      </c>
    </row>
    <row r="150" spans="1:7" x14ac:dyDescent="0.3">
      <c r="A150" t="s">
        <v>967</v>
      </c>
      <c r="B150" t="s">
        <v>968</v>
      </c>
      <c r="C150" t="s">
        <v>969</v>
      </c>
      <c r="D150" t="s">
        <v>970</v>
      </c>
      <c r="E150" t="s">
        <v>971</v>
      </c>
      <c r="F150" t="s">
        <v>972</v>
      </c>
      <c r="G150" t="s">
        <v>973</v>
      </c>
    </row>
    <row r="151" spans="1:7" x14ac:dyDescent="0.3">
      <c r="A151" t="s">
        <v>974</v>
      </c>
      <c r="B151" t="s">
        <v>975</v>
      </c>
      <c r="C151" t="s">
        <v>575</v>
      </c>
      <c r="D151" t="s">
        <v>30</v>
      </c>
      <c r="E151" t="s">
        <v>976</v>
      </c>
      <c r="F151" t="s">
        <v>977</v>
      </c>
      <c r="G151" t="s">
        <v>978</v>
      </c>
    </row>
    <row r="152" spans="1:7" x14ac:dyDescent="0.3">
      <c r="A152" t="s">
        <v>979</v>
      </c>
      <c r="B152" t="s">
        <v>980</v>
      </c>
      <c r="C152" t="s">
        <v>981</v>
      </c>
      <c r="D152" t="s">
        <v>982</v>
      </c>
      <c r="E152" t="s">
        <v>983</v>
      </c>
      <c r="F152" t="s">
        <v>984</v>
      </c>
      <c r="G152" t="s">
        <v>985</v>
      </c>
    </row>
    <row r="153" spans="1:7" x14ac:dyDescent="0.3">
      <c r="A153" t="s">
        <v>986</v>
      </c>
      <c r="B153" t="s">
        <v>987</v>
      </c>
      <c r="C153" t="s">
        <v>988</v>
      </c>
      <c r="D153" t="s">
        <v>290</v>
      </c>
      <c r="E153" t="s">
        <v>989</v>
      </c>
      <c r="F153" t="s">
        <v>990</v>
      </c>
      <c r="G153" t="s">
        <v>991</v>
      </c>
    </row>
    <row r="154" spans="1:7" x14ac:dyDescent="0.3">
      <c r="A154" t="s">
        <v>992</v>
      </c>
      <c r="B154" t="s">
        <v>993</v>
      </c>
      <c r="C154" t="s">
        <v>994</v>
      </c>
      <c r="D154" t="s">
        <v>171</v>
      </c>
      <c r="E154" t="s">
        <v>995</v>
      </c>
      <c r="F154" t="s">
        <v>996</v>
      </c>
      <c r="G154" t="s">
        <v>997</v>
      </c>
    </row>
    <row r="155" spans="1:7" x14ac:dyDescent="0.3">
      <c r="A155" t="s">
        <v>998</v>
      </c>
      <c r="B155" t="s">
        <v>999</v>
      </c>
      <c r="C155" t="s">
        <v>1000</v>
      </c>
      <c r="D155" t="s">
        <v>1001</v>
      </c>
      <c r="E155" t="s">
        <v>1002</v>
      </c>
      <c r="F155" t="s">
        <v>1003</v>
      </c>
      <c r="G155" t="s">
        <v>1004</v>
      </c>
    </row>
    <row r="156" spans="1:7" x14ac:dyDescent="0.3">
      <c r="A156" t="s">
        <v>1005</v>
      </c>
      <c r="B156" t="s">
        <v>1006</v>
      </c>
      <c r="C156" t="s">
        <v>1007</v>
      </c>
      <c r="D156" t="s">
        <v>62</v>
      </c>
      <c r="E156" t="s">
        <v>1008</v>
      </c>
      <c r="F156" t="s">
        <v>1009</v>
      </c>
      <c r="G156" t="s">
        <v>1010</v>
      </c>
    </row>
    <row r="157" spans="1:7" x14ac:dyDescent="0.3">
      <c r="A157" t="s">
        <v>1011</v>
      </c>
      <c r="B157" t="s">
        <v>1011</v>
      </c>
      <c r="C157" t="s">
        <v>1012</v>
      </c>
      <c r="D157" t="s">
        <v>363</v>
      </c>
      <c r="E157" t="s">
        <v>1013</v>
      </c>
      <c r="F157" t="s">
        <v>1014</v>
      </c>
      <c r="G157" t="s">
        <v>1015</v>
      </c>
    </row>
    <row r="158" spans="1:7" x14ac:dyDescent="0.3">
      <c r="A158" t="s">
        <v>1016</v>
      </c>
      <c r="B158" t="s">
        <v>1016</v>
      </c>
      <c r="C158" t="s">
        <v>1017</v>
      </c>
      <c r="D158" t="s">
        <v>1018</v>
      </c>
      <c r="E158" t="s">
        <v>1019</v>
      </c>
      <c r="F158" t="s">
        <v>1020</v>
      </c>
      <c r="G158" t="s">
        <v>1021</v>
      </c>
    </row>
    <row r="159" spans="1:7" x14ac:dyDescent="0.3">
      <c r="A159" t="s">
        <v>1022</v>
      </c>
      <c r="B159" t="s">
        <v>1023</v>
      </c>
      <c r="C159" t="s">
        <v>1024</v>
      </c>
      <c r="D159" t="s">
        <v>1025</v>
      </c>
      <c r="E159" t="s">
        <v>1026</v>
      </c>
      <c r="F159" t="s">
        <v>1027</v>
      </c>
      <c r="G159" t="s">
        <v>1028</v>
      </c>
    </row>
    <row r="160" spans="1:7" x14ac:dyDescent="0.3">
      <c r="A160" t="s">
        <v>1029</v>
      </c>
      <c r="B160" t="s">
        <v>1030</v>
      </c>
      <c r="C160" t="s">
        <v>1031</v>
      </c>
      <c r="D160" t="s">
        <v>1032</v>
      </c>
      <c r="E160" t="s">
        <v>1033</v>
      </c>
      <c r="F160" t="s">
        <v>1034</v>
      </c>
      <c r="G160" t="s">
        <v>1035</v>
      </c>
    </row>
    <row r="161" spans="1:7" x14ac:dyDescent="0.3">
      <c r="A161" t="s">
        <v>1036</v>
      </c>
      <c r="B161" t="s">
        <v>1037</v>
      </c>
      <c r="C161" t="s">
        <v>1038</v>
      </c>
      <c r="D161" t="s">
        <v>1039</v>
      </c>
      <c r="E161" t="s">
        <v>1040</v>
      </c>
      <c r="F161" t="s">
        <v>1041</v>
      </c>
      <c r="G161" t="s">
        <v>691</v>
      </c>
    </row>
    <row r="162" spans="1:7" x14ac:dyDescent="0.3">
      <c r="A162" t="s">
        <v>1042</v>
      </c>
      <c r="B162" t="s">
        <v>1043</v>
      </c>
      <c r="C162" t="s">
        <v>1044</v>
      </c>
      <c r="D162" t="s">
        <v>576</v>
      </c>
      <c r="E162" t="s">
        <v>1045</v>
      </c>
      <c r="F162" t="s">
        <v>1046</v>
      </c>
      <c r="G162" t="s">
        <v>1047</v>
      </c>
    </row>
    <row r="163" spans="1:7" x14ac:dyDescent="0.3">
      <c r="A163" t="s">
        <v>1048</v>
      </c>
      <c r="B163" t="s">
        <v>1049</v>
      </c>
      <c r="C163" t="s">
        <v>1050</v>
      </c>
      <c r="D163" t="s">
        <v>249</v>
      </c>
      <c r="E163" t="s">
        <v>1051</v>
      </c>
      <c r="F163" t="s">
        <v>1052</v>
      </c>
      <c r="G163" t="s">
        <v>1053</v>
      </c>
    </row>
    <row r="164" spans="1:7" x14ac:dyDescent="0.3">
      <c r="A164" t="s">
        <v>1054</v>
      </c>
      <c r="B164" t="s">
        <v>1055</v>
      </c>
      <c r="C164" t="s">
        <v>1056</v>
      </c>
      <c r="D164" t="s">
        <v>249</v>
      </c>
      <c r="E164" t="s">
        <v>1057</v>
      </c>
      <c r="F164" t="s">
        <v>1058</v>
      </c>
      <c r="G164" t="s">
        <v>1059</v>
      </c>
    </row>
    <row r="165" spans="1:7" x14ac:dyDescent="0.3">
      <c r="A165" t="s">
        <v>1060</v>
      </c>
      <c r="B165" t="s">
        <v>1061</v>
      </c>
      <c r="C165" t="s">
        <v>1062</v>
      </c>
      <c r="D165" t="s">
        <v>1063</v>
      </c>
      <c r="E165" t="s">
        <v>1064</v>
      </c>
      <c r="F165" t="s">
        <v>1065</v>
      </c>
      <c r="G165" t="s">
        <v>1066</v>
      </c>
    </row>
    <row r="166" spans="1:7" x14ac:dyDescent="0.3">
      <c r="A166" t="s">
        <v>1067</v>
      </c>
      <c r="B166" t="s">
        <v>1068</v>
      </c>
      <c r="C166" t="s">
        <v>1069</v>
      </c>
      <c r="D166" t="s">
        <v>1070</v>
      </c>
      <c r="E166" t="s">
        <v>1071</v>
      </c>
      <c r="F166" t="s">
        <v>1072</v>
      </c>
      <c r="G166" t="s">
        <v>1073</v>
      </c>
    </row>
    <row r="167" spans="1:7" x14ac:dyDescent="0.3">
      <c r="A167" t="s">
        <v>1074</v>
      </c>
      <c r="B167" t="s">
        <v>1075</v>
      </c>
      <c r="C167" t="s">
        <v>1076</v>
      </c>
      <c r="D167" t="s">
        <v>124</v>
      </c>
      <c r="E167" t="s">
        <v>1077</v>
      </c>
      <c r="F167" t="s">
        <v>1078</v>
      </c>
      <c r="G167" t="s">
        <v>1079</v>
      </c>
    </row>
    <row r="168" spans="1:7" x14ac:dyDescent="0.3">
      <c r="A168" t="s">
        <v>1080</v>
      </c>
      <c r="B168" t="s">
        <v>1081</v>
      </c>
      <c r="C168" t="s">
        <v>1082</v>
      </c>
      <c r="D168" t="s">
        <v>785</v>
      </c>
      <c r="E168" t="s">
        <v>1083</v>
      </c>
      <c r="F168" t="s">
        <v>1084</v>
      </c>
      <c r="G168" t="s">
        <v>1085</v>
      </c>
    </row>
    <row r="169" spans="1:7" x14ac:dyDescent="0.3">
      <c r="A169" t="s">
        <v>1086</v>
      </c>
      <c r="B169" t="s">
        <v>1087</v>
      </c>
      <c r="C169" t="s">
        <v>1088</v>
      </c>
      <c r="D169" t="s">
        <v>1089</v>
      </c>
      <c r="E169" t="s">
        <v>1090</v>
      </c>
      <c r="F169" t="s">
        <v>1091</v>
      </c>
      <c r="G169" t="s">
        <v>1092</v>
      </c>
    </row>
    <row r="170" spans="1:7" x14ac:dyDescent="0.3">
      <c r="A170" t="s">
        <v>1093</v>
      </c>
      <c r="B170" t="s">
        <v>1094</v>
      </c>
      <c r="C170" t="s">
        <v>1095</v>
      </c>
      <c r="D170" t="s">
        <v>76</v>
      </c>
      <c r="E170" t="s">
        <v>1096</v>
      </c>
      <c r="F170" t="s">
        <v>1097</v>
      </c>
      <c r="G170" t="s">
        <v>1098</v>
      </c>
    </row>
    <row r="171" spans="1:7" x14ac:dyDescent="0.3">
      <c r="A171" t="s">
        <v>1099</v>
      </c>
      <c r="B171" t="s">
        <v>1100</v>
      </c>
      <c r="C171" t="s">
        <v>1101</v>
      </c>
      <c r="D171" t="s">
        <v>110</v>
      </c>
      <c r="E171" t="s">
        <v>1102</v>
      </c>
      <c r="F171" t="s">
        <v>1103</v>
      </c>
      <c r="G171" t="s">
        <v>1104</v>
      </c>
    </row>
    <row r="172" spans="1:7" x14ac:dyDescent="0.3">
      <c r="A172" t="s">
        <v>1105</v>
      </c>
      <c r="B172" t="s">
        <v>1106</v>
      </c>
      <c r="C172" t="s">
        <v>1107</v>
      </c>
      <c r="D172" t="s">
        <v>1108</v>
      </c>
      <c r="E172" t="s">
        <v>1109</v>
      </c>
      <c r="F172" t="s">
        <v>1110</v>
      </c>
      <c r="G172" t="s">
        <v>1111</v>
      </c>
    </row>
    <row r="173" spans="1:7" x14ac:dyDescent="0.3">
      <c r="A173" t="s">
        <v>1112</v>
      </c>
      <c r="B173" t="s">
        <v>1113</v>
      </c>
      <c r="C173" t="s">
        <v>1114</v>
      </c>
      <c r="D173" t="s">
        <v>1115</v>
      </c>
      <c r="E173" t="s">
        <v>1116</v>
      </c>
      <c r="F173" t="s">
        <v>1117</v>
      </c>
      <c r="G173" t="s">
        <v>1118</v>
      </c>
    </row>
    <row r="174" spans="1:7" x14ac:dyDescent="0.3">
      <c r="A174" t="s">
        <v>1119</v>
      </c>
      <c r="B174" t="s">
        <v>1120</v>
      </c>
      <c r="C174" t="s">
        <v>1121</v>
      </c>
      <c r="D174" t="s">
        <v>103</v>
      </c>
      <c r="E174" t="s">
        <v>1122</v>
      </c>
      <c r="F174" t="s">
        <v>1123</v>
      </c>
      <c r="G174" t="s">
        <v>1124</v>
      </c>
    </row>
    <row r="175" spans="1:7" x14ac:dyDescent="0.3">
      <c r="A175" t="s">
        <v>1125</v>
      </c>
      <c r="B175" t="s">
        <v>1126</v>
      </c>
      <c r="C175" t="s">
        <v>1127</v>
      </c>
      <c r="D175" t="s">
        <v>10</v>
      </c>
      <c r="E175" t="s">
        <v>1128</v>
      </c>
      <c r="F175" t="s">
        <v>1129</v>
      </c>
      <c r="G175" t="s">
        <v>1130</v>
      </c>
    </row>
    <row r="176" spans="1:7" x14ac:dyDescent="0.3">
      <c r="A176" t="s">
        <v>1131</v>
      </c>
      <c r="B176" t="s">
        <v>1132</v>
      </c>
      <c r="C176" t="s">
        <v>1133</v>
      </c>
      <c r="D176" t="s">
        <v>150</v>
      </c>
      <c r="E176" t="s">
        <v>1134</v>
      </c>
      <c r="F176" t="s">
        <v>1135</v>
      </c>
      <c r="G176" t="s">
        <v>1136</v>
      </c>
    </row>
    <row r="177" spans="1:7" x14ac:dyDescent="0.3">
      <c r="A177" t="s">
        <v>1137</v>
      </c>
      <c r="B177" t="s">
        <v>1138</v>
      </c>
      <c r="C177" t="s">
        <v>1139</v>
      </c>
      <c r="D177" t="s">
        <v>1140</v>
      </c>
      <c r="E177" t="s">
        <v>1141</v>
      </c>
      <c r="F177" t="s">
        <v>1142</v>
      </c>
      <c r="G177" t="s">
        <v>1143</v>
      </c>
    </row>
    <row r="178" spans="1:7" x14ac:dyDescent="0.3">
      <c r="A178" t="s">
        <v>1144</v>
      </c>
      <c r="B178" t="s">
        <v>1145</v>
      </c>
      <c r="C178" t="s">
        <v>1146</v>
      </c>
      <c r="D178" t="s">
        <v>290</v>
      </c>
      <c r="E178" t="s">
        <v>1147</v>
      </c>
      <c r="F178" t="s">
        <v>1148</v>
      </c>
      <c r="G178" t="s">
        <v>1149</v>
      </c>
    </row>
    <row r="179" spans="1:7" x14ac:dyDescent="0.3">
      <c r="A179" t="s">
        <v>1150</v>
      </c>
      <c r="B179" t="s">
        <v>1151</v>
      </c>
      <c r="C179" t="s">
        <v>1152</v>
      </c>
      <c r="D179" t="s">
        <v>423</v>
      </c>
      <c r="E179" t="s">
        <v>1153</v>
      </c>
      <c r="F179" t="s">
        <v>1154</v>
      </c>
      <c r="G179" t="s">
        <v>1118</v>
      </c>
    </row>
    <row r="180" spans="1:7" x14ac:dyDescent="0.3">
      <c r="A180" t="s">
        <v>1155</v>
      </c>
      <c r="B180" t="s">
        <v>1156</v>
      </c>
      <c r="C180" t="s">
        <v>1157</v>
      </c>
      <c r="D180" t="s">
        <v>48</v>
      </c>
      <c r="E180" t="s">
        <v>1158</v>
      </c>
      <c r="F180" t="s">
        <v>1159</v>
      </c>
      <c r="G180" t="s">
        <v>1160</v>
      </c>
    </row>
    <row r="181" spans="1:7" x14ac:dyDescent="0.3">
      <c r="A181" t="s">
        <v>1161</v>
      </c>
      <c r="B181" t="s">
        <v>1162</v>
      </c>
      <c r="C181" t="s">
        <v>1163</v>
      </c>
      <c r="D181" t="s">
        <v>1164</v>
      </c>
      <c r="E181" t="s">
        <v>1165</v>
      </c>
      <c r="F181" t="s">
        <v>1166</v>
      </c>
      <c r="G181" t="s">
        <v>1167</v>
      </c>
    </row>
    <row r="182" spans="1:7" x14ac:dyDescent="0.3">
      <c r="A182" t="s">
        <v>1168</v>
      </c>
      <c r="B182" t="s">
        <v>1168</v>
      </c>
      <c r="C182" t="s">
        <v>1169</v>
      </c>
      <c r="D182" t="s">
        <v>36</v>
      </c>
      <c r="E182" t="s">
        <v>1170</v>
      </c>
      <c r="F182" t="s">
        <v>1171</v>
      </c>
      <c r="G182" t="s">
        <v>1172</v>
      </c>
    </row>
    <row r="183" spans="1:7" x14ac:dyDescent="0.3">
      <c r="A183" t="s">
        <v>1173</v>
      </c>
      <c r="B183" t="s">
        <v>1174</v>
      </c>
      <c r="C183" t="s">
        <v>1175</v>
      </c>
      <c r="D183" t="s">
        <v>137</v>
      </c>
      <c r="E183" t="s">
        <v>1176</v>
      </c>
      <c r="F183" t="s">
        <v>1177</v>
      </c>
      <c r="G183" t="s">
        <v>1178</v>
      </c>
    </row>
    <row r="184" spans="1:7" x14ac:dyDescent="0.3">
      <c r="A184" t="s">
        <v>1179</v>
      </c>
      <c r="B184" t="s">
        <v>1180</v>
      </c>
      <c r="C184" t="s">
        <v>1181</v>
      </c>
      <c r="D184" t="s">
        <v>62</v>
      </c>
      <c r="E184" t="s">
        <v>1182</v>
      </c>
      <c r="F184" t="s">
        <v>1183</v>
      </c>
      <c r="G184" t="s">
        <v>1184</v>
      </c>
    </row>
    <row r="185" spans="1:7" x14ac:dyDescent="0.3">
      <c r="A185" t="s">
        <v>1185</v>
      </c>
      <c r="B185" t="s">
        <v>1186</v>
      </c>
      <c r="C185" t="s">
        <v>1187</v>
      </c>
      <c r="D185" t="s">
        <v>48</v>
      </c>
      <c r="E185" t="s">
        <v>1188</v>
      </c>
      <c r="F185" t="s">
        <v>1189</v>
      </c>
      <c r="G185" t="s">
        <v>1190</v>
      </c>
    </row>
    <row r="186" spans="1:7" x14ac:dyDescent="0.3">
      <c r="A186" t="s">
        <v>1191</v>
      </c>
      <c r="B186" t="s">
        <v>1192</v>
      </c>
      <c r="C186" t="s">
        <v>1193</v>
      </c>
      <c r="D186" t="s">
        <v>797</v>
      </c>
      <c r="E186" t="s">
        <v>1194</v>
      </c>
      <c r="F186" t="s">
        <v>1195</v>
      </c>
      <c r="G186" t="s">
        <v>1196</v>
      </c>
    </row>
    <row r="187" spans="1:7" x14ac:dyDescent="0.3">
      <c r="A187" t="s">
        <v>1197</v>
      </c>
      <c r="B187" t="s">
        <v>1198</v>
      </c>
      <c r="C187" t="s">
        <v>1199</v>
      </c>
      <c r="D187" t="s">
        <v>199</v>
      </c>
      <c r="E187" t="s">
        <v>1200</v>
      </c>
      <c r="F187" t="s">
        <v>1201</v>
      </c>
      <c r="G187" t="s">
        <v>1202</v>
      </c>
    </row>
    <row r="188" spans="1:7" x14ac:dyDescent="0.3">
      <c r="A188" t="s">
        <v>1203</v>
      </c>
      <c r="B188" t="s">
        <v>1204</v>
      </c>
      <c r="C188" t="s">
        <v>1205</v>
      </c>
      <c r="D188" t="s">
        <v>1206</v>
      </c>
      <c r="E188" t="s">
        <v>1207</v>
      </c>
      <c r="F188" t="s">
        <v>1208</v>
      </c>
      <c r="G188" t="s">
        <v>1209</v>
      </c>
    </row>
    <row r="189" spans="1:7" x14ac:dyDescent="0.3">
      <c r="A189" t="s">
        <v>1210</v>
      </c>
      <c r="B189" t="s">
        <v>1211</v>
      </c>
      <c r="C189" t="s">
        <v>1212</v>
      </c>
      <c r="D189" t="s">
        <v>1213</v>
      </c>
      <c r="E189" t="s">
        <v>1214</v>
      </c>
      <c r="F189" t="s">
        <v>1215</v>
      </c>
      <c r="G189" t="s">
        <v>1216</v>
      </c>
    </row>
    <row r="190" spans="1:7" x14ac:dyDescent="0.3">
      <c r="A190" t="s">
        <v>1217</v>
      </c>
      <c r="B190" t="s">
        <v>1218</v>
      </c>
      <c r="C190" t="s">
        <v>1219</v>
      </c>
      <c r="D190" t="s">
        <v>488</v>
      </c>
      <c r="E190" t="s">
        <v>1220</v>
      </c>
      <c r="F190" t="s">
        <v>1221</v>
      </c>
      <c r="G190" t="s">
        <v>1222</v>
      </c>
    </row>
    <row r="191" spans="1:7" x14ac:dyDescent="0.3">
      <c r="A191" t="s">
        <v>1223</v>
      </c>
      <c r="B191" t="s">
        <v>1224</v>
      </c>
      <c r="C191" t="s">
        <v>1225</v>
      </c>
      <c r="D191" t="s">
        <v>1226</v>
      </c>
      <c r="E191" t="s">
        <v>1227</v>
      </c>
      <c r="F191" t="s">
        <v>1228</v>
      </c>
      <c r="G191" t="s">
        <v>1229</v>
      </c>
    </row>
    <row r="192" spans="1:7" x14ac:dyDescent="0.3">
      <c r="A192" t="s">
        <v>1230</v>
      </c>
      <c r="B192" t="s">
        <v>1231</v>
      </c>
      <c r="C192" t="s">
        <v>1232</v>
      </c>
      <c r="D192" t="s">
        <v>1233</v>
      </c>
      <c r="E192" t="s">
        <v>1234</v>
      </c>
      <c r="F192" t="s">
        <v>1235</v>
      </c>
      <c r="G192" t="s">
        <v>1236</v>
      </c>
    </row>
    <row r="193" spans="1:7" x14ac:dyDescent="0.3">
      <c r="A193" t="s">
        <v>1237</v>
      </c>
      <c r="B193" t="s">
        <v>1238</v>
      </c>
      <c r="C193" t="s">
        <v>1239</v>
      </c>
      <c r="D193" t="s">
        <v>1240</v>
      </c>
      <c r="E193" t="s">
        <v>1241</v>
      </c>
      <c r="F193" t="s">
        <v>1242</v>
      </c>
      <c r="G193" t="s">
        <v>1243</v>
      </c>
    </row>
    <row r="194" spans="1:7" x14ac:dyDescent="0.3">
      <c r="A194" t="s">
        <v>1244</v>
      </c>
      <c r="B194" t="s">
        <v>1245</v>
      </c>
      <c r="C194" t="s">
        <v>1246</v>
      </c>
      <c r="D194" t="s">
        <v>243</v>
      </c>
      <c r="E194" t="s">
        <v>1247</v>
      </c>
      <c r="F194" t="s">
        <v>1248</v>
      </c>
      <c r="G194" t="s">
        <v>1249</v>
      </c>
    </row>
    <row r="195" spans="1:7" x14ac:dyDescent="0.3">
      <c r="A195" t="s">
        <v>1250</v>
      </c>
      <c r="B195" t="s">
        <v>1251</v>
      </c>
      <c r="C195" t="s">
        <v>1252</v>
      </c>
      <c r="D195" t="s">
        <v>164</v>
      </c>
      <c r="E195" t="s">
        <v>1253</v>
      </c>
      <c r="F195" t="s">
        <v>1254</v>
      </c>
      <c r="G195" t="s">
        <v>1255</v>
      </c>
    </row>
    <row r="196" spans="1:7" x14ac:dyDescent="0.3">
      <c r="A196" t="s">
        <v>1256</v>
      </c>
      <c r="B196" t="s">
        <v>1257</v>
      </c>
      <c r="C196" t="s">
        <v>1258</v>
      </c>
      <c r="D196" t="s">
        <v>1206</v>
      </c>
      <c r="E196" t="s">
        <v>1259</v>
      </c>
      <c r="F196" t="s">
        <v>1260</v>
      </c>
      <c r="G196" t="s">
        <v>1261</v>
      </c>
    </row>
    <row r="197" spans="1:7" x14ac:dyDescent="0.3">
      <c r="A197" t="s">
        <v>1262</v>
      </c>
      <c r="B197" t="s">
        <v>1262</v>
      </c>
      <c r="C197" t="s">
        <v>1263</v>
      </c>
      <c r="D197" t="s">
        <v>143</v>
      </c>
      <c r="E197" t="s">
        <v>1264</v>
      </c>
      <c r="F197" t="s">
        <v>1265</v>
      </c>
      <c r="G197" t="s">
        <v>1266</v>
      </c>
    </row>
    <row r="198" spans="1:7" x14ac:dyDescent="0.3">
      <c r="A198" t="s">
        <v>1267</v>
      </c>
      <c r="B198" t="s">
        <v>1268</v>
      </c>
      <c r="C198" t="s">
        <v>1269</v>
      </c>
      <c r="D198" t="s">
        <v>1270</v>
      </c>
      <c r="E198" t="s">
        <v>1271</v>
      </c>
      <c r="F198" t="s">
        <v>1272</v>
      </c>
      <c r="G198" t="s">
        <v>1273</v>
      </c>
    </row>
    <row r="199" spans="1:7" x14ac:dyDescent="0.3">
      <c r="A199" t="s">
        <v>1274</v>
      </c>
      <c r="B199" t="s">
        <v>1275</v>
      </c>
      <c r="C199" t="s">
        <v>1276</v>
      </c>
      <c r="D199" t="s">
        <v>1277</v>
      </c>
      <c r="E199" t="s">
        <v>1278</v>
      </c>
      <c r="F199" t="s">
        <v>1279</v>
      </c>
      <c r="G199" t="s">
        <v>1280</v>
      </c>
    </row>
    <row r="200" spans="1:7" x14ac:dyDescent="0.3">
      <c r="A200" t="s">
        <v>1281</v>
      </c>
      <c r="B200" t="s">
        <v>1282</v>
      </c>
      <c r="C200" t="s">
        <v>1283</v>
      </c>
      <c r="D200" t="s">
        <v>290</v>
      </c>
      <c r="E200" t="s">
        <v>1284</v>
      </c>
      <c r="F200" t="s">
        <v>1285</v>
      </c>
      <c r="G200" t="s">
        <v>1286</v>
      </c>
    </row>
    <row r="201" spans="1:7" x14ac:dyDescent="0.3">
      <c r="A201" t="s">
        <v>1287</v>
      </c>
      <c r="B201" t="s">
        <v>1288</v>
      </c>
      <c r="C201" t="s">
        <v>1289</v>
      </c>
      <c r="D201" t="s">
        <v>48</v>
      </c>
      <c r="E201" t="s">
        <v>1290</v>
      </c>
      <c r="F201" t="s">
        <v>1159</v>
      </c>
      <c r="G201" t="s">
        <v>1291</v>
      </c>
    </row>
    <row r="202" spans="1:7" x14ac:dyDescent="0.3">
      <c r="A202" t="s">
        <v>1292</v>
      </c>
      <c r="B202" t="s">
        <v>1293</v>
      </c>
      <c r="C202" t="s">
        <v>1294</v>
      </c>
      <c r="D202" t="s">
        <v>1295</v>
      </c>
      <c r="E202" t="s">
        <v>1296</v>
      </c>
      <c r="F202" t="s">
        <v>1297</v>
      </c>
      <c r="G202" t="s">
        <v>1298</v>
      </c>
    </row>
    <row r="203" spans="1:7" x14ac:dyDescent="0.3">
      <c r="A203" t="s">
        <v>1299</v>
      </c>
      <c r="B203" t="s">
        <v>1300</v>
      </c>
      <c r="C203" t="s">
        <v>1301</v>
      </c>
      <c r="D203" t="s">
        <v>157</v>
      </c>
      <c r="E203" t="s">
        <v>1302</v>
      </c>
      <c r="F203" t="s">
        <v>1303</v>
      </c>
      <c r="G203" t="s">
        <v>691</v>
      </c>
    </row>
    <row r="204" spans="1:7" x14ac:dyDescent="0.3">
      <c r="A204" t="s">
        <v>1304</v>
      </c>
      <c r="B204" t="s">
        <v>1305</v>
      </c>
      <c r="C204" t="s">
        <v>1306</v>
      </c>
      <c r="D204" t="s">
        <v>1307</v>
      </c>
      <c r="E204" t="s">
        <v>1308</v>
      </c>
      <c r="F204" t="s">
        <v>1309</v>
      </c>
      <c r="G204" t="s">
        <v>1310</v>
      </c>
    </row>
    <row r="205" spans="1:7" x14ac:dyDescent="0.3">
      <c r="A205" t="s">
        <v>1311</v>
      </c>
      <c r="B205" t="s">
        <v>1312</v>
      </c>
      <c r="C205" t="s">
        <v>1313</v>
      </c>
      <c r="D205" t="s">
        <v>797</v>
      </c>
      <c r="E205" t="s">
        <v>1314</v>
      </c>
      <c r="F205" t="s">
        <v>1315</v>
      </c>
      <c r="G205" t="s">
        <v>1316</v>
      </c>
    </row>
    <row r="206" spans="1:7" x14ac:dyDescent="0.3">
      <c r="A206" t="s">
        <v>1317</v>
      </c>
      <c r="B206" t="s">
        <v>1318</v>
      </c>
      <c r="C206" t="s">
        <v>1319</v>
      </c>
      <c r="D206" t="s">
        <v>1320</v>
      </c>
      <c r="E206" t="s">
        <v>1321</v>
      </c>
      <c r="F206" t="s">
        <v>1322</v>
      </c>
      <c r="G206" t="s">
        <v>1323</v>
      </c>
    </row>
    <row r="207" spans="1:7" x14ac:dyDescent="0.3">
      <c r="A207" t="s">
        <v>1324</v>
      </c>
      <c r="B207" t="s">
        <v>1325</v>
      </c>
      <c r="C207" t="s">
        <v>1326</v>
      </c>
      <c r="D207" t="s">
        <v>879</v>
      </c>
      <c r="E207" t="s">
        <v>1327</v>
      </c>
      <c r="F207" t="s">
        <v>1328</v>
      </c>
      <c r="G207" t="s">
        <v>1329</v>
      </c>
    </row>
    <row r="208" spans="1:7" x14ac:dyDescent="0.3">
      <c r="A208" t="s">
        <v>1330</v>
      </c>
      <c r="B208" t="s">
        <v>1331</v>
      </c>
      <c r="C208" t="s">
        <v>1332</v>
      </c>
      <c r="D208" t="s">
        <v>206</v>
      </c>
      <c r="E208" t="s">
        <v>1333</v>
      </c>
      <c r="F208" t="s">
        <v>1334</v>
      </c>
      <c r="G208" t="s">
        <v>1335</v>
      </c>
    </row>
    <row r="209" spans="1:7" x14ac:dyDescent="0.3">
      <c r="A209" t="s">
        <v>1336</v>
      </c>
      <c r="B209" t="s">
        <v>1337</v>
      </c>
      <c r="C209" t="s">
        <v>1338</v>
      </c>
      <c r="D209" t="s">
        <v>1339</v>
      </c>
      <c r="E209" t="s">
        <v>1340</v>
      </c>
      <c r="F209" t="s">
        <v>1341</v>
      </c>
      <c r="G209" t="s">
        <v>1342</v>
      </c>
    </row>
    <row r="210" spans="1:7" x14ac:dyDescent="0.3">
      <c r="A210" t="s">
        <v>1343</v>
      </c>
      <c r="B210" t="s">
        <v>1343</v>
      </c>
      <c r="C210" t="s">
        <v>1344</v>
      </c>
      <c r="D210" t="s">
        <v>48</v>
      </c>
      <c r="E210" t="s">
        <v>1345</v>
      </c>
      <c r="F210" t="s">
        <v>1159</v>
      </c>
      <c r="G210" t="s">
        <v>1346</v>
      </c>
    </row>
    <row r="211" spans="1:7" x14ac:dyDescent="0.3">
      <c r="A211" t="s">
        <v>1347</v>
      </c>
      <c r="B211" t="s">
        <v>1348</v>
      </c>
      <c r="C211" t="s">
        <v>1349</v>
      </c>
      <c r="D211" t="s">
        <v>1140</v>
      </c>
      <c r="E211" t="s">
        <v>1350</v>
      </c>
      <c r="F211" t="s">
        <v>1351</v>
      </c>
      <c r="G211" t="s">
        <v>1352</v>
      </c>
    </row>
    <row r="212" spans="1:7" x14ac:dyDescent="0.3">
      <c r="A212" t="s">
        <v>1353</v>
      </c>
      <c r="B212" t="s">
        <v>1354</v>
      </c>
      <c r="C212" t="s">
        <v>1355</v>
      </c>
      <c r="D212" t="s">
        <v>1356</v>
      </c>
      <c r="E212" t="s">
        <v>1357</v>
      </c>
      <c r="F212" t="s">
        <v>1358</v>
      </c>
      <c r="G212" t="s">
        <v>1359</v>
      </c>
    </row>
    <row r="213" spans="1:7" x14ac:dyDescent="0.3">
      <c r="A213" t="s">
        <v>1360</v>
      </c>
      <c r="B213" t="s">
        <v>1361</v>
      </c>
      <c r="C213" t="s">
        <v>1362</v>
      </c>
      <c r="D213" t="s">
        <v>1363</v>
      </c>
      <c r="E213" t="s">
        <v>1364</v>
      </c>
      <c r="F213" t="s">
        <v>1365</v>
      </c>
      <c r="G213" t="s">
        <v>1366</v>
      </c>
    </row>
    <row r="214" spans="1:7" x14ac:dyDescent="0.3">
      <c r="A214" t="s">
        <v>1367</v>
      </c>
      <c r="B214" t="s">
        <v>1368</v>
      </c>
      <c r="C214" t="s">
        <v>1369</v>
      </c>
      <c r="D214" t="s">
        <v>36</v>
      </c>
      <c r="E214" t="s">
        <v>1370</v>
      </c>
      <c r="F214" t="s">
        <v>1371</v>
      </c>
      <c r="G214" t="s">
        <v>1372</v>
      </c>
    </row>
    <row r="215" spans="1:7" x14ac:dyDescent="0.3">
      <c r="A215" t="s">
        <v>1373</v>
      </c>
      <c r="B215" t="s">
        <v>1374</v>
      </c>
      <c r="C215" t="s">
        <v>1375</v>
      </c>
      <c r="D215" t="s">
        <v>343</v>
      </c>
      <c r="E215" t="s">
        <v>1376</v>
      </c>
      <c r="F215" t="s">
        <v>1377</v>
      </c>
      <c r="G215" t="s">
        <v>1378</v>
      </c>
    </row>
    <row r="216" spans="1:7" x14ac:dyDescent="0.3">
      <c r="A216" t="s">
        <v>1379</v>
      </c>
      <c r="B216" t="s">
        <v>1380</v>
      </c>
      <c r="C216" t="s">
        <v>1381</v>
      </c>
      <c r="D216" t="s">
        <v>1382</v>
      </c>
      <c r="E216" t="s">
        <v>1383</v>
      </c>
      <c r="F216" t="s">
        <v>1384</v>
      </c>
      <c r="G216" t="s">
        <v>1385</v>
      </c>
    </row>
    <row r="217" spans="1:7" x14ac:dyDescent="0.3">
      <c r="A217" t="s">
        <v>1386</v>
      </c>
      <c r="B217" t="s">
        <v>1387</v>
      </c>
      <c r="C217" t="s">
        <v>1388</v>
      </c>
      <c r="D217" t="s">
        <v>192</v>
      </c>
      <c r="E217" t="s">
        <v>1389</v>
      </c>
      <c r="F217" t="s">
        <v>1390</v>
      </c>
      <c r="G217" t="s">
        <v>1391</v>
      </c>
    </row>
    <row r="218" spans="1:7" x14ac:dyDescent="0.3">
      <c r="A218" t="s">
        <v>1392</v>
      </c>
      <c r="B218" t="s">
        <v>1393</v>
      </c>
      <c r="C218" t="s">
        <v>1394</v>
      </c>
      <c r="D218" t="s">
        <v>1395</v>
      </c>
      <c r="E218" t="s">
        <v>1396</v>
      </c>
      <c r="F218" t="s">
        <v>1397</v>
      </c>
      <c r="G218" t="s">
        <v>1398</v>
      </c>
    </row>
    <row r="219" spans="1:7" x14ac:dyDescent="0.3">
      <c r="A219" t="s">
        <v>1399</v>
      </c>
      <c r="B219" t="s">
        <v>1400</v>
      </c>
      <c r="C219" t="s">
        <v>1401</v>
      </c>
      <c r="D219" t="s">
        <v>1402</v>
      </c>
      <c r="E219" t="s">
        <v>1403</v>
      </c>
      <c r="F219" t="s">
        <v>1404</v>
      </c>
      <c r="G219" t="s">
        <v>1405</v>
      </c>
    </row>
    <row r="220" spans="1:7" x14ac:dyDescent="0.3">
      <c r="A220" t="s">
        <v>1406</v>
      </c>
      <c r="B220" t="s">
        <v>1407</v>
      </c>
      <c r="C220" t="s">
        <v>1408</v>
      </c>
      <c r="D220" t="s">
        <v>343</v>
      </c>
      <c r="E220" t="s">
        <v>1409</v>
      </c>
      <c r="F220" t="s">
        <v>1410</v>
      </c>
      <c r="G220" t="s">
        <v>1411</v>
      </c>
    </row>
    <row r="221" spans="1:7" x14ac:dyDescent="0.3">
      <c r="A221" t="s">
        <v>1412</v>
      </c>
      <c r="B221" t="s">
        <v>1413</v>
      </c>
      <c r="C221" t="s">
        <v>1414</v>
      </c>
      <c r="D221" t="s">
        <v>1415</v>
      </c>
      <c r="E221" t="s">
        <v>1416</v>
      </c>
      <c r="F221" t="s">
        <v>1417</v>
      </c>
      <c r="G221" t="s">
        <v>691</v>
      </c>
    </row>
    <row r="222" spans="1:7" x14ac:dyDescent="0.3">
      <c r="A222" t="s">
        <v>1418</v>
      </c>
      <c r="B222" t="s">
        <v>1419</v>
      </c>
      <c r="C222" t="s">
        <v>1420</v>
      </c>
      <c r="D222" t="s">
        <v>62</v>
      </c>
      <c r="E222" t="s">
        <v>1421</v>
      </c>
      <c r="F222" t="s">
        <v>1422</v>
      </c>
      <c r="G222" t="s">
        <v>1423</v>
      </c>
    </row>
    <row r="223" spans="1:7" x14ac:dyDescent="0.3">
      <c r="A223" t="s">
        <v>1424</v>
      </c>
      <c r="B223" t="s">
        <v>1425</v>
      </c>
      <c r="C223" t="s">
        <v>1426</v>
      </c>
      <c r="D223" t="s">
        <v>760</v>
      </c>
      <c r="E223" t="s">
        <v>1427</v>
      </c>
      <c r="F223" t="s">
        <v>1428</v>
      </c>
      <c r="G223" t="s">
        <v>1429</v>
      </c>
    </row>
    <row r="224" spans="1:7" x14ac:dyDescent="0.3">
      <c r="A224" t="s">
        <v>1430</v>
      </c>
      <c r="B224" t="s">
        <v>1430</v>
      </c>
      <c r="C224" t="s">
        <v>1431</v>
      </c>
      <c r="D224" t="s">
        <v>391</v>
      </c>
      <c r="E224" t="s">
        <v>1432</v>
      </c>
      <c r="F224" t="s">
        <v>1433</v>
      </c>
      <c r="G224" t="s">
        <v>1434</v>
      </c>
    </row>
    <row r="225" spans="1:7" x14ac:dyDescent="0.3">
      <c r="A225" t="s">
        <v>1435</v>
      </c>
      <c r="B225" t="s">
        <v>1436</v>
      </c>
      <c r="C225" t="s">
        <v>1437</v>
      </c>
      <c r="D225" t="s">
        <v>1438</v>
      </c>
      <c r="E225" t="s">
        <v>1439</v>
      </c>
      <c r="F225" t="s">
        <v>1440</v>
      </c>
      <c r="G225" t="s">
        <v>1441</v>
      </c>
    </row>
    <row r="226" spans="1:7" x14ac:dyDescent="0.3">
      <c r="A226" t="s">
        <v>1442</v>
      </c>
      <c r="B226" t="s">
        <v>1443</v>
      </c>
      <c r="C226" t="s">
        <v>1444</v>
      </c>
      <c r="D226" t="s">
        <v>1025</v>
      </c>
      <c r="E226" t="s">
        <v>1445</v>
      </c>
      <c r="F226" t="s">
        <v>1446</v>
      </c>
      <c r="G226" t="s">
        <v>1447</v>
      </c>
    </row>
    <row r="227" spans="1:7" x14ac:dyDescent="0.3">
      <c r="A227" t="s">
        <v>1448</v>
      </c>
      <c r="B227" t="s">
        <v>1449</v>
      </c>
      <c r="C227" t="s">
        <v>1450</v>
      </c>
      <c r="D227" t="s">
        <v>1277</v>
      </c>
      <c r="E227" t="s">
        <v>1451</v>
      </c>
      <c r="F227" t="s">
        <v>1452</v>
      </c>
      <c r="G227" t="s">
        <v>1453</v>
      </c>
    </row>
    <row r="228" spans="1:7" x14ac:dyDescent="0.3">
      <c r="A228" t="s">
        <v>1454</v>
      </c>
      <c r="B228" t="s">
        <v>1455</v>
      </c>
      <c r="C228" t="s">
        <v>1456</v>
      </c>
      <c r="D228" t="s">
        <v>62</v>
      </c>
      <c r="E228" t="s">
        <v>1457</v>
      </c>
      <c r="F228" t="s">
        <v>1458</v>
      </c>
      <c r="G228" t="s">
        <v>1459</v>
      </c>
    </row>
    <row r="229" spans="1:7" x14ac:dyDescent="0.3">
      <c r="A229" t="s">
        <v>1460</v>
      </c>
      <c r="B229" t="s">
        <v>1461</v>
      </c>
      <c r="C229" t="s">
        <v>1462</v>
      </c>
      <c r="D229" t="s">
        <v>1206</v>
      </c>
      <c r="E229" t="s">
        <v>1463</v>
      </c>
      <c r="F229" t="s">
        <v>1464</v>
      </c>
      <c r="G229" t="s">
        <v>1465</v>
      </c>
    </row>
    <row r="230" spans="1:7" x14ac:dyDescent="0.3">
      <c r="A230" t="s">
        <v>1466</v>
      </c>
      <c r="B230" t="s">
        <v>1467</v>
      </c>
      <c r="C230" t="s">
        <v>1468</v>
      </c>
      <c r="D230" t="s">
        <v>583</v>
      </c>
      <c r="E230" t="s">
        <v>1469</v>
      </c>
      <c r="F230" t="s">
        <v>1470</v>
      </c>
      <c r="G230" t="s">
        <v>1471</v>
      </c>
    </row>
    <row r="231" spans="1:7" x14ac:dyDescent="0.3">
      <c r="A231" t="s">
        <v>1472</v>
      </c>
      <c r="B231" t="s">
        <v>1472</v>
      </c>
      <c r="C231" t="s">
        <v>1473</v>
      </c>
      <c r="D231" t="s">
        <v>48</v>
      </c>
      <c r="E231" t="s">
        <v>1474</v>
      </c>
      <c r="F231" t="s">
        <v>1159</v>
      </c>
      <c r="G231" t="s">
        <v>1475</v>
      </c>
    </row>
    <row r="232" spans="1:7" x14ac:dyDescent="0.3">
      <c r="A232" t="s">
        <v>1476</v>
      </c>
      <c r="B232" t="s">
        <v>1477</v>
      </c>
      <c r="C232" t="s">
        <v>1478</v>
      </c>
      <c r="D232" t="s">
        <v>110</v>
      </c>
      <c r="E232" t="s">
        <v>1479</v>
      </c>
      <c r="F232" t="s">
        <v>1480</v>
      </c>
      <c r="G232" t="s">
        <v>1481</v>
      </c>
    </row>
    <row r="233" spans="1:7" x14ac:dyDescent="0.3">
      <c r="A233" t="s">
        <v>1482</v>
      </c>
      <c r="B233" t="s">
        <v>1483</v>
      </c>
      <c r="C233" t="s">
        <v>1484</v>
      </c>
      <c r="D233" t="s">
        <v>1485</v>
      </c>
      <c r="E233" t="s">
        <v>1486</v>
      </c>
      <c r="F233" t="s">
        <v>1487</v>
      </c>
      <c r="G233" t="s">
        <v>1488</v>
      </c>
    </row>
    <row r="234" spans="1:7" x14ac:dyDescent="0.3">
      <c r="A234" t="s">
        <v>1489</v>
      </c>
      <c r="B234" t="s">
        <v>1490</v>
      </c>
      <c r="C234" t="s">
        <v>1491</v>
      </c>
      <c r="D234" t="s">
        <v>83</v>
      </c>
      <c r="E234" t="s">
        <v>1492</v>
      </c>
      <c r="F234" t="s">
        <v>1493</v>
      </c>
      <c r="G234" t="s">
        <v>579</v>
      </c>
    </row>
    <row r="235" spans="1:7" x14ac:dyDescent="0.3">
      <c r="A235" t="s">
        <v>1494</v>
      </c>
      <c r="B235" t="s">
        <v>1495</v>
      </c>
      <c r="C235" t="s">
        <v>1496</v>
      </c>
      <c r="D235" t="s">
        <v>69</v>
      </c>
      <c r="E235" t="s">
        <v>1497</v>
      </c>
      <c r="F235" t="s">
        <v>1498</v>
      </c>
      <c r="G235" t="s">
        <v>1499</v>
      </c>
    </row>
    <row r="236" spans="1:7" x14ac:dyDescent="0.3">
      <c r="A236" t="s">
        <v>1500</v>
      </c>
      <c r="B236" t="s">
        <v>1501</v>
      </c>
      <c r="C236" t="s">
        <v>1502</v>
      </c>
      <c r="D236" t="s">
        <v>1503</v>
      </c>
      <c r="E236" t="s">
        <v>1504</v>
      </c>
      <c r="F236" t="s">
        <v>1505</v>
      </c>
      <c r="G236" t="s">
        <v>1506</v>
      </c>
    </row>
    <row r="237" spans="1:7" x14ac:dyDescent="0.3">
      <c r="A237" t="s">
        <v>1507</v>
      </c>
      <c r="B237" t="s">
        <v>1508</v>
      </c>
      <c r="C237" t="s">
        <v>1509</v>
      </c>
      <c r="D237" t="s">
        <v>1510</v>
      </c>
      <c r="E237" t="s">
        <v>1511</v>
      </c>
      <c r="F237" t="s">
        <v>1512</v>
      </c>
      <c r="G237" t="s">
        <v>1513</v>
      </c>
    </row>
    <row r="238" spans="1:7" x14ac:dyDescent="0.3">
      <c r="A238" t="s">
        <v>1514</v>
      </c>
      <c r="B238" t="s">
        <v>1515</v>
      </c>
      <c r="C238" t="s">
        <v>1516</v>
      </c>
      <c r="D238" t="s">
        <v>1517</v>
      </c>
      <c r="E238" t="s">
        <v>1518</v>
      </c>
      <c r="F238" t="s">
        <v>1519</v>
      </c>
      <c r="G238" t="s">
        <v>1520</v>
      </c>
    </row>
    <row r="239" spans="1:7" x14ac:dyDescent="0.3">
      <c r="A239" t="s">
        <v>1521</v>
      </c>
      <c r="B239" t="s">
        <v>1522</v>
      </c>
      <c r="C239" t="s">
        <v>1523</v>
      </c>
      <c r="D239" t="s">
        <v>10</v>
      </c>
      <c r="E239" t="s">
        <v>1524</v>
      </c>
      <c r="F239" t="s">
        <v>1525</v>
      </c>
      <c r="G239" t="s">
        <v>1526</v>
      </c>
    </row>
    <row r="240" spans="1:7" x14ac:dyDescent="0.3">
      <c r="A240" t="s">
        <v>1527</v>
      </c>
      <c r="B240" t="s">
        <v>1528</v>
      </c>
      <c r="C240" t="s">
        <v>1529</v>
      </c>
      <c r="D240" t="s">
        <v>669</v>
      </c>
      <c r="E240" t="s">
        <v>1530</v>
      </c>
      <c r="F240" t="s">
        <v>1531</v>
      </c>
      <c r="G240" t="s">
        <v>1532</v>
      </c>
    </row>
    <row r="241" spans="1:7" x14ac:dyDescent="0.3">
      <c r="A241" t="s">
        <v>1533</v>
      </c>
      <c r="B241" t="s">
        <v>1534</v>
      </c>
      <c r="C241" t="s">
        <v>1535</v>
      </c>
      <c r="D241" t="s">
        <v>1536</v>
      </c>
      <c r="E241" t="s">
        <v>1537</v>
      </c>
      <c r="F241" t="s">
        <v>1538</v>
      </c>
      <c r="G241" t="s">
        <v>1539</v>
      </c>
    </row>
    <row r="242" spans="1:7" x14ac:dyDescent="0.3">
      <c r="A242" t="s">
        <v>1540</v>
      </c>
      <c r="B242" t="s">
        <v>1541</v>
      </c>
      <c r="C242" t="s">
        <v>1542</v>
      </c>
      <c r="D242" t="s">
        <v>256</v>
      </c>
      <c r="E242" t="s">
        <v>1543</v>
      </c>
      <c r="F242" t="s">
        <v>1544</v>
      </c>
      <c r="G242" t="s">
        <v>1545</v>
      </c>
    </row>
    <row r="243" spans="1:7" x14ac:dyDescent="0.3">
      <c r="A243" t="s">
        <v>1546</v>
      </c>
      <c r="B243" t="s">
        <v>1547</v>
      </c>
      <c r="C243" t="s">
        <v>1548</v>
      </c>
      <c r="D243" t="s">
        <v>249</v>
      </c>
      <c r="E243" t="s">
        <v>1549</v>
      </c>
      <c r="F243" t="s">
        <v>1550</v>
      </c>
      <c r="G243" t="s">
        <v>1551</v>
      </c>
    </row>
    <row r="244" spans="1:7" x14ac:dyDescent="0.3">
      <c r="A244" t="s">
        <v>1552</v>
      </c>
      <c r="B244" t="s">
        <v>1553</v>
      </c>
      <c r="C244" t="s">
        <v>1554</v>
      </c>
      <c r="D244" t="s">
        <v>48</v>
      </c>
      <c r="E244" t="s">
        <v>1555</v>
      </c>
      <c r="F244" t="s">
        <v>1556</v>
      </c>
      <c r="G244" t="s">
        <v>1557</v>
      </c>
    </row>
    <row r="245" spans="1:7" x14ac:dyDescent="0.3">
      <c r="A245" t="s">
        <v>1558</v>
      </c>
      <c r="B245" t="s">
        <v>1559</v>
      </c>
      <c r="C245" t="s">
        <v>1560</v>
      </c>
      <c r="D245" t="s">
        <v>249</v>
      </c>
      <c r="E245" t="s">
        <v>1561</v>
      </c>
      <c r="F245" t="s">
        <v>1562</v>
      </c>
      <c r="G245" t="s">
        <v>1563</v>
      </c>
    </row>
    <row r="246" spans="1:7" x14ac:dyDescent="0.3">
      <c r="A246" t="s">
        <v>1564</v>
      </c>
      <c r="B246" t="s">
        <v>1565</v>
      </c>
      <c r="C246" t="s">
        <v>1566</v>
      </c>
      <c r="D246" t="s">
        <v>304</v>
      </c>
      <c r="E246" t="s">
        <v>1567</v>
      </c>
      <c r="F246" t="s">
        <v>1568</v>
      </c>
      <c r="G246" t="s">
        <v>1569</v>
      </c>
    </row>
    <row r="247" spans="1:7" x14ac:dyDescent="0.3">
      <c r="A247" t="s">
        <v>1570</v>
      </c>
      <c r="B247" t="s">
        <v>1571</v>
      </c>
      <c r="C247" t="s">
        <v>1572</v>
      </c>
      <c r="D247" t="s">
        <v>1573</v>
      </c>
      <c r="E247" t="s">
        <v>1574</v>
      </c>
      <c r="F247" t="s">
        <v>1575</v>
      </c>
      <c r="G247" t="s">
        <v>1576</v>
      </c>
    </row>
    <row r="248" spans="1:7" x14ac:dyDescent="0.3">
      <c r="A248" t="s">
        <v>1577</v>
      </c>
      <c r="B248" t="s">
        <v>1578</v>
      </c>
      <c r="C248" t="s">
        <v>1579</v>
      </c>
      <c r="D248" t="s">
        <v>682</v>
      </c>
      <c r="E248" t="s">
        <v>1580</v>
      </c>
      <c r="F248" t="s">
        <v>1581</v>
      </c>
      <c r="G248" t="s">
        <v>1582</v>
      </c>
    </row>
    <row r="249" spans="1:7" x14ac:dyDescent="0.3">
      <c r="A249" t="s">
        <v>1583</v>
      </c>
      <c r="B249" t="s">
        <v>1584</v>
      </c>
      <c r="C249" t="s">
        <v>1585</v>
      </c>
      <c r="D249" t="s">
        <v>1586</v>
      </c>
      <c r="E249" t="s">
        <v>1587</v>
      </c>
      <c r="F249" t="s">
        <v>1588</v>
      </c>
      <c r="G249" t="s">
        <v>559</v>
      </c>
    </row>
    <row r="250" spans="1:7" x14ac:dyDescent="0.3">
      <c r="A250" t="s">
        <v>1589</v>
      </c>
      <c r="B250" t="s">
        <v>1590</v>
      </c>
      <c r="C250" t="s">
        <v>1591</v>
      </c>
      <c r="D250" t="s">
        <v>42</v>
      </c>
      <c r="E250" t="s">
        <v>1592</v>
      </c>
      <c r="F250" t="s">
        <v>1593</v>
      </c>
      <c r="G250" t="s">
        <v>1594</v>
      </c>
    </row>
    <row r="251" spans="1:7" x14ac:dyDescent="0.3">
      <c r="A251" t="s">
        <v>1595</v>
      </c>
      <c r="B251" t="s">
        <v>1595</v>
      </c>
      <c r="C251" t="s">
        <v>1596</v>
      </c>
      <c r="D251" t="s">
        <v>1597</v>
      </c>
      <c r="E251" t="s">
        <v>1598</v>
      </c>
      <c r="F251" t="s">
        <v>1599</v>
      </c>
      <c r="G251" t="s">
        <v>1600</v>
      </c>
    </row>
    <row r="252" spans="1:7" x14ac:dyDescent="0.3">
      <c r="A252" t="s">
        <v>1601</v>
      </c>
      <c r="B252" t="s">
        <v>1602</v>
      </c>
      <c r="C252" t="s">
        <v>1603</v>
      </c>
      <c r="D252" t="s">
        <v>363</v>
      </c>
      <c r="E252" t="s">
        <v>1604</v>
      </c>
      <c r="F252" t="s">
        <v>1605</v>
      </c>
      <c r="G252" t="s">
        <v>1606</v>
      </c>
    </row>
    <row r="253" spans="1:7" x14ac:dyDescent="0.3">
      <c r="A253" t="s">
        <v>1607</v>
      </c>
      <c r="B253" t="s">
        <v>1608</v>
      </c>
      <c r="C253" t="s">
        <v>1609</v>
      </c>
      <c r="D253" t="s">
        <v>1610</v>
      </c>
      <c r="E253" t="s">
        <v>1611</v>
      </c>
      <c r="F253" t="s">
        <v>1612</v>
      </c>
      <c r="G253" t="s">
        <v>1613</v>
      </c>
    </row>
    <row r="254" spans="1:7" x14ac:dyDescent="0.3">
      <c r="A254" t="s">
        <v>1614</v>
      </c>
      <c r="B254" t="s">
        <v>1615</v>
      </c>
      <c r="C254" t="s">
        <v>1616</v>
      </c>
      <c r="D254" t="s">
        <v>343</v>
      </c>
      <c r="E254" t="s">
        <v>1617</v>
      </c>
      <c r="F254" t="s">
        <v>1618</v>
      </c>
      <c r="G254" t="s">
        <v>1619</v>
      </c>
    </row>
    <row r="255" spans="1:7" x14ac:dyDescent="0.3">
      <c r="A255" t="s">
        <v>1620</v>
      </c>
      <c r="B255" t="s">
        <v>1620</v>
      </c>
      <c r="C255" t="s">
        <v>1621</v>
      </c>
      <c r="D255" t="s">
        <v>290</v>
      </c>
      <c r="E255" t="s">
        <v>1622</v>
      </c>
      <c r="F255" t="s">
        <v>1623</v>
      </c>
      <c r="G255" t="s">
        <v>1624</v>
      </c>
    </row>
    <row r="256" spans="1:7" x14ac:dyDescent="0.3">
      <c r="A256" t="s">
        <v>1625</v>
      </c>
      <c r="B256" t="s">
        <v>1626</v>
      </c>
      <c r="C256" t="s">
        <v>1627</v>
      </c>
      <c r="D256" t="s">
        <v>1628</v>
      </c>
      <c r="E256" t="s">
        <v>1629</v>
      </c>
      <c r="F256" t="s">
        <v>1630</v>
      </c>
      <c r="G256" t="s">
        <v>1631</v>
      </c>
    </row>
    <row r="257" spans="1:7" x14ac:dyDescent="0.3">
      <c r="A257" t="s">
        <v>1632</v>
      </c>
      <c r="B257" t="s">
        <v>1633</v>
      </c>
      <c r="C257" t="s">
        <v>1634</v>
      </c>
      <c r="D257" t="s">
        <v>1635</v>
      </c>
      <c r="E257" t="s">
        <v>1636</v>
      </c>
      <c r="F257" t="s">
        <v>1637</v>
      </c>
      <c r="G257" t="s">
        <v>1638</v>
      </c>
    </row>
    <row r="258" spans="1:7" x14ac:dyDescent="0.3">
      <c r="A258" t="s">
        <v>1639</v>
      </c>
      <c r="B258" t="s">
        <v>1640</v>
      </c>
      <c r="C258" t="s">
        <v>1641</v>
      </c>
      <c r="D258" t="s">
        <v>1642</v>
      </c>
      <c r="E258" t="s">
        <v>1643</v>
      </c>
      <c r="F258" t="s">
        <v>1644</v>
      </c>
      <c r="G258" t="s">
        <v>691</v>
      </c>
    </row>
    <row r="259" spans="1:7" x14ac:dyDescent="0.3">
      <c r="A259" t="s">
        <v>1645</v>
      </c>
      <c r="B259" t="s">
        <v>1646</v>
      </c>
      <c r="C259" t="s">
        <v>1647</v>
      </c>
      <c r="D259" t="s">
        <v>1648</v>
      </c>
      <c r="E259" t="s">
        <v>1649</v>
      </c>
      <c r="F259" t="s">
        <v>1650</v>
      </c>
      <c r="G259" t="s">
        <v>1651</v>
      </c>
    </row>
    <row r="260" spans="1:7" x14ac:dyDescent="0.3">
      <c r="A260" t="s">
        <v>1652</v>
      </c>
      <c r="B260" t="s">
        <v>1653</v>
      </c>
      <c r="C260" t="s">
        <v>1654</v>
      </c>
      <c r="D260" t="s">
        <v>1063</v>
      </c>
      <c r="E260" t="s">
        <v>1655</v>
      </c>
      <c r="F260" t="s">
        <v>1656</v>
      </c>
      <c r="G260" t="s">
        <v>1657</v>
      </c>
    </row>
    <row r="261" spans="1:7" x14ac:dyDescent="0.3">
      <c r="A261" t="s">
        <v>1658</v>
      </c>
      <c r="B261" t="s">
        <v>1659</v>
      </c>
      <c r="C261" t="s">
        <v>1660</v>
      </c>
      <c r="D261" t="s">
        <v>1661</v>
      </c>
      <c r="E261" t="s">
        <v>1662</v>
      </c>
      <c r="F261" t="s">
        <v>1663</v>
      </c>
      <c r="G261" t="s">
        <v>1434</v>
      </c>
    </row>
    <row r="262" spans="1:7" x14ac:dyDescent="0.3">
      <c r="A262" t="s">
        <v>1664</v>
      </c>
      <c r="B262" t="s">
        <v>1665</v>
      </c>
      <c r="C262" t="s">
        <v>1666</v>
      </c>
      <c r="D262" t="s">
        <v>576</v>
      </c>
      <c r="E262" t="s">
        <v>1667</v>
      </c>
      <c r="F262" t="s">
        <v>1668</v>
      </c>
      <c r="G262" t="s">
        <v>1669</v>
      </c>
    </row>
    <row r="263" spans="1:7" x14ac:dyDescent="0.3">
      <c r="A263" t="s">
        <v>1670</v>
      </c>
      <c r="B263" t="s">
        <v>1671</v>
      </c>
      <c r="C263" t="s">
        <v>1672</v>
      </c>
      <c r="D263" t="s">
        <v>391</v>
      </c>
      <c r="E263" t="s">
        <v>1673</v>
      </c>
      <c r="F263" t="s">
        <v>1674</v>
      </c>
      <c r="G263" t="s">
        <v>1675</v>
      </c>
    </row>
    <row r="264" spans="1:7" x14ac:dyDescent="0.3">
      <c r="A264" t="s">
        <v>1676</v>
      </c>
      <c r="B264" t="s">
        <v>1676</v>
      </c>
      <c r="C264" t="s">
        <v>1677</v>
      </c>
      <c r="D264" t="s">
        <v>1678</v>
      </c>
      <c r="E264" t="s">
        <v>1679</v>
      </c>
      <c r="F264" t="s">
        <v>1680</v>
      </c>
      <c r="G264" t="s">
        <v>1681</v>
      </c>
    </row>
    <row r="265" spans="1:7" x14ac:dyDescent="0.3">
      <c r="A265" t="s">
        <v>1682</v>
      </c>
      <c r="B265" t="s">
        <v>1683</v>
      </c>
      <c r="C265" t="s">
        <v>1684</v>
      </c>
      <c r="D265" t="s">
        <v>249</v>
      </c>
      <c r="E265" t="s">
        <v>1685</v>
      </c>
      <c r="F265" t="s">
        <v>1686</v>
      </c>
      <c r="G265" t="s">
        <v>1687</v>
      </c>
    </row>
    <row r="266" spans="1:7" x14ac:dyDescent="0.3">
      <c r="A266" t="s">
        <v>1688</v>
      </c>
      <c r="B266" t="s">
        <v>1689</v>
      </c>
      <c r="C266" t="s">
        <v>1690</v>
      </c>
      <c r="D266" t="s">
        <v>459</v>
      </c>
      <c r="E266" t="s">
        <v>1691</v>
      </c>
      <c r="F266" t="s">
        <v>1692</v>
      </c>
      <c r="G266" t="s">
        <v>1693</v>
      </c>
    </row>
    <row r="267" spans="1:7" x14ac:dyDescent="0.3">
      <c r="A267" t="s">
        <v>1694</v>
      </c>
      <c r="B267" t="s">
        <v>1695</v>
      </c>
      <c r="C267" t="s">
        <v>1696</v>
      </c>
      <c r="D267" t="s">
        <v>290</v>
      </c>
      <c r="E267" t="s">
        <v>1697</v>
      </c>
      <c r="F267" t="s">
        <v>1698</v>
      </c>
      <c r="G267" t="s">
        <v>1699</v>
      </c>
    </row>
    <row r="268" spans="1:7" x14ac:dyDescent="0.3">
      <c r="A268" t="s">
        <v>1700</v>
      </c>
      <c r="B268" t="s">
        <v>1701</v>
      </c>
      <c r="C268" t="s">
        <v>1702</v>
      </c>
      <c r="D268" t="s">
        <v>206</v>
      </c>
      <c r="E268" t="s">
        <v>1703</v>
      </c>
      <c r="F268" t="s">
        <v>1704</v>
      </c>
      <c r="G268" t="s">
        <v>1705</v>
      </c>
    </row>
    <row r="269" spans="1:7" x14ac:dyDescent="0.3">
      <c r="A269" t="s">
        <v>1706</v>
      </c>
      <c r="B269" t="s">
        <v>1707</v>
      </c>
      <c r="C269" t="s">
        <v>1708</v>
      </c>
      <c r="D269" t="s">
        <v>192</v>
      </c>
      <c r="E269" t="s">
        <v>1709</v>
      </c>
      <c r="F269" t="s">
        <v>1710</v>
      </c>
      <c r="G269" t="s">
        <v>1711</v>
      </c>
    </row>
    <row r="270" spans="1:7" x14ac:dyDescent="0.3">
      <c r="A270" t="s">
        <v>1712</v>
      </c>
      <c r="B270" t="s">
        <v>1713</v>
      </c>
      <c r="C270" t="s">
        <v>1714</v>
      </c>
      <c r="D270" t="s">
        <v>137</v>
      </c>
      <c r="E270" t="s">
        <v>1715</v>
      </c>
      <c r="F270" t="s">
        <v>1716</v>
      </c>
      <c r="G270" t="s">
        <v>1717</v>
      </c>
    </row>
    <row r="271" spans="1:7" x14ac:dyDescent="0.3">
      <c r="A271" t="s">
        <v>1718</v>
      </c>
      <c r="B271" t="s">
        <v>1719</v>
      </c>
      <c r="C271" t="s">
        <v>1720</v>
      </c>
      <c r="D271" t="s">
        <v>405</v>
      </c>
      <c r="E271" t="s">
        <v>1721</v>
      </c>
      <c r="F271" t="s">
        <v>1722</v>
      </c>
      <c r="G271" t="s">
        <v>1723</v>
      </c>
    </row>
    <row r="272" spans="1:7" x14ac:dyDescent="0.3">
      <c r="A272" t="s">
        <v>1724</v>
      </c>
      <c r="B272" t="s">
        <v>1725</v>
      </c>
      <c r="C272" t="s">
        <v>1726</v>
      </c>
      <c r="D272" t="s">
        <v>1233</v>
      </c>
      <c r="E272" t="s">
        <v>1727</v>
      </c>
      <c r="F272" t="s">
        <v>1728</v>
      </c>
      <c r="G272" t="s">
        <v>559</v>
      </c>
    </row>
    <row r="273" spans="1:7" x14ac:dyDescent="0.3">
      <c r="A273" t="s">
        <v>1729</v>
      </c>
      <c r="B273" t="s">
        <v>1730</v>
      </c>
      <c r="C273" t="s">
        <v>1731</v>
      </c>
      <c r="D273" t="s">
        <v>48</v>
      </c>
      <c r="E273" t="s">
        <v>1732</v>
      </c>
      <c r="F273" t="s">
        <v>1733</v>
      </c>
      <c r="G273" t="s">
        <v>1734</v>
      </c>
    </row>
    <row r="274" spans="1:7" x14ac:dyDescent="0.3">
      <c r="A274" t="s">
        <v>1735</v>
      </c>
      <c r="B274" t="s">
        <v>1736</v>
      </c>
      <c r="C274" t="s">
        <v>1737</v>
      </c>
      <c r="D274" t="s">
        <v>1738</v>
      </c>
      <c r="E274" t="s">
        <v>1739</v>
      </c>
      <c r="F274" t="s">
        <v>1740</v>
      </c>
      <c r="G274" t="s">
        <v>1741</v>
      </c>
    </row>
    <row r="275" spans="1:7" x14ac:dyDescent="0.3">
      <c r="A275" t="s">
        <v>1742</v>
      </c>
      <c r="B275" t="s">
        <v>1743</v>
      </c>
      <c r="C275" t="s">
        <v>1744</v>
      </c>
      <c r="D275" t="s">
        <v>753</v>
      </c>
      <c r="E275" t="s">
        <v>1745</v>
      </c>
      <c r="F275" t="s">
        <v>1746</v>
      </c>
      <c r="G275" t="s">
        <v>1747</v>
      </c>
    </row>
    <row r="276" spans="1:7" x14ac:dyDescent="0.3">
      <c r="A276" t="s">
        <v>1748</v>
      </c>
      <c r="B276" t="s">
        <v>1749</v>
      </c>
      <c r="C276" t="s">
        <v>1750</v>
      </c>
      <c r="D276" t="s">
        <v>256</v>
      </c>
      <c r="E276" t="s">
        <v>1751</v>
      </c>
      <c r="F276" t="s">
        <v>1752</v>
      </c>
      <c r="G276" t="s">
        <v>1753</v>
      </c>
    </row>
    <row r="277" spans="1:7" x14ac:dyDescent="0.3">
      <c r="A277" t="s">
        <v>1754</v>
      </c>
      <c r="B277" t="s">
        <v>1755</v>
      </c>
      <c r="C277" t="s">
        <v>1756</v>
      </c>
      <c r="D277" t="s">
        <v>48</v>
      </c>
      <c r="E277" t="s">
        <v>1757</v>
      </c>
      <c r="F277" t="s">
        <v>1758</v>
      </c>
      <c r="G277" t="s">
        <v>1759</v>
      </c>
    </row>
    <row r="278" spans="1:7" x14ac:dyDescent="0.3">
      <c r="A278" t="s">
        <v>1760</v>
      </c>
      <c r="B278" t="s">
        <v>1760</v>
      </c>
      <c r="C278" t="s">
        <v>1761</v>
      </c>
      <c r="D278" t="s">
        <v>48</v>
      </c>
      <c r="E278" t="s">
        <v>1762</v>
      </c>
      <c r="F278" t="s">
        <v>1159</v>
      </c>
      <c r="G278" t="s">
        <v>1763</v>
      </c>
    </row>
    <row r="279" spans="1:7" x14ac:dyDescent="0.3">
      <c r="A279" t="s">
        <v>1764</v>
      </c>
      <c r="B279" t="s">
        <v>1765</v>
      </c>
      <c r="C279" t="s">
        <v>1766</v>
      </c>
      <c r="D279" t="s">
        <v>1767</v>
      </c>
      <c r="E279" t="s">
        <v>1768</v>
      </c>
      <c r="F279" t="s">
        <v>1769</v>
      </c>
      <c r="G279" t="s">
        <v>1770</v>
      </c>
    </row>
    <row r="280" spans="1:7" x14ac:dyDescent="0.3">
      <c r="A280" t="s">
        <v>1771</v>
      </c>
      <c r="B280" t="s">
        <v>1772</v>
      </c>
      <c r="C280" t="s">
        <v>1773</v>
      </c>
      <c r="D280" t="s">
        <v>30</v>
      </c>
      <c r="E280" t="s">
        <v>1774</v>
      </c>
      <c r="F280" t="s">
        <v>1775</v>
      </c>
      <c r="G280" t="s">
        <v>1776</v>
      </c>
    </row>
    <row r="281" spans="1:7" x14ac:dyDescent="0.3">
      <c r="A281" t="s">
        <v>1777</v>
      </c>
      <c r="B281" t="s">
        <v>1778</v>
      </c>
      <c r="C281" t="s">
        <v>1779</v>
      </c>
      <c r="D281" t="s">
        <v>682</v>
      </c>
      <c r="E281" t="s">
        <v>1780</v>
      </c>
      <c r="F281" t="s">
        <v>1781</v>
      </c>
      <c r="G281" t="s">
        <v>1782</v>
      </c>
    </row>
    <row r="282" spans="1:7" x14ac:dyDescent="0.3">
      <c r="A282" t="s">
        <v>1783</v>
      </c>
      <c r="B282" t="s">
        <v>1784</v>
      </c>
      <c r="C282" t="s">
        <v>1785</v>
      </c>
      <c r="D282" t="s">
        <v>263</v>
      </c>
      <c r="E282" t="s">
        <v>1786</v>
      </c>
      <c r="F282" t="s">
        <v>1787</v>
      </c>
      <c r="G282" t="s">
        <v>1788</v>
      </c>
    </row>
    <row r="283" spans="1:7" x14ac:dyDescent="0.3">
      <c r="A283" t="s">
        <v>1789</v>
      </c>
      <c r="B283" t="s">
        <v>1790</v>
      </c>
      <c r="C283" t="s">
        <v>1791</v>
      </c>
      <c r="D283" t="s">
        <v>48</v>
      </c>
      <c r="E283" t="s">
        <v>1792</v>
      </c>
      <c r="F283" t="s">
        <v>1159</v>
      </c>
      <c r="G283" t="s">
        <v>1793</v>
      </c>
    </row>
    <row r="284" spans="1:7" x14ac:dyDescent="0.3">
      <c r="A284" t="s">
        <v>1794</v>
      </c>
      <c r="B284" t="s">
        <v>1795</v>
      </c>
      <c r="C284" t="s">
        <v>1796</v>
      </c>
      <c r="D284" t="s">
        <v>171</v>
      </c>
      <c r="E284" t="s">
        <v>1797</v>
      </c>
      <c r="F284" t="s">
        <v>1798</v>
      </c>
      <c r="G284" t="s">
        <v>1799</v>
      </c>
    </row>
    <row r="285" spans="1:7" x14ac:dyDescent="0.3">
      <c r="A285" t="s">
        <v>1800</v>
      </c>
      <c r="B285" t="s">
        <v>1801</v>
      </c>
      <c r="C285" t="s">
        <v>1802</v>
      </c>
      <c r="D285" t="s">
        <v>249</v>
      </c>
      <c r="E285" t="s">
        <v>1803</v>
      </c>
      <c r="F285" t="s">
        <v>1804</v>
      </c>
      <c r="G285" t="s">
        <v>1805</v>
      </c>
    </row>
    <row r="286" spans="1:7" x14ac:dyDescent="0.3">
      <c r="A286" t="s">
        <v>1806</v>
      </c>
      <c r="B286" t="s">
        <v>1807</v>
      </c>
      <c r="C286" t="s">
        <v>1808</v>
      </c>
      <c r="D286" t="s">
        <v>256</v>
      </c>
      <c r="E286" t="s">
        <v>1809</v>
      </c>
      <c r="F286" t="s">
        <v>1810</v>
      </c>
      <c r="G286" t="s">
        <v>1811</v>
      </c>
    </row>
    <row r="287" spans="1:7" x14ac:dyDescent="0.3">
      <c r="A287" t="s">
        <v>1812</v>
      </c>
      <c r="B287" t="s">
        <v>1813</v>
      </c>
      <c r="C287" t="s">
        <v>1814</v>
      </c>
      <c r="D287" t="s">
        <v>797</v>
      </c>
      <c r="E287" t="s">
        <v>1815</v>
      </c>
      <c r="F287" t="s">
        <v>1816</v>
      </c>
      <c r="G287" t="s">
        <v>1817</v>
      </c>
    </row>
    <row r="288" spans="1:7" x14ac:dyDescent="0.3">
      <c r="A288" t="s">
        <v>1818</v>
      </c>
      <c r="B288" t="s">
        <v>1819</v>
      </c>
      <c r="C288" t="s">
        <v>1820</v>
      </c>
      <c r="D288" t="s">
        <v>1821</v>
      </c>
      <c r="E288" t="s">
        <v>1822</v>
      </c>
      <c r="F288" t="s">
        <v>1823</v>
      </c>
      <c r="G288" t="s">
        <v>1824</v>
      </c>
    </row>
    <row r="289" spans="1:7" x14ac:dyDescent="0.3">
      <c r="A289" t="s">
        <v>1825</v>
      </c>
      <c r="B289" t="s">
        <v>1826</v>
      </c>
      <c r="C289" t="s">
        <v>1827</v>
      </c>
      <c r="D289" t="s">
        <v>304</v>
      </c>
      <c r="E289" t="s">
        <v>1828</v>
      </c>
      <c r="F289" t="s">
        <v>1829</v>
      </c>
      <c r="G289" t="s">
        <v>1830</v>
      </c>
    </row>
    <row r="290" spans="1:7" x14ac:dyDescent="0.3">
      <c r="A290" t="s">
        <v>1831</v>
      </c>
      <c r="B290" t="s">
        <v>1832</v>
      </c>
      <c r="C290" t="s">
        <v>1833</v>
      </c>
      <c r="D290" t="s">
        <v>1834</v>
      </c>
      <c r="E290" t="s">
        <v>1835</v>
      </c>
      <c r="F290" t="s">
        <v>1836</v>
      </c>
      <c r="G290" t="s">
        <v>1837</v>
      </c>
    </row>
    <row r="291" spans="1:7" x14ac:dyDescent="0.3">
      <c r="A291" t="s">
        <v>1838</v>
      </c>
      <c r="B291" t="s">
        <v>1838</v>
      </c>
      <c r="C291" t="s">
        <v>1839</v>
      </c>
      <c r="D291" t="s">
        <v>83</v>
      </c>
      <c r="E291" t="s">
        <v>1840</v>
      </c>
      <c r="F291" t="s">
        <v>1841</v>
      </c>
      <c r="G291" t="s">
        <v>691</v>
      </c>
    </row>
    <row r="292" spans="1:7" x14ac:dyDescent="0.3">
      <c r="A292" t="s">
        <v>1842</v>
      </c>
      <c r="B292" t="s">
        <v>1843</v>
      </c>
      <c r="C292" t="s">
        <v>1844</v>
      </c>
      <c r="D292" t="s">
        <v>164</v>
      </c>
      <c r="E292" t="s">
        <v>1845</v>
      </c>
      <c r="F292" t="s">
        <v>1846</v>
      </c>
      <c r="G292" t="s">
        <v>985</v>
      </c>
    </row>
    <row r="293" spans="1:7" x14ac:dyDescent="0.3">
      <c r="A293" t="s">
        <v>1847</v>
      </c>
      <c r="B293" t="s">
        <v>1848</v>
      </c>
      <c r="C293" t="s">
        <v>1849</v>
      </c>
      <c r="D293" t="s">
        <v>1307</v>
      </c>
      <c r="E293" t="s">
        <v>1850</v>
      </c>
      <c r="F293" t="s">
        <v>1851</v>
      </c>
      <c r="G293" t="s">
        <v>691</v>
      </c>
    </row>
    <row r="294" spans="1:7" x14ac:dyDescent="0.3">
      <c r="A294" t="s">
        <v>1852</v>
      </c>
      <c r="B294" t="s">
        <v>1853</v>
      </c>
      <c r="C294" t="s">
        <v>1854</v>
      </c>
      <c r="D294" t="s">
        <v>137</v>
      </c>
      <c r="E294" t="s">
        <v>1855</v>
      </c>
      <c r="F294" t="s">
        <v>1856</v>
      </c>
      <c r="G294" t="s">
        <v>1857</v>
      </c>
    </row>
    <row r="295" spans="1:7" x14ac:dyDescent="0.3">
      <c r="A295" t="s">
        <v>1858</v>
      </c>
      <c r="B295" t="s">
        <v>1859</v>
      </c>
      <c r="C295" t="s">
        <v>1860</v>
      </c>
      <c r="D295" t="s">
        <v>1861</v>
      </c>
      <c r="E295" t="s">
        <v>1862</v>
      </c>
      <c r="F295" t="s">
        <v>1863</v>
      </c>
      <c r="G295" t="s">
        <v>1864</v>
      </c>
    </row>
    <row r="296" spans="1:7" x14ac:dyDescent="0.3">
      <c r="A296" t="s">
        <v>1865</v>
      </c>
      <c r="B296" t="s">
        <v>1866</v>
      </c>
      <c r="C296" t="s">
        <v>1867</v>
      </c>
      <c r="D296" t="s">
        <v>1868</v>
      </c>
      <c r="E296" t="s">
        <v>1869</v>
      </c>
      <c r="F296" t="s">
        <v>1870</v>
      </c>
      <c r="G296" t="s">
        <v>1871</v>
      </c>
    </row>
    <row r="297" spans="1:7" x14ac:dyDescent="0.3">
      <c r="A297" t="s">
        <v>1872</v>
      </c>
      <c r="B297" t="s">
        <v>1873</v>
      </c>
      <c r="C297" t="s">
        <v>1874</v>
      </c>
      <c r="D297" t="s">
        <v>249</v>
      </c>
      <c r="E297" t="s">
        <v>1875</v>
      </c>
      <c r="F297" t="s">
        <v>1876</v>
      </c>
      <c r="G297" t="s">
        <v>1877</v>
      </c>
    </row>
    <row r="298" spans="1:7" x14ac:dyDescent="0.3">
      <c r="A298" t="s">
        <v>1878</v>
      </c>
      <c r="B298" t="s">
        <v>1879</v>
      </c>
      <c r="C298" t="s">
        <v>1880</v>
      </c>
      <c r="D298" t="s">
        <v>290</v>
      </c>
      <c r="E298" t="s">
        <v>1881</v>
      </c>
      <c r="F298" t="s">
        <v>1882</v>
      </c>
      <c r="G298" t="s">
        <v>1883</v>
      </c>
    </row>
    <row r="299" spans="1:7" x14ac:dyDescent="0.3">
      <c r="A299" t="s">
        <v>1884</v>
      </c>
      <c r="B299" t="s">
        <v>1885</v>
      </c>
      <c r="C299" t="s">
        <v>1886</v>
      </c>
      <c r="D299" t="s">
        <v>682</v>
      </c>
      <c r="E299" t="s">
        <v>1887</v>
      </c>
      <c r="F299" t="s">
        <v>1888</v>
      </c>
      <c r="G299" t="s">
        <v>1889</v>
      </c>
    </row>
    <row r="300" spans="1:7" x14ac:dyDescent="0.3">
      <c r="A300" t="s">
        <v>1890</v>
      </c>
      <c r="B300" t="s">
        <v>1891</v>
      </c>
      <c r="C300" t="s">
        <v>1892</v>
      </c>
      <c r="D300" t="s">
        <v>290</v>
      </c>
      <c r="E300" t="s">
        <v>1893</v>
      </c>
      <c r="F300" t="s">
        <v>1894</v>
      </c>
      <c r="G300" t="s">
        <v>1895</v>
      </c>
    </row>
    <row r="301" spans="1:7" x14ac:dyDescent="0.3">
      <c r="A301" t="s">
        <v>1896</v>
      </c>
      <c r="B301" t="s">
        <v>1897</v>
      </c>
      <c r="C301" t="s">
        <v>1898</v>
      </c>
      <c r="D301" t="s">
        <v>1226</v>
      </c>
      <c r="E301" t="s">
        <v>1899</v>
      </c>
      <c r="F301" t="s">
        <v>1900</v>
      </c>
      <c r="G301" t="s">
        <v>1901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D85C-14D2-43CA-B7EC-17D17242E1FE}">
  <dimension ref="A1:K295"/>
  <sheetViews>
    <sheetView topLeftCell="A2" workbookViewId="0">
      <selection activeCell="I5" sqref="I1:I1048576"/>
    </sheetView>
  </sheetViews>
  <sheetFormatPr defaultRowHeight="14.4" x14ac:dyDescent="0.3"/>
  <cols>
    <col min="1" max="1" width="46.44140625" bestFit="1" customWidth="1"/>
    <col min="2" max="2" width="10.77734375" bestFit="1" customWidth="1"/>
    <col min="3" max="3" width="12.6640625" bestFit="1" customWidth="1"/>
    <col min="4" max="4" width="15.44140625" bestFit="1" customWidth="1"/>
    <col min="5" max="5" width="13" bestFit="1" customWidth="1"/>
    <col min="6" max="6" width="18.77734375" bestFit="1" customWidth="1"/>
    <col min="7" max="7" width="18.44140625" bestFit="1" customWidth="1"/>
    <col min="8" max="8" width="21.44140625" bestFit="1" customWidth="1"/>
    <col min="9" max="9" width="21.6640625" customWidth="1"/>
    <col min="10" max="10" width="8.88671875" style="2"/>
    <col min="11" max="11" width="12.77734375" customWidth="1"/>
  </cols>
  <sheetData>
    <row r="1" spans="1:11" x14ac:dyDescent="0.3">
      <c r="A1" t="s">
        <v>0</v>
      </c>
      <c r="B1" t="s">
        <v>1</v>
      </c>
      <c r="C1" t="s">
        <v>2</v>
      </c>
      <c r="D1" t="s">
        <v>3</v>
      </c>
      <c r="E1" t="s">
        <v>4</v>
      </c>
      <c r="F1" t="s">
        <v>5</v>
      </c>
      <c r="G1" t="s">
        <v>6</v>
      </c>
      <c r="H1" t="s">
        <v>1902</v>
      </c>
      <c r="I1" t="s">
        <v>18280</v>
      </c>
      <c r="J1" s="2" t="s">
        <v>18281</v>
      </c>
      <c r="K1" t="s">
        <v>18282</v>
      </c>
    </row>
    <row r="2" spans="1:11" x14ac:dyDescent="0.3">
      <c r="A2" t="s">
        <v>7</v>
      </c>
      <c r="B2" t="s">
        <v>8</v>
      </c>
      <c r="C2">
        <v>167.4</v>
      </c>
      <c r="D2">
        <v>4.0000000000000002E-4</v>
      </c>
      <c r="E2">
        <v>8124123</v>
      </c>
      <c r="F2">
        <v>3999982</v>
      </c>
      <c r="G2" t="s">
        <v>13</v>
      </c>
      <c r="H2">
        <v>48520</v>
      </c>
      <c r="I2">
        <f>Cleaned_Data[[#This Row],[Volume (24h) USD]]/Cleaned_Data[[#This Row],[Circulating_Supply($)]]</f>
        <v>82.439859851607579</v>
      </c>
      <c r="J2" s="2">
        <f>RANK(Cleaned_Data[[#This Row],[Market Cap]],Cleaned_Data[Market Cap],0)</f>
        <v>165</v>
      </c>
      <c r="K2" t="str">
        <f t="shared" ref="K2:K65" si="0">IF(C2&lt;=0.5,"0-0.5",
IF(C2&lt;=1,"0.5-1",
IF(C2&lt;=2,"1-2",
IF(C2&lt;=10,"2-10",
IF(C2&lt;=100,"10-100",
IF(C2&lt;=10000,"100-10000",
"10000+"))))))</f>
        <v>100-10000</v>
      </c>
    </row>
    <row r="3" spans="1:11" x14ac:dyDescent="0.3">
      <c r="A3" t="s">
        <v>14</v>
      </c>
      <c r="B3" t="s">
        <v>15</v>
      </c>
      <c r="C3">
        <v>81018.5</v>
      </c>
      <c r="D3">
        <v>4.0000000000000002E-4</v>
      </c>
      <c r="E3">
        <v>1619311935409</v>
      </c>
      <c r="F3">
        <v>51554007081</v>
      </c>
      <c r="G3" t="s">
        <v>19</v>
      </c>
      <c r="H3">
        <v>19980000</v>
      </c>
      <c r="I3">
        <f>Cleaned_Data[[#This Row],[Volume (24h) USD]]/Cleaned_Data[[#This Row],[Circulating_Supply($)]]</f>
        <v>2580.2806346846846</v>
      </c>
      <c r="J3" s="2">
        <f>RANK(Cleaned_Data[[#This Row],[Market Cap]],Cleaned_Data[Market Cap],0)</f>
        <v>1</v>
      </c>
      <c r="K3" t="str">
        <f t="shared" si="0"/>
        <v>10000+</v>
      </c>
    </row>
    <row r="4" spans="1:11" x14ac:dyDescent="0.3">
      <c r="A4" t="s">
        <v>20</v>
      </c>
      <c r="B4" t="s">
        <v>21</v>
      </c>
      <c r="C4">
        <v>2522.3200000000002</v>
      </c>
      <c r="D4">
        <v>4.7000000000000002E-3</v>
      </c>
      <c r="E4">
        <v>304930172193</v>
      </c>
      <c r="F4">
        <v>35537964244</v>
      </c>
      <c r="G4" t="s">
        <v>26</v>
      </c>
      <c r="H4">
        <v>120690000</v>
      </c>
      <c r="I4">
        <f>Cleaned_Data[[#This Row],[Volume (24h) USD]]/Cleaned_Data[[#This Row],[Circulating_Supply($)]]</f>
        <v>294.45657671720937</v>
      </c>
      <c r="J4" s="2">
        <f>RANK(Cleaned_Data[[#This Row],[Market Cap]],Cleaned_Data[Market Cap],0)</f>
        <v>2</v>
      </c>
      <c r="K4" t="str">
        <f t="shared" si="0"/>
        <v>100-10000</v>
      </c>
    </row>
    <row r="5" spans="1:11" x14ac:dyDescent="0.3">
      <c r="A5" t="s">
        <v>27</v>
      </c>
      <c r="B5" t="s">
        <v>28</v>
      </c>
      <c r="C5">
        <v>0.99829999999999997</v>
      </c>
      <c r="D5">
        <v>1E-4</v>
      </c>
      <c r="E5">
        <v>185193421704</v>
      </c>
      <c r="F5">
        <v>114504551262</v>
      </c>
      <c r="G5" t="s">
        <v>33</v>
      </c>
      <c r="H5">
        <v>185370000000</v>
      </c>
      <c r="I5">
        <f>Cleaned_Data[[#This Row],[Volume (24h) USD]]/Cleaned_Data[[#This Row],[Circulating_Supply($)]]</f>
        <v>0.61770810412688137</v>
      </c>
      <c r="J5" s="2">
        <f>RANK(Cleaned_Data[[#This Row],[Market Cap]],Cleaned_Data[Market Cap],0)</f>
        <v>3</v>
      </c>
      <c r="K5" t="str">
        <f t="shared" si="0"/>
        <v>0.5-1</v>
      </c>
    </row>
    <row r="6" spans="1:11" x14ac:dyDescent="0.3">
      <c r="A6" t="s">
        <v>34</v>
      </c>
      <c r="B6" t="s">
        <v>34</v>
      </c>
      <c r="C6">
        <v>800.34</v>
      </c>
      <c r="D6">
        <v>9.2999999999999992E-3</v>
      </c>
      <c r="E6">
        <v>109110349765</v>
      </c>
      <c r="F6">
        <v>2666835933</v>
      </c>
      <c r="G6" t="s">
        <v>39</v>
      </c>
      <c r="H6">
        <v>136360000</v>
      </c>
      <c r="I6">
        <f>Cleaned_Data[[#This Row],[Volume (24h) USD]]/Cleaned_Data[[#This Row],[Circulating_Supply($)]]</f>
        <v>19.557318370489881</v>
      </c>
      <c r="J6" s="2">
        <f>RANK(Cleaned_Data[[#This Row],[Market Cap]],Cleaned_Data[Market Cap],0)</f>
        <v>4</v>
      </c>
      <c r="K6" t="str">
        <f t="shared" si="0"/>
        <v>100-10000</v>
      </c>
    </row>
    <row r="7" spans="1:11" x14ac:dyDescent="0.3">
      <c r="A7" t="s">
        <v>40</v>
      </c>
      <c r="B7" t="s">
        <v>40</v>
      </c>
      <c r="C7">
        <v>1.63</v>
      </c>
      <c r="D7">
        <v>7.6E-3</v>
      </c>
      <c r="E7">
        <v>99257714735</v>
      </c>
      <c r="F7">
        <v>4324668476</v>
      </c>
      <c r="G7" t="s">
        <v>45</v>
      </c>
      <c r="H7">
        <v>60850000000</v>
      </c>
      <c r="I7">
        <f>Cleaned_Data[[#This Row],[Volume (24h) USD]]/Cleaned_Data[[#This Row],[Circulating_Supply($)]]</f>
        <v>7.1070969202958093E-2</v>
      </c>
      <c r="J7" s="2">
        <f>RANK(Cleaned_Data[[#This Row],[Market Cap]],Cleaned_Data[Market Cap],0)</f>
        <v>5</v>
      </c>
      <c r="K7" t="str">
        <f t="shared" si="0"/>
        <v>1-2</v>
      </c>
    </row>
    <row r="8" spans="1:11" x14ac:dyDescent="0.3">
      <c r="A8" t="s">
        <v>46</v>
      </c>
      <c r="B8" t="s">
        <v>46</v>
      </c>
      <c r="C8">
        <v>1</v>
      </c>
      <c r="D8">
        <v>0</v>
      </c>
      <c r="E8">
        <v>70068984474</v>
      </c>
      <c r="F8">
        <v>15127145069</v>
      </c>
      <c r="G8" t="s">
        <v>51</v>
      </c>
      <c r="H8">
        <v>70050000000</v>
      </c>
      <c r="I8">
        <f>Cleaned_Data[[#This Row],[Volume (24h) USD]]/Cleaned_Data[[#This Row],[Circulating_Supply($)]]</f>
        <v>0.21594782396859385</v>
      </c>
      <c r="J8" s="2">
        <f>RANK(Cleaned_Data[[#This Row],[Market Cap]],Cleaned_Data[Market Cap],0)</f>
        <v>6</v>
      </c>
      <c r="K8" t="str">
        <f t="shared" si="0"/>
        <v>0.5-1</v>
      </c>
    </row>
    <row r="9" spans="1:11" x14ac:dyDescent="0.3">
      <c r="A9" t="s">
        <v>52</v>
      </c>
      <c r="B9" t="s">
        <v>53</v>
      </c>
      <c r="C9">
        <v>108.28</v>
      </c>
      <c r="D9">
        <v>8.8000000000000005E-3</v>
      </c>
      <c r="E9">
        <v>61322031824</v>
      </c>
      <c r="F9">
        <v>6513195834</v>
      </c>
      <c r="G9" t="s">
        <v>58</v>
      </c>
      <c r="H9">
        <v>566300000</v>
      </c>
      <c r="I9">
        <f>Cleaned_Data[[#This Row],[Volume (24h) USD]]/Cleaned_Data[[#This Row],[Circulating_Supply($)]]</f>
        <v>11.50131702984284</v>
      </c>
      <c r="J9" s="2">
        <f>RANK(Cleaned_Data[[#This Row],[Market Cap]],Cleaned_Data[Market Cap],0)</f>
        <v>7</v>
      </c>
      <c r="K9" t="str">
        <f t="shared" si="0"/>
        <v>100-10000</v>
      </c>
    </row>
    <row r="10" spans="1:11" x14ac:dyDescent="0.3">
      <c r="A10" t="s">
        <v>59</v>
      </c>
      <c r="B10" t="s">
        <v>60</v>
      </c>
      <c r="C10">
        <v>0.28720000000000001</v>
      </c>
      <c r="D10">
        <v>6.9999999999999999E-4</v>
      </c>
      <c r="E10">
        <v>27209546349</v>
      </c>
      <c r="F10">
        <v>737295860</v>
      </c>
      <c r="G10" t="s">
        <v>65</v>
      </c>
      <c r="H10">
        <v>94710000000</v>
      </c>
      <c r="I10">
        <f>Cleaned_Data[[#This Row],[Volume (24h) USD]]/Cleaned_Data[[#This Row],[Circulating_Supply($)]]</f>
        <v>7.7847730968218769E-3</v>
      </c>
      <c r="J10" s="2">
        <f>RANK(Cleaned_Data[[#This Row],[Market Cap]],Cleaned_Data[Market Cap],0)</f>
        <v>8</v>
      </c>
      <c r="K10" t="str">
        <f t="shared" si="0"/>
        <v>0-0.5</v>
      </c>
    </row>
    <row r="11" spans="1:11" x14ac:dyDescent="0.3">
      <c r="A11" t="s">
        <v>66</v>
      </c>
      <c r="B11" t="s">
        <v>67</v>
      </c>
      <c r="C11">
        <v>0.1069</v>
      </c>
      <c r="D11">
        <v>2.7000000000000001E-3</v>
      </c>
      <c r="E11">
        <v>18030844694</v>
      </c>
      <c r="F11">
        <v>1620750635</v>
      </c>
      <c r="G11" t="s">
        <v>72</v>
      </c>
      <c r="H11">
        <v>168540000000</v>
      </c>
      <c r="I11">
        <f>Cleaned_Data[[#This Row],[Volume (24h) USD]]/Cleaned_Data[[#This Row],[Circulating_Supply($)]]</f>
        <v>9.6164153020054585E-3</v>
      </c>
      <c r="J11" s="2">
        <f>RANK(Cleaned_Data[[#This Row],[Market Cap]],Cleaned_Data[Market Cap],0)</f>
        <v>9</v>
      </c>
      <c r="K11" t="str">
        <f t="shared" si="0"/>
        <v>0-0.5</v>
      </c>
    </row>
    <row r="12" spans="1:11" x14ac:dyDescent="0.3">
      <c r="A12" t="s">
        <v>73</v>
      </c>
      <c r="B12" t="s">
        <v>74</v>
      </c>
      <c r="C12">
        <v>0.29699999999999999</v>
      </c>
      <c r="D12">
        <v>3.0000000000000001E-3</v>
      </c>
      <c r="E12">
        <v>10707656662</v>
      </c>
      <c r="F12">
        <v>1003038133</v>
      </c>
      <c r="G12" t="s">
        <v>79</v>
      </c>
      <c r="H12">
        <v>36040000000</v>
      </c>
      <c r="I12">
        <f>Cleaned_Data[[#This Row],[Volume (24h) USD]]/Cleaned_Data[[#This Row],[Circulating_Supply($)]]</f>
        <v>2.7831246753607104E-2</v>
      </c>
      <c r="J12" s="2">
        <f>RANK(Cleaned_Data[[#This Row],[Market Cap]],Cleaned_Data[Market Cap],0)</f>
        <v>10</v>
      </c>
      <c r="K12" t="str">
        <f t="shared" si="0"/>
        <v>0-0.5</v>
      </c>
    </row>
    <row r="13" spans="1:11" x14ac:dyDescent="0.3">
      <c r="A13" t="s">
        <v>80</v>
      </c>
      <c r="B13" t="s">
        <v>81</v>
      </c>
      <c r="C13">
        <v>517.47</v>
      </c>
      <c r="D13">
        <v>5.1000000000000004E-3</v>
      </c>
      <c r="E13">
        <v>10343419742</v>
      </c>
      <c r="F13">
        <v>378443816</v>
      </c>
      <c r="G13" t="s">
        <v>19</v>
      </c>
      <c r="H13">
        <v>19980000</v>
      </c>
      <c r="I13">
        <f>Cleaned_Data[[#This Row],[Volume (24h) USD]]/Cleaned_Data[[#This Row],[Circulating_Supply($)]]</f>
        <v>18.941131931931931</v>
      </c>
      <c r="J13" s="2">
        <f>RANK(Cleaned_Data[[#This Row],[Market Cap]],Cleaned_Data[Market Cap],0)</f>
        <v>11</v>
      </c>
      <c r="K13" t="str">
        <f t="shared" si="0"/>
        <v>100-10000</v>
      </c>
    </row>
    <row r="14" spans="1:11" x14ac:dyDescent="0.3">
      <c r="A14" t="s">
        <v>86</v>
      </c>
      <c r="B14" t="s">
        <v>87</v>
      </c>
      <c r="C14">
        <v>478.46</v>
      </c>
      <c r="D14">
        <v>0.01</v>
      </c>
      <c r="E14">
        <v>8826170412</v>
      </c>
      <c r="F14">
        <v>230984832</v>
      </c>
      <c r="G14" t="s">
        <v>92</v>
      </c>
      <c r="H14">
        <v>18440000</v>
      </c>
      <c r="I14">
        <f>Cleaned_Data[[#This Row],[Volume (24h) USD]]/Cleaned_Data[[#This Row],[Circulating_Supply($)]]</f>
        <v>12.526292407809111</v>
      </c>
      <c r="J14" s="2">
        <f>RANK(Cleaned_Data[[#This Row],[Market Cap]],Cleaned_Data[Market Cap],0)</f>
        <v>12</v>
      </c>
      <c r="K14" t="str">
        <f t="shared" si="0"/>
        <v>100-10000</v>
      </c>
    </row>
    <row r="15" spans="1:11" x14ac:dyDescent="0.3">
      <c r="A15" t="s">
        <v>93</v>
      </c>
      <c r="B15" t="s">
        <v>94</v>
      </c>
      <c r="C15">
        <v>28.48</v>
      </c>
      <c r="D15">
        <v>2.1499999999999998E-2</v>
      </c>
      <c r="E15">
        <v>8603897117</v>
      </c>
      <c r="F15">
        <v>645866941</v>
      </c>
      <c r="G15" t="s">
        <v>99</v>
      </c>
      <c r="H15">
        <v>302070000</v>
      </c>
      <c r="I15">
        <f>Cleaned_Data[[#This Row],[Volume (24h) USD]]/Cleaned_Data[[#This Row],[Circulating_Supply($)]]</f>
        <v>2.138136660376734</v>
      </c>
      <c r="J15" s="2">
        <f>RANK(Cleaned_Data[[#This Row],[Market Cap]],Cleaned_Data[Market Cap],0)</f>
        <v>13</v>
      </c>
      <c r="K15" t="str">
        <f t="shared" si="0"/>
        <v>10-100</v>
      </c>
    </row>
    <row r="16" spans="1:11" x14ac:dyDescent="0.3">
      <c r="A16" t="s">
        <v>100</v>
      </c>
      <c r="B16" t="s">
        <v>101</v>
      </c>
      <c r="C16">
        <v>9.02</v>
      </c>
      <c r="D16">
        <v>1.0699999999999999E-2</v>
      </c>
      <c r="E16">
        <v>8317384510</v>
      </c>
      <c r="F16">
        <v>1042178</v>
      </c>
      <c r="G16" t="s">
        <v>106</v>
      </c>
      <c r="H16">
        <v>921690000</v>
      </c>
      <c r="I16">
        <f>Cleaned_Data[[#This Row],[Volume (24h) USD]]/Cleaned_Data[[#This Row],[Circulating_Supply($)]]</f>
        <v>1.130725081101021E-3</v>
      </c>
      <c r="J16" s="2">
        <f>RANK(Cleaned_Data[[#This Row],[Market Cap]],Cleaned_Data[Market Cap],0)</f>
        <v>14</v>
      </c>
      <c r="K16" t="str">
        <f t="shared" si="0"/>
        <v>2-10</v>
      </c>
    </row>
    <row r="17" spans="1:11" x14ac:dyDescent="0.3">
      <c r="A17" t="s">
        <v>107</v>
      </c>
      <c r="B17" t="s">
        <v>108</v>
      </c>
      <c r="C17">
        <v>0.39</v>
      </c>
      <c r="D17">
        <v>2E-3</v>
      </c>
      <c r="E17">
        <v>357626461</v>
      </c>
      <c r="F17">
        <v>25105143</v>
      </c>
      <c r="G17" t="s">
        <v>113</v>
      </c>
      <c r="H17">
        <v>916930000</v>
      </c>
      <c r="I17">
        <f>Cleaned_Data[[#This Row],[Volume (24h) USD]]/Cleaned_Data[[#This Row],[Circulating_Supply($)]]</f>
        <v>2.7379563325444691E-2</v>
      </c>
      <c r="J17" s="2">
        <f>RANK(Cleaned_Data[[#This Row],[Market Cap]],Cleaned_Data[Market Cap],0)</f>
        <v>25</v>
      </c>
      <c r="K17" t="str">
        <f t="shared" si="0"/>
        <v>0-0.5</v>
      </c>
    </row>
    <row r="18" spans="1:11" x14ac:dyDescent="0.3">
      <c r="A18" t="s">
        <v>114</v>
      </c>
      <c r="B18" t="s">
        <v>115</v>
      </c>
      <c r="C18">
        <v>4.0300000000000002E-2</v>
      </c>
      <c r="D18">
        <v>5.3E-3</v>
      </c>
      <c r="E18">
        <v>355213012</v>
      </c>
      <c r="F18">
        <v>31943267</v>
      </c>
      <c r="G18" t="s">
        <v>120</v>
      </c>
      <c r="H18">
        <v>8810000000</v>
      </c>
      <c r="I18">
        <f>Cleaned_Data[[#This Row],[Volume (24h) USD]]/Cleaned_Data[[#This Row],[Circulating_Supply($)]]</f>
        <v>3.6257964812712825E-3</v>
      </c>
      <c r="J18" s="2">
        <f>RANK(Cleaned_Data[[#This Row],[Market Cap]],Cleaned_Data[Market Cap],0)</f>
        <v>26</v>
      </c>
      <c r="K18" t="str">
        <f t="shared" si="0"/>
        <v>0-0.5</v>
      </c>
    </row>
    <row r="19" spans="1:11" x14ac:dyDescent="0.3">
      <c r="A19" t="s">
        <v>121</v>
      </c>
      <c r="B19" t="s">
        <v>122</v>
      </c>
      <c r="C19">
        <v>0.3054</v>
      </c>
      <c r="D19">
        <v>2.8E-3</v>
      </c>
      <c r="E19">
        <v>353461784</v>
      </c>
      <c r="F19">
        <v>16374353</v>
      </c>
      <c r="G19" t="s">
        <v>127</v>
      </c>
      <c r="H19">
        <v>1150000000</v>
      </c>
      <c r="I19">
        <f>Cleaned_Data[[#This Row],[Volume (24h) USD]]/Cleaned_Data[[#This Row],[Circulating_Supply($)]]</f>
        <v>1.4238567826086956E-2</v>
      </c>
      <c r="J19" s="2">
        <f>RANK(Cleaned_Data[[#This Row],[Market Cap]],Cleaned_Data[Market Cap],0)</f>
        <v>27</v>
      </c>
      <c r="K19" t="str">
        <f t="shared" si="0"/>
        <v>0-0.5</v>
      </c>
    </row>
    <row r="20" spans="1:11" x14ac:dyDescent="0.3">
      <c r="A20" t="s">
        <v>128</v>
      </c>
      <c r="B20" t="s">
        <v>129</v>
      </c>
      <c r="C20">
        <v>0.49830000000000002</v>
      </c>
      <c r="D20">
        <v>2.8E-3</v>
      </c>
      <c r="E20">
        <v>348544163</v>
      </c>
      <c r="F20">
        <v>55872003</v>
      </c>
      <c r="G20" t="s">
        <v>133</v>
      </c>
      <c r="H20">
        <v>699360000</v>
      </c>
      <c r="I20">
        <f>Cleaned_Data[[#This Row],[Volume (24h) USD]]/Cleaned_Data[[#This Row],[Circulating_Supply($)]]</f>
        <v>7.9890189601921763E-2</v>
      </c>
      <c r="J20" s="2">
        <f>RANK(Cleaned_Data[[#This Row],[Market Cap]],Cleaned_Data[Market Cap],0)</f>
        <v>28</v>
      </c>
      <c r="K20" t="str">
        <f t="shared" si="0"/>
        <v>0-0.5</v>
      </c>
    </row>
    <row r="21" spans="1:11" x14ac:dyDescent="0.3">
      <c r="A21" t="s">
        <v>134</v>
      </c>
      <c r="B21" t="s">
        <v>135</v>
      </c>
      <c r="C21">
        <v>5.4300000000000001E-2</v>
      </c>
      <c r="D21">
        <v>5.0000000000000001E-4</v>
      </c>
      <c r="E21">
        <v>338276502</v>
      </c>
      <c r="F21">
        <v>25877567</v>
      </c>
      <c r="G21" t="s">
        <v>140</v>
      </c>
      <c r="H21">
        <v>6230000000</v>
      </c>
      <c r="I21">
        <f>Cleaned_Data[[#This Row],[Volume (24h) USD]]/Cleaned_Data[[#This Row],[Circulating_Supply($)]]</f>
        <v>4.1537025682182984E-3</v>
      </c>
      <c r="J21" s="2">
        <f>RANK(Cleaned_Data[[#This Row],[Market Cap]],Cleaned_Data[Market Cap],0)</f>
        <v>29</v>
      </c>
      <c r="K21" t="str">
        <f t="shared" si="0"/>
        <v>0-0.5</v>
      </c>
    </row>
    <row r="22" spans="1:11" x14ac:dyDescent="0.3">
      <c r="A22" t="s">
        <v>141</v>
      </c>
      <c r="B22" t="s">
        <v>141</v>
      </c>
      <c r="C22">
        <v>0</v>
      </c>
      <c r="D22">
        <v>9.9000000000000008E-3</v>
      </c>
      <c r="E22">
        <v>337158930</v>
      </c>
      <c r="F22">
        <v>58456797</v>
      </c>
      <c r="G22" t="s">
        <v>146</v>
      </c>
      <c r="H22">
        <v>9530000000000</v>
      </c>
      <c r="I22">
        <f>Cleaned_Data[[#This Row],[Volume (24h) USD]]/Cleaned_Data[[#This Row],[Circulating_Supply($)]]</f>
        <v>6.1339766002098633E-6</v>
      </c>
      <c r="J22" s="2">
        <f>RANK(Cleaned_Data[[#This Row],[Market Cap]],Cleaned_Data[Market Cap],0)</f>
        <v>30</v>
      </c>
      <c r="K22" t="str">
        <f t="shared" si="0"/>
        <v>0-0.5</v>
      </c>
    </row>
    <row r="23" spans="1:11" x14ac:dyDescent="0.3">
      <c r="A23" t="s">
        <v>147</v>
      </c>
      <c r="B23" t="s">
        <v>148</v>
      </c>
      <c r="C23">
        <v>6.3399999999999998E-2</v>
      </c>
      <c r="D23">
        <v>2.3E-3</v>
      </c>
      <c r="E23">
        <v>336412048</v>
      </c>
      <c r="F23">
        <v>14471518</v>
      </c>
      <c r="G23" t="s">
        <v>153</v>
      </c>
      <c r="H23">
        <v>999990000000000</v>
      </c>
      <c r="I23">
        <f>Cleaned_Data[[#This Row],[Volume (24h) USD]]/Cleaned_Data[[#This Row],[Circulating_Supply($)]]</f>
        <v>1.4471662716627166E-8</v>
      </c>
      <c r="J23" s="2">
        <f>RANK(Cleaned_Data[[#This Row],[Market Cap]],Cleaned_Data[Market Cap],0)</f>
        <v>31</v>
      </c>
      <c r="K23" t="str">
        <f t="shared" si="0"/>
        <v>0-0.5</v>
      </c>
    </row>
    <row r="24" spans="1:11" x14ac:dyDescent="0.3">
      <c r="A24" t="s">
        <v>154</v>
      </c>
      <c r="B24" t="s">
        <v>155</v>
      </c>
      <c r="C24">
        <v>1.7399999999999999E-2</v>
      </c>
      <c r="D24">
        <v>3.5000000000000001E-3</v>
      </c>
      <c r="E24">
        <v>333414314</v>
      </c>
      <c r="F24">
        <v>23017652</v>
      </c>
      <c r="G24" t="s">
        <v>160</v>
      </c>
      <c r="H24">
        <v>19200000000</v>
      </c>
      <c r="I24">
        <f>Cleaned_Data[[#This Row],[Volume (24h) USD]]/Cleaned_Data[[#This Row],[Circulating_Supply($)]]</f>
        <v>1.1988360416666666E-3</v>
      </c>
      <c r="J24" s="2">
        <f>RANK(Cleaned_Data[[#This Row],[Market Cap]],Cleaned_Data[Market Cap],0)</f>
        <v>32</v>
      </c>
      <c r="K24" t="str">
        <f t="shared" si="0"/>
        <v>0-0.5</v>
      </c>
    </row>
    <row r="25" spans="1:11" x14ac:dyDescent="0.3">
      <c r="A25" t="s">
        <v>161</v>
      </c>
      <c r="B25" t="s">
        <v>162</v>
      </c>
      <c r="C25">
        <v>0.13569999999999999</v>
      </c>
      <c r="D25">
        <v>2.2000000000000001E-3</v>
      </c>
      <c r="E25">
        <v>327345719</v>
      </c>
      <c r="F25">
        <v>144856633</v>
      </c>
      <c r="G25" t="s">
        <v>167</v>
      </c>
      <c r="H25">
        <v>2410000000</v>
      </c>
      <c r="I25">
        <f>Cleaned_Data[[#This Row],[Volume (24h) USD]]/Cleaned_Data[[#This Row],[Circulating_Supply($)]]</f>
        <v>6.0106486721991703E-2</v>
      </c>
      <c r="J25" s="2">
        <f>RANK(Cleaned_Data[[#This Row],[Market Cap]],Cleaned_Data[Market Cap],0)</f>
        <v>33</v>
      </c>
      <c r="K25" t="str">
        <f t="shared" si="0"/>
        <v>0-0.5</v>
      </c>
    </row>
    <row r="26" spans="1:11" x14ac:dyDescent="0.3">
      <c r="A26" t="s">
        <v>168</v>
      </c>
      <c r="B26" t="s">
        <v>169</v>
      </c>
      <c r="C26">
        <v>3.0499999999999999E-2</v>
      </c>
      <c r="D26">
        <v>3.3E-3</v>
      </c>
      <c r="E26">
        <v>326057965</v>
      </c>
      <c r="F26">
        <v>22330573</v>
      </c>
      <c r="G26" t="s">
        <v>174</v>
      </c>
      <c r="H26">
        <v>10690000000</v>
      </c>
      <c r="I26">
        <f>Cleaned_Data[[#This Row],[Volume (24h) USD]]/Cleaned_Data[[#This Row],[Circulating_Supply($)]]</f>
        <v>2.0889217025257252E-3</v>
      </c>
      <c r="J26" s="2">
        <f>RANK(Cleaned_Data[[#This Row],[Market Cap]],Cleaned_Data[Market Cap],0)</f>
        <v>34</v>
      </c>
      <c r="K26" t="str">
        <f t="shared" si="0"/>
        <v>0-0.5</v>
      </c>
    </row>
    <row r="27" spans="1:11" x14ac:dyDescent="0.3">
      <c r="A27" t="s">
        <v>175</v>
      </c>
      <c r="B27" t="s">
        <v>176</v>
      </c>
      <c r="C27">
        <v>0.37259999999999999</v>
      </c>
      <c r="D27">
        <v>4.5999999999999999E-3</v>
      </c>
      <c r="E27">
        <v>325625580</v>
      </c>
      <c r="F27">
        <v>57153367</v>
      </c>
      <c r="G27" t="s">
        <v>181</v>
      </c>
      <c r="H27">
        <v>873910000</v>
      </c>
      <c r="I27">
        <f>Cleaned_Data[[#This Row],[Volume (24h) USD]]/Cleaned_Data[[#This Row],[Circulating_Supply($)]]</f>
        <v>6.5399602933940565E-2</v>
      </c>
      <c r="J27" s="2">
        <f>RANK(Cleaned_Data[[#This Row],[Market Cap]],Cleaned_Data[Market Cap],0)</f>
        <v>35</v>
      </c>
      <c r="K27" t="str">
        <f t="shared" si="0"/>
        <v>0-0.5</v>
      </c>
    </row>
    <row r="28" spans="1:11" x14ac:dyDescent="0.3">
      <c r="A28" t="s">
        <v>182</v>
      </c>
      <c r="B28" t="s">
        <v>183</v>
      </c>
      <c r="C28">
        <v>0.74950000000000006</v>
      </c>
      <c r="D28">
        <v>2.69E-2</v>
      </c>
      <c r="E28">
        <v>322217831</v>
      </c>
      <c r="F28">
        <v>12850788</v>
      </c>
      <c r="G28" t="s">
        <v>188</v>
      </c>
      <c r="H28">
        <v>429860000</v>
      </c>
      <c r="I28">
        <f>Cleaned_Data[[#This Row],[Volume (24h) USD]]/Cleaned_Data[[#This Row],[Circulating_Supply($)]]</f>
        <v>2.9895286837575023E-2</v>
      </c>
      <c r="J28" s="2">
        <f>RANK(Cleaned_Data[[#This Row],[Market Cap]],Cleaned_Data[Market Cap],0)</f>
        <v>36</v>
      </c>
      <c r="K28" t="str">
        <f t="shared" si="0"/>
        <v>0.5-1</v>
      </c>
    </row>
    <row r="29" spans="1:11" x14ac:dyDescent="0.3">
      <c r="A29" t="s">
        <v>189</v>
      </c>
      <c r="B29" t="s">
        <v>190</v>
      </c>
      <c r="C29">
        <v>1.9</v>
      </c>
      <c r="D29">
        <v>3.8E-3</v>
      </c>
      <c r="E29">
        <v>321706465</v>
      </c>
      <c r="F29">
        <v>173812825</v>
      </c>
      <c r="G29" t="s">
        <v>195</v>
      </c>
      <c r="H29">
        <v>168830000</v>
      </c>
      <c r="I29">
        <f>Cleaned_Data[[#This Row],[Volume (24h) USD]]/Cleaned_Data[[#This Row],[Circulating_Supply($)]]</f>
        <v>1.0295138600959546</v>
      </c>
      <c r="J29" s="2">
        <f>RANK(Cleaned_Data[[#This Row],[Market Cap]],Cleaned_Data[Market Cap],0)</f>
        <v>37</v>
      </c>
      <c r="K29" t="str">
        <f t="shared" si="0"/>
        <v>1-2</v>
      </c>
    </row>
    <row r="30" spans="1:11" x14ac:dyDescent="0.3">
      <c r="A30" t="s">
        <v>196</v>
      </c>
      <c r="B30" t="s">
        <v>197</v>
      </c>
      <c r="C30">
        <v>121.78</v>
      </c>
      <c r="D30">
        <v>1.6999999999999999E-3</v>
      </c>
      <c r="E30">
        <v>321412644</v>
      </c>
      <c r="F30">
        <v>6233164</v>
      </c>
      <c r="G30" t="s">
        <v>202</v>
      </c>
      <c r="H30">
        <v>2630000</v>
      </c>
      <c r="I30">
        <f>Cleaned_Data[[#This Row],[Volume (24h) USD]]/Cleaned_Data[[#This Row],[Circulating_Supply($)]]</f>
        <v>2.3700243346007603</v>
      </c>
      <c r="J30" s="2">
        <f>RANK(Cleaned_Data[[#This Row],[Market Cap]],Cleaned_Data[Market Cap],0)</f>
        <v>38</v>
      </c>
      <c r="K30" t="str">
        <f t="shared" si="0"/>
        <v>100-10000</v>
      </c>
    </row>
    <row r="31" spans="1:11" x14ac:dyDescent="0.3">
      <c r="A31" t="s">
        <v>203</v>
      </c>
      <c r="B31" t="s">
        <v>204</v>
      </c>
      <c r="C31">
        <v>16.079999999999998</v>
      </c>
      <c r="D31">
        <v>2.8999999999999998E-3</v>
      </c>
      <c r="E31">
        <v>321399923</v>
      </c>
      <c r="F31">
        <v>17493978</v>
      </c>
      <c r="G31" t="s">
        <v>19</v>
      </c>
      <c r="H31">
        <v>19980000</v>
      </c>
      <c r="I31">
        <f>Cleaned_Data[[#This Row],[Volume (24h) USD]]/Cleaned_Data[[#This Row],[Circulating_Supply($)]]</f>
        <v>0.87557447447447445</v>
      </c>
      <c r="J31" s="2">
        <f>RANK(Cleaned_Data[[#This Row],[Market Cap]],Cleaned_Data[Market Cap],0)</f>
        <v>39</v>
      </c>
      <c r="K31" t="str">
        <f t="shared" si="0"/>
        <v>10-100</v>
      </c>
    </row>
    <row r="32" spans="1:11" x14ac:dyDescent="0.3">
      <c r="A32" t="s">
        <v>209</v>
      </c>
      <c r="B32" t="s">
        <v>210</v>
      </c>
      <c r="C32">
        <v>9.4999999999999998E-3</v>
      </c>
      <c r="D32">
        <v>8.2500000000000004E-2</v>
      </c>
      <c r="E32">
        <v>3233457315</v>
      </c>
      <c r="F32">
        <v>42995795</v>
      </c>
      <c r="G32" t="s">
        <v>215</v>
      </c>
      <c r="H32">
        <v>339820000000</v>
      </c>
      <c r="I32">
        <f>Cleaned_Data[[#This Row],[Volume (24h) USD]]/Cleaned_Data[[#This Row],[Circulating_Supply($)]]</f>
        <v>1.2652520452004001E-4</v>
      </c>
      <c r="J32" s="2">
        <f>RANK(Cleaned_Data[[#This Row],[Market Cap]],Cleaned_Data[Market Cap],0)</f>
        <v>15</v>
      </c>
      <c r="K32" t="str">
        <f t="shared" si="0"/>
        <v>0-0.5</v>
      </c>
    </row>
    <row r="33" spans="1:11" x14ac:dyDescent="0.3">
      <c r="A33" t="s">
        <v>216</v>
      </c>
      <c r="B33" t="s">
        <v>217</v>
      </c>
      <c r="C33">
        <v>0.99260000000000004</v>
      </c>
      <c r="D33">
        <v>4.0000000000000002E-4</v>
      </c>
      <c r="E33">
        <v>2049243108</v>
      </c>
      <c r="F33">
        <v>8388124</v>
      </c>
      <c r="G33" t="s">
        <v>221</v>
      </c>
      <c r="H33">
        <v>2060000000</v>
      </c>
      <c r="I33">
        <f>Cleaned_Data[[#This Row],[Volume (24h) USD]]/Cleaned_Data[[#This Row],[Circulating_Supply($)]]</f>
        <v>4.0719048543689318E-3</v>
      </c>
      <c r="J33" s="2">
        <f>RANK(Cleaned_Data[[#This Row],[Market Cap]],Cleaned_Data[Market Cap],0)</f>
        <v>16</v>
      </c>
      <c r="K33" t="str">
        <f t="shared" si="0"/>
        <v>0.5-1</v>
      </c>
    </row>
    <row r="34" spans="1:11" x14ac:dyDescent="0.3">
      <c r="A34" t="s">
        <v>222</v>
      </c>
      <c r="B34" t="s">
        <v>223</v>
      </c>
      <c r="C34">
        <v>4.2</v>
      </c>
      <c r="D34">
        <v>4.5999999999999999E-3</v>
      </c>
      <c r="E34">
        <v>1610130527</v>
      </c>
      <c r="F34">
        <v>36815479</v>
      </c>
      <c r="G34" t="s">
        <v>227</v>
      </c>
      <c r="H34">
        <v>382560000</v>
      </c>
      <c r="I34">
        <f>Cleaned_Data[[#This Row],[Volume (24h) USD]]/Cleaned_Data[[#This Row],[Circulating_Supply($)]]</f>
        <v>9.6234522689251353E-2</v>
      </c>
      <c r="J34" s="2">
        <f>RANK(Cleaned_Data[[#This Row],[Market Cap]],Cleaned_Data[Market Cap],0)</f>
        <v>17</v>
      </c>
      <c r="K34" t="str">
        <f t="shared" si="0"/>
        <v>2-10</v>
      </c>
    </row>
    <row r="35" spans="1:11" x14ac:dyDescent="0.3">
      <c r="A35" t="s">
        <v>228</v>
      </c>
      <c r="B35" t="s">
        <v>229</v>
      </c>
      <c r="C35">
        <v>1.1100000000000001</v>
      </c>
      <c r="D35">
        <v>4.0000000000000002E-4</v>
      </c>
      <c r="E35">
        <v>703423040</v>
      </c>
      <c r="F35">
        <v>1202486</v>
      </c>
      <c r="G35" t="s">
        <v>233</v>
      </c>
      <c r="H35">
        <v>629120000</v>
      </c>
      <c r="I35">
        <f>Cleaned_Data[[#This Row],[Volume (24h) USD]]/Cleaned_Data[[#This Row],[Circulating_Supply($)]]</f>
        <v>1.9113777975584944E-3</v>
      </c>
      <c r="J35" s="2">
        <f>RANK(Cleaned_Data[[#This Row],[Market Cap]],Cleaned_Data[Market Cap],0)</f>
        <v>18</v>
      </c>
      <c r="K35" t="str">
        <f t="shared" si="0"/>
        <v>1-2</v>
      </c>
    </row>
    <row r="36" spans="1:11" x14ac:dyDescent="0.3">
      <c r="A36" t="s">
        <v>234</v>
      </c>
      <c r="B36" t="s">
        <v>235</v>
      </c>
      <c r="C36">
        <v>0.99819999999999998</v>
      </c>
      <c r="D36">
        <v>1E-4</v>
      </c>
      <c r="E36">
        <v>590182114</v>
      </c>
      <c r="F36">
        <v>8479617</v>
      </c>
      <c r="G36" t="s">
        <v>239</v>
      </c>
      <c r="H36">
        <v>591220000</v>
      </c>
      <c r="I36">
        <f>Cleaned_Data[[#This Row],[Volume (24h) USD]]/Cleaned_Data[[#This Row],[Circulating_Supply($)]]</f>
        <v>1.4342574676093501E-2</v>
      </c>
      <c r="J36" s="2">
        <f>RANK(Cleaned_Data[[#This Row],[Market Cap]],Cleaned_Data[Market Cap],0)</f>
        <v>19</v>
      </c>
      <c r="K36" t="str">
        <f t="shared" si="0"/>
        <v>0.5-1</v>
      </c>
    </row>
    <row r="37" spans="1:11" x14ac:dyDescent="0.3">
      <c r="A37" t="s">
        <v>240</v>
      </c>
      <c r="B37" t="s">
        <v>241</v>
      </c>
      <c r="C37">
        <v>7.7600000000000002E-2</v>
      </c>
      <c r="D37">
        <v>1.1000000000000001E-3</v>
      </c>
      <c r="E37">
        <v>589997944</v>
      </c>
      <c r="F37">
        <v>12955869</v>
      </c>
      <c r="G37" t="s">
        <v>246</v>
      </c>
      <c r="H37">
        <v>7600000000</v>
      </c>
      <c r="I37">
        <f>Cleaned_Data[[#This Row],[Volume (24h) USD]]/Cleaned_Data[[#This Row],[Circulating_Supply($)]]</f>
        <v>1.7047196052631579E-3</v>
      </c>
      <c r="J37" s="2">
        <f>RANK(Cleaned_Data[[#This Row],[Market Cap]],Cleaned_Data[Market Cap],0)</f>
        <v>20</v>
      </c>
      <c r="K37" t="str">
        <f t="shared" si="0"/>
        <v>0-0.5</v>
      </c>
    </row>
    <row r="38" spans="1:11" x14ac:dyDescent="0.3">
      <c r="A38" t="s">
        <v>247</v>
      </c>
      <c r="B38" t="s">
        <v>247</v>
      </c>
      <c r="C38">
        <v>0.99890000000000001</v>
      </c>
      <c r="D38">
        <v>2.9999999999999997E-4</v>
      </c>
      <c r="E38">
        <v>507811109</v>
      </c>
      <c r="F38">
        <v>1718549</v>
      </c>
      <c r="G38" t="s">
        <v>252</v>
      </c>
      <c r="H38">
        <v>508360000</v>
      </c>
      <c r="I38">
        <f>Cleaned_Data[[#This Row],[Volume (24h) USD]]/Cleaned_Data[[#This Row],[Circulating_Supply($)]]</f>
        <v>3.3805747895192385E-3</v>
      </c>
      <c r="J38" s="2">
        <f>RANK(Cleaned_Data[[#This Row],[Market Cap]],Cleaned_Data[Market Cap],0)</f>
        <v>21</v>
      </c>
      <c r="K38" t="str">
        <f t="shared" si="0"/>
        <v>0.5-1</v>
      </c>
    </row>
    <row r="39" spans="1:11" x14ac:dyDescent="0.3">
      <c r="A39" t="s">
        <v>253</v>
      </c>
      <c r="B39" t="s">
        <v>254</v>
      </c>
      <c r="C39">
        <v>0.99980000000000002</v>
      </c>
      <c r="D39">
        <v>2.0000000000000001E-4</v>
      </c>
      <c r="E39">
        <v>501292387</v>
      </c>
      <c r="F39">
        <v>1889155</v>
      </c>
      <c r="G39" t="s">
        <v>259</v>
      </c>
      <c r="H39">
        <v>501350000</v>
      </c>
      <c r="I39">
        <f>Cleaned_Data[[#This Row],[Volume (24h) USD]]/Cleaned_Data[[#This Row],[Circulating_Supply($)]]</f>
        <v>3.7681360327116785E-3</v>
      </c>
      <c r="J39" s="2">
        <f>RANK(Cleaned_Data[[#This Row],[Market Cap]],Cleaned_Data[Market Cap],0)</f>
        <v>22</v>
      </c>
      <c r="K39" t="str">
        <f t="shared" si="0"/>
        <v>0.5-1</v>
      </c>
    </row>
    <row r="40" spans="1:11" x14ac:dyDescent="0.3">
      <c r="A40" t="s">
        <v>260</v>
      </c>
      <c r="B40" t="s">
        <v>261</v>
      </c>
      <c r="C40">
        <v>1.08</v>
      </c>
      <c r="D40">
        <v>1.1999999999999999E-3</v>
      </c>
      <c r="E40">
        <v>474148308</v>
      </c>
      <c r="F40">
        <v>12397216</v>
      </c>
      <c r="G40" t="s">
        <v>266</v>
      </c>
      <c r="H40">
        <v>436260000</v>
      </c>
      <c r="I40">
        <f>Cleaned_Data[[#This Row],[Volume (24h) USD]]/Cleaned_Data[[#This Row],[Circulating_Supply($)]]</f>
        <v>2.841703571264842E-2</v>
      </c>
      <c r="J40" s="2">
        <f>RANK(Cleaned_Data[[#This Row],[Market Cap]],Cleaned_Data[Market Cap],0)</f>
        <v>23</v>
      </c>
      <c r="K40" t="str">
        <f t="shared" si="0"/>
        <v>1-2</v>
      </c>
    </row>
    <row r="41" spans="1:11" x14ac:dyDescent="0.3">
      <c r="A41" t="s">
        <v>267</v>
      </c>
      <c r="B41" t="s">
        <v>268</v>
      </c>
      <c r="C41">
        <v>0.1057</v>
      </c>
      <c r="D41">
        <v>8.6999999999999994E-3</v>
      </c>
      <c r="E41">
        <v>460810289</v>
      </c>
      <c r="F41">
        <v>1330345</v>
      </c>
      <c r="G41" t="s">
        <v>273</v>
      </c>
      <c r="H41">
        <v>4350000000</v>
      </c>
      <c r="I41">
        <f>Cleaned_Data[[#This Row],[Volume (24h) USD]]/Cleaned_Data[[#This Row],[Circulating_Supply($)]]</f>
        <v>3.0582643678160918E-4</v>
      </c>
      <c r="J41" s="2">
        <f>RANK(Cleaned_Data[[#This Row],[Market Cap]],Cleaned_Data[Market Cap],0)</f>
        <v>24</v>
      </c>
      <c r="K41" t="str">
        <f t="shared" si="0"/>
        <v>0-0.5</v>
      </c>
    </row>
    <row r="42" spans="1:11" x14ac:dyDescent="0.3">
      <c r="A42" t="s">
        <v>274</v>
      </c>
      <c r="B42" t="s">
        <v>275</v>
      </c>
      <c r="C42">
        <v>0.99299999999999999</v>
      </c>
      <c r="D42">
        <v>1.1000000000000001E-3</v>
      </c>
      <c r="E42">
        <v>274227580</v>
      </c>
      <c r="F42">
        <v>19112452</v>
      </c>
      <c r="G42" t="s">
        <v>279</v>
      </c>
      <c r="H42">
        <v>276150000</v>
      </c>
      <c r="I42">
        <f>Cleaned_Data[[#This Row],[Volume (24h) USD]]/Cleaned_Data[[#This Row],[Circulating_Supply($)]]</f>
        <v>6.9210400144848819E-2</v>
      </c>
      <c r="J42" s="2">
        <f>RANK(Cleaned_Data[[#This Row],[Market Cap]],Cleaned_Data[Market Cap],0)</f>
        <v>40</v>
      </c>
      <c r="K42" t="str">
        <f t="shared" si="0"/>
        <v>0.5-1</v>
      </c>
    </row>
    <row r="43" spans="1:11" x14ac:dyDescent="0.3">
      <c r="A43" t="s">
        <v>280</v>
      </c>
      <c r="B43" t="s">
        <v>281</v>
      </c>
      <c r="C43">
        <v>2.27</v>
      </c>
      <c r="D43">
        <v>1.5E-3</v>
      </c>
      <c r="E43">
        <v>225619808</v>
      </c>
      <c r="F43">
        <v>484611</v>
      </c>
      <c r="G43" t="s">
        <v>286</v>
      </c>
      <c r="H43">
        <v>99240000</v>
      </c>
      <c r="I43">
        <f>Cleaned_Data[[#This Row],[Volume (24h) USD]]/Cleaned_Data[[#This Row],[Circulating_Supply($)]]</f>
        <v>4.8832224909310766E-3</v>
      </c>
      <c r="J43" s="2">
        <f>RANK(Cleaned_Data[[#This Row],[Market Cap]],Cleaned_Data[Market Cap],0)</f>
        <v>41</v>
      </c>
      <c r="K43" t="str">
        <f t="shared" si="0"/>
        <v>2-10</v>
      </c>
    </row>
    <row r="44" spans="1:11" x14ac:dyDescent="0.3">
      <c r="A44" t="s">
        <v>287</v>
      </c>
      <c r="B44" t="s">
        <v>288</v>
      </c>
      <c r="C44">
        <v>5.11E-2</v>
      </c>
      <c r="D44">
        <v>1E-3</v>
      </c>
      <c r="E44">
        <v>224178936</v>
      </c>
      <c r="F44">
        <v>31806985</v>
      </c>
      <c r="G44" t="s">
        <v>293</v>
      </c>
      <c r="H44">
        <v>210000000000000</v>
      </c>
      <c r="I44">
        <f>Cleaned_Data[[#This Row],[Volume (24h) USD]]/Cleaned_Data[[#This Row],[Circulating_Supply($)]]</f>
        <v>1.5146183333333334E-7</v>
      </c>
      <c r="J44" s="2">
        <f>RANK(Cleaned_Data[[#This Row],[Market Cap]],Cleaned_Data[Market Cap],0)</f>
        <v>42</v>
      </c>
      <c r="K44" t="str">
        <f t="shared" si="0"/>
        <v>0-0.5</v>
      </c>
    </row>
    <row r="45" spans="1:11" x14ac:dyDescent="0.3">
      <c r="A45" t="s">
        <v>294</v>
      </c>
      <c r="B45" t="s">
        <v>295</v>
      </c>
      <c r="C45">
        <v>0.51959999999999995</v>
      </c>
      <c r="D45">
        <v>6.7000000000000002E-3</v>
      </c>
      <c r="E45">
        <v>214947624</v>
      </c>
      <c r="F45">
        <v>76355</v>
      </c>
      <c r="G45" t="s">
        <v>300</v>
      </c>
      <c r="H45">
        <v>413620000</v>
      </c>
      <c r="I45">
        <f>Cleaned_Data[[#This Row],[Volume (24h) USD]]/Cleaned_Data[[#This Row],[Circulating_Supply($)]]</f>
        <v>1.8460180842319037E-4</v>
      </c>
      <c r="J45" s="2">
        <f>RANK(Cleaned_Data[[#This Row],[Market Cap]],Cleaned_Data[Market Cap],0)</f>
        <v>43</v>
      </c>
      <c r="K45" t="str">
        <f t="shared" si="0"/>
        <v>0.5-1</v>
      </c>
    </row>
    <row r="46" spans="1:11" x14ac:dyDescent="0.3">
      <c r="A46" t="s">
        <v>301</v>
      </c>
      <c r="B46" t="s">
        <v>302</v>
      </c>
      <c r="C46">
        <v>2.5499999999999998</v>
      </c>
      <c r="D46">
        <v>3.5999999999999999E-3</v>
      </c>
      <c r="E46">
        <v>201136547</v>
      </c>
      <c r="F46">
        <v>3432850</v>
      </c>
      <c r="G46" t="s">
        <v>307</v>
      </c>
      <c r="H46">
        <v>78600000</v>
      </c>
      <c r="I46">
        <f>Cleaned_Data[[#This Row],[Volume (24h) USD]]/Cleaned_Data[[#This Row],[Circulating_Supply($)]]</f>
        <v>4.3674936386768448E-2</v>
      </c>
      <c r="J46" s="2">
        <f>RANK(Cleaned_Data[[#This Row],[Market Cap]],Cleaned_Data[Market Cap],0)</f>
        <v>44</v>
      </c>
      <c r="K46" t="str">
        <f t="shared" si="0"/>
        <v>2-10</v>
      </c>
    </row>
    <row r="47" spans="1:11" x14ac:dyDescent="0.3">
      <c r="A47" t="s">
        <v>308</v>
      </c>
      <c r="B47" t="s">
        <v>309</v>
      </c>
      <c r="C47">
        <v>2.5000000000000001E-3</v>
      </c>
      <c r="D47">
        <v>1E-4</v>
      </c>
      <c r="E47">
        <v>72224200</v>
      </c>
      <c r="F47">
        <v>2687833</v>
      </c>
      <c r="G47" t="s">
        <v>313</v>
      </c>
      <c r="H47">
        <v>28410000000</v>
      </c>
      <c r="I47">
        <f>Cleaned_Data[[#This Row],[Volume (24h) USD]]/Cleaned_Data[[#This Row],[Circulating_Supply($)]]</f>
        <v>9.4608694121788109E-5</v>
      </c>
      <c r="J47" s="2">
        <f>RANK(Cleaned_Data[[#This Row],[Market Cap]],Cleaned_Data[Market Cap],0)</f>
        <v>45</v>
      </c>
      <c r="K47" t="str">
        <f t="shared" si="0"/>
        <v>0-0.5</v>
      </c>
    </row>
    <row r="48" spans="1:11" x14ac:dyDescent="0.3">
      <c r="A48" t="s">
        <v>314</v>
      </c>
      <c r="B48" t="s">
        <v>314</v>
      </c>
      <c r="C48">
        <v>0.99839999999999995</v>
      </c>
      <c r="D48">
        <v>2.3999999999999998E-3</v>
      </c>
      <c r="E48">
        <v>72083690</v>
      </c>
      <c r="F48">
        <v>23327644</v>
      </c>
      <c r="G48" t="s">
        <v>319</v>
      </c>
      <c r="H48">
        <v>72190000</v>
      </c>
      <c r="I48">
        <f>Cleaned_Data[[#This Row],[Volume (24h) USD]]/Cleaned_Data[[#This Row],[Circulating_Supply($)]]</f>
        <v>0.32314231888073142</v>
      </c>
      <c r="J48" s="2">
        <f>RANK(Cleaned_Data[[#This Row],[Market Cap]],Cleaned_Data[Market Cap],0)</f>
        <v>46</v>
      </c>
      <c r="K48" t="str">
        <f t="shared" si="0"/>
        <v>0.5-1</v>
      </c>
    </row>
    <row r="49" spans="1:11" x14ac:dyDescent="0.3">
      <c r="A49" t="s">
        <v>320</v>
      </c>
      <c r="B49" t="s">
        <v>321</v>
      </c>
      <c r="C49">
        <v>6.5299999999999997E-2</v>
      </c>
      <c r="D49">
        <v>6.4999999999999997E-3</v>
      </c>
      <c r="E49">
        <v>70850527</v>
      </c>
      <c r="F49">
        <v>1795870</v>
      </c>
      <c r="G49" t="s">
        <v>326</v>
      </c>
      <c r="H49">
        <v>133940000000000</v>
      </c>
      <c r="I49">
        <f>Cleaned_Data[[#This Row],[Volume (24h) USD]]/Cleaned_Data[[#This Row],[Circulating_Supply($)]]</f>
        <v>1.3408018515753323E-8</v>
      </c>
      <c r="J49" s="2">
        <f>RANK(Cleaned_Data[[#This Row],[Market Cap]],Cleaned_Data[Market Cap],0)</f>
        <v>47</v>
      </c>
      <c r="K49" t="str">
        <f t="shared" si="0"/>
        <v>0-0.5</v>
      </c>
    </row>
    <row r="50" spans="1:11" x14ac:dyDescent="0.3">
      <c r="A50" t="s">
        <v>327</v>
      </c>
      <c r="B50" t="s">
        <v>328</v>
      </c>
      <c r="C50">
        <v>0.246</v>
      </c>
      <c r="D50">
        <v>3.0000000000000001E-3</v>
      </c>
      <c r="E50">
        <v>70579202</v>
      </c>
      <c r="F50">
        <v>16262919</v>
      </c>
      <c r="G50" t="s">
        <v>332</v>
      </c>
      <c r="H50">
        <v>286830000</v>
      </c>
      <c r="I50">
        <f>Cleaned_Data[[#This Row],[Volume (24h) USD]]/Cleaned_Data[[#This Row],[Circulating_Supply($)]]</f>
        <v>5.6698807656102919E-2</v>
      </c>
      <c r="J50" s="2">
        <f>RANK(Cleaned_Data[[#This Row],[Market Cap]],Cleaned_Data[Market Cap],0)</f>
        <v>48</v>
      </c>
      <c r="K50" t="str">
        <f t="shared" si="0"/>
        <v>0-0.5</v>
      </c>
    </row>
    <row r="51" spans="1:11" x14ac:dyDescent="0.3">
      <c r="A51" t="s">
        <v>333</v>
      </c>
      <c r="B51" t="s">
        <v>334</v>
      </c>
      <c r="C51">
        <v>9.3800000000000008</v>
      </c>
      <c r="D51">
        <v>1.9099999999999999E-2</v>
      </c>
      <c r="E51">
        <v>70221607</v>
      </c>
      <c r="F51">
        <v>17095547</v>
      </c>
      <c r="G51" t="s">
        <v>339</v>
      </c>
      <c r="H51">
        <v>7480000</v>
      </c>
      <c r="I51">
        <f>Cleaned_Data[[#This Row],[Volume (24h) USD]]/Cleaned_Data[[#This Row],[Circulating_Supply($)]]</f>
        <v>2.2855009358288769</v>
      </c>
      <c r="J51" s="2">
        <f>RANK(Cleaned_Data[[#This Row],[Market Cap]],Cleaned_Data[Market Cap],0)</f>
        <v>49</v>
      </c>
      <c r="K51" t="str">
        <f t="shared" si="0"/>
        <v>2-10</v>
      </c>
    </row>
    <row r="52" spans="1:11" x14ac:dyDescent="0.3">
      <c r="A52" t="s">
        <v>340</v>
      </c>
      <c r="B52" t="s">
        <v>341</v>
      </c>
      <c r="C52">
        <v>426.79</v>
      </c>
      <c r="D52">
        <v>5.9999999999999995E-4</v>
      </c>
      <c r="E52">
        <v>70206142</v>
      </c>
      <c r="F52">
        <v>30381708</v>
      </c>
      <c r="G52" t="s">
        <v>346</v>
      </c>
      <c r="H52">
        <v>164490</v>
      </c>
      <c r="I52">
        <f>Cleaned_Data[[#This Row],[Volume (24h) USD]]/Cleaned_Data[[#This Row],[Circulating_Supply($)]]</f>
        <v>184.70246215575415</v>
      </c>
      <c r="J52" s="2">
        <f>RANK(Cleaned_Data[[#This Row],[Market Cap]],Cleaned_Data[Market Cap],0)</f>
        <v>50</v>
      </c>
      <c r="K52" t="str">
        <f t="shared" si="0"/>
        <v>100-10000</v>
      </c>
    </row>
    <row r="53" spans="1:11" x14ac:dyDescent="0.3">
      <c r="A53" t="s">
        <v>347</v>
      </c>
      <c r="B53" t="s">
        <v>347</v>
      </c>
      <c r="C53">
        <v>6.74</v>
      </c>
      <c r="D53">
        <v>7.4999999999999997E-3</v>
      </c>
      <c r="E53">
        <v>70062843</v>
      </c>
      <c r="F53">
        <v>7781122</v>
      </c>
      <c r="G53" t="s">
        <v>352</v>
      </c>
      <c r="H53">
        <v>10380000</v>
      </c>
      <c r="I53">
        <f>Cleaned_Data[[#This Row],[Volume (24h) USD]]/Cleaned_Data[[#This Row],[Circulating_Supply($)]]</f>
        <v>0.74962639691714839</v>
      </c>
      <c r="J53" s="2">
        <f>RANK(Cleaned_Data[[#This Row],[Market Cap]],Cleaned_Data[Market Cap],0)</f>
        <v>51</v>
      </c>
      <c r="K53" t="str">
        <f t="shared" si="0"/>
        <v>2-10</v>
      </c>
    </row>
    <row r="54" spans="1:11" x14ac:dyDescent="0.3">
      <c r="A54" t="s">
        <v>353</v>
      </c>
      <c r="B54" t="s">
        <v>354</v>
      </c>
      <c r="C54">
        <v>8.5300000000000001E-2</v>
      </c>
      <c r="D54">
        <v>7.9000000000000008E-3</v>
      </c>
      <c r="E54">
        <v>69799746</v>
      </c>
      <c r="F54">
        <v>2005121</v>
      </c>
      <c r="G54" t="s">
        <v>359</v>
      </c>
      <c r="H54">
        <v>818620000</v>
      </c>
      <c r="I54">
        <f>Cleaned_Data[[#This Row],[Volume (24h) USD]]/Cleaned_Data[[#This Row],[Circulating_Supply($)]]</f>
        <v>2.4493916591336639E-3</v>
      </c>
      <c r="J54" s="2">
        <f>RANK(Cleaned_Data[[#This Row],[Market Cap]],Cleaned_Data[Market Cap],0)</f>
        <v>52</v>
      </c>
      <c r="K54" t="str">
        <f t="shared" si="0"/>
        <v>0-0.5</v>
      </c>
    </row>
    <row r="55" spans="1:11" x14ac:dyDescent="0.3">
      <c r="A55" t="s">
        <v>360</v>
      </c>
      <c r="B55" t="s">
        <v>361</v>
      </c>
      <c r="C55">
        <v>5.16E-2</v>
      </c>
      <c r="D55">
        <v>4.1999999999999997E-3</v>
      </c>
      <c r="E55">
        <v>69227990</v>
      </c>
      <c r="F55">
        <v>379508</v>
      </c>
      <c r="G55" t="s">
        <v>366</v>
      </c>
      <c r="H55">
        <v>43550000000000</v>
      </c>
      <c r="I55">
        <f>Cleaned_Data[[#This Row],[Volume (24h) USD]]/Cleaned_Data[[#This Row],[Circulating_Supply($)]]</f>
        <v>8.7143053960964413E-9</v>
      </c>
      <c r="J55" s="2">
        <f>RANK(Cleaned_Data[[#This Row],[Market Cap]],Cleaned_Data[Market Cap],0)</f>
        <v>53</v>
      </c>
      <c r="K55" t="str">
        <f t="shared" si="0"/>
        <v>0-0.5</v>
      </c>
    </row>
    <row r="56" spans="1:11" x14ac:dyDescent="0.3">
      <c r="A56" t="s">
        <v>367</v>
      </c>
      <c r="B56" t="s">
        <v>368</v>
      </c>
      <c r="C56">
        <v>0.22600000000000001</v>
      </c>
      <c r="D56">
        <v>7.1000000000000004E-3</v>
      </c>
      <c r="E56">
        <v>69207940</v>
      </c>
      <c r="F56">
        <v>12355040</v>
      </c>
      <c r="G56" t="s">
        <v>373</v>
      </c>
      <c r="H56">
        <v>306100000</v>
      </c>
      <c r="I56">
        <f>Cleaned_Data[[#This Row],[Volume (24h) USD]]/Cleaned_Data[[#This Row],[Circulating_Supply($)]]</f>
        <v>4.0362757268866387E-2</v>
      </c>
      <c r="J56" s="2">
        <f>RANK(Cleaned_Data[[#This Row],[Market Cap]],Cleaned_Data[Market Cap],0)</f>
        <v>54</v>
      </c>
      <c r="K56" t="str">
        <f t="shared" si="0"/>
        <v>0-0.5</v>
      </c>
    </row>
    <row r="57" spans="1:11" x14ac:dyDescent="0.3">
      <c r="A57" t="s">
        <v>374</v>
      </c>
      <c r="B57" t="s">
        <v>375</v>
      </c>
      <c r="C57">
        <v>0.35220000000000001</v>
      </c>
      <c r="D57">
        <v>8.0000000000000002E-3</v>
      </c>
      <c r="E57">
        <v>68690236</v>
      </c>
      <c r="F57">
        <v>35202021</v>
      </c>
      <c r="G57" t="s">
        <v>380</v>
      </c>
      <c r="H57">
        <v>195000000</v>
      </c>
      <c r="I57">
        <f>Cleaned_Data[[#This Row],[Volume (24h) USD]]/Cleaned_Data[[#This Row],[Circulating_Supply($)]]</f>
        <v>0.18052318461538461</v>
      </c>
      <c r="J57" s="2">
        <f>RANK(Cleaned_Data[[#This Row],[Market Cap]],Cleaned_Data[Market Cap],0)</f>
        <v>55</v>
      </c>
      <c r="K57" t="str">
        <f t="shared" si="0"/>
        <v>0-0.5</v>
      </c>
    </row>
    <row r="58" spans="1:11" x14ac:dyDescent="0.3">
      <c r="A58" t="s">
        <v>381</v>
      </c>
      <c r="B58" t="s">
        <v>382</v>
      </c>
      <c r="C58">
        <v>4.01</v>
      </c>
      <c r="D58">
        <v>3.3999999999999998E-3</v>
      </c>
      <c r="E58">
        <v>68590136</v>
      </c>
      <c r="F58">
        <v>161633</v>
      </c>
      <c r="G58" t="s">
        <v>387</v>
      </c>
      <c r="H58">
        <v>17070000</v>
      </c>
      <c r="I58">
        <f>Cleaned_Data[[#This Row],[Volume (24h) USD]]/Cleaned_Data[[#This Row],[Circulating_Supply($)]]</f>
        <v>9.4688342120679558E-3</v>
      </c>
      <c r="J58" s="2">
        <f>RANK(Cleaned_Data[[#This Row],[Market Cap]],Cleaned_Data[Market Cap],0)</f>
        <v>56</v>
      </c>
      <c r="K58" t="str">
        <f t="shared" si="0"/>
        <v>2-10</v>
      </c>
    </row>
    <row r="59" spans="1:11" x14ac:dyDescent="0.3">
      <c r="A59" t="s">
        <v>388</v>
      </c>
      <c r="B59" t="s">
        <v>389</v>
      </c>
      <c r="C59">
        <v>6.3200000000000006E-2</v>
      </c>
      <c r="D59">
        <v>1.9E-3</v>
      </c>
      <c r="E59">
        <v>68467389</v>
      </c>
      <c r="F59">
        <v>4687808</v>
      </c>
      <c r="G59" t="s">
        <v>394</v>
      </c>
      <c r="H59">
        <v>1080000000</v>
      </c>
      <c r="I59">
        <f>Cleaned_Data[[#This Row],[Volume (24h) USD]]/Cleaned_Data[[#This Row],[Circulating_Supply($)]]</f>
        <v>4.3405629629629629E-3</v>
      </c>
      <c r="J59" s="2">
        <f>RANK(Cleaned_Data[[#This Row],[Market Cap]],Cleaned_Data[Market Cap],0)</f>
        <v>57</v>
      </c>
      <c r="K59" t="str">
        <f t="shared" si="0"/>
        <v>0-0.5</v>
      </c>
    </row>
    <row r="60" spans="1:11" x14ac:dyDescent="0.3">
      <c r="A60" t="s">
        <v>395</v>
      </c>
      <c r="B60" t="s">
        <v>396</v>
      </c>
      <c r="C60">
        <v>8.1000000000000003E-2</v>
      </c>
      <c r="D60">
        <v>5.7000000000000002E-3</v>
      </c>
      <c r="E60">
        <v>68300453</v>
      </c>
      <c r="F60">
        <v>320904</v>
      </c>
      <c r="G60" t="s">
        <v>401</v>
      </c>
      <c r="H60">
        <v>842760000</v>
      </c>
      <c r="I60">
        <f>Cleaned_Data[[#This Row],[Volume (24h) USD]]/Cleaned_Data[[#This Row],[Circulating_Supply($)]]</f>
        <v>3.807774455360957E-4</v>
      </c>
      <c r="J60" s="2">
        <f>RANK(Cleaned_Data[[#This Row],[Market Cap]],Cleaned_Data[Market Cap],0)</f>
        <v>58</v>
      </c>
      <c r="K60" t="str">
        <f t="shared" si="0"/>
        <v>0-0.5</v>
      </c>
    </row>
    <row r="61" spans="1:11" x14ac:dyDescent="0.3">
      <c r="A61" t="s">
        <v>402</v>
      </c>
      <c r="B61" t="s">
        <v>403</v>
      </c>
      <c r="C61">
        <v>0.34799999999999998</v>
      </c>
      <c r="D61">
        <v>9.1999999999999998E-3</v>
      </c>
      <c r="E61">
        <v>68294996</v>
      </c>
      <c r="F61">
        <v>198025</v>
      </c>
      <c r="G61" t="s">
        <v>408</v>
      </c>
      <c r="H61">
        <v>196210000</v>
      </c>
      <c r="I61">
        <f>Cleaned_Data[[#This Row],[Volume (24h) USD]]/Cleaned_Data[[#This Row],[Circulating_Supply($)]]</f>
        <v>1.0092502930533613E-3</v>
      </c>
      <c r="J61" s="2">
        <f>RANK(Cleaned_Data[[#This Row],[Market Cap]],Cleaned_Data[Market Cap],0)</f>
        <v>59</v>
      </c>
      <c r="K61" t="str">
        <f t="shared" si="0"/>
        <v>0-0.5</v>
      </c>
    </row>
    <row r="62" spans="1:11" x14ac:dyDescent="0.3">
      <c r="A62" t="s">
        <v>409</v>
      </c>
      <c r="B62" t="s">
        <v>410</v>
      </c>
      <c r="C62">
        <v>4.5199999999999997E-2</v>
      </c>
      <c r="D62">
        <v>9.2999999999999992E-3</v>
      </c>
      <c r="E62">
        <v>49246411</v>
      </c>
      <c r="F62">
        <v>3186372</v>
      </c>
      <c r="G62" t="s">
        <v>394</v>
      </c>
      <c r="H62">
        <v>1080000000</v>
      </c>
      <c r="I62">
        <f>Cleaned_Data[[#This Row],[Volume (24h) USD]]/Cleaned_Data[[#This Row],[Circulating_Supply($)]]</f>
        <v>2.9503444444444445E-3</v>
      </c>
      <c r="J62" s="2">
        <f>RANK(Cleaned_Data[[#This Row],[Market Cap]],Cleaned_Data[Market Cap],0)</f>
        <v>60</v>
      </c>
      <c r="K62" t="str">
        <f t="shared" si="0"/>
        <v>0-0.5</v>
      </c>
    </row>
    <row r="63" spans="1:11" x14ac:dyDescent="0.3">
      <c r="A63" t="s">
        <v>414</v>
      </c>
      <c r="B63" t="s">
        <v>415</v>
      </c>
      <c r="C63">
        <v>2.1000000000000001E-2</v>
      </c>
      <c r="D63">
        <v>2.3E-3</v>
      </c>
      <c r="E63">
        <v>49149473</v>
      </c>
      <c r="F63">
        <v>43783971</v>
      </c>
      <c r="G63" t="s">
        <v>419</v>
      </c>
      <c r="H63">
        <v>2330000000</v>
      </c>
      <c r="I63">
        <f>Cleaned_Data[[#This Row],[Volume (24h) USD]]/Cleaned_Data[[#This Row],[Circulating_Supply($)]]</f>
        <v>1.8791403862660944E-2</v>
      </c>
      <c r="J63" s="2">
        <f>RANK(Cleaned_Data[[#This Row],[Market Cap]],Cleaned_Data[Market Cap],0)</f>
        <v>61</v>
      </c>
      <c r="K63" t="str">
        <f t="shared" si="0"/>
        <v>0-0.5</v>
      </c>
    </row>
    <row r="64" spans="1:11" x14ac:dyDescent="0.3">
      <c r="A64" t="s">
        <v>420</v>
      </c>
      <c r="B64" t="s">
        <v>421</v>
      </c>
      <c r="C64">
        <v>6.7199999999999996E-2</v>
      </c>
      <c r="D64">
        <v>3.2000000000000002E-3</v>
      </c>
      <c r="E64">
        <v>48760107</v>
      </c>
      <c r="F64">
        <v>2895727</v>
      </c>
      <c r="G64" t="s">
        <v>426</v>
      </c>
      <c r="H64">
        <v>725440000</v>
      </c>
      <c r="I64">
        <f>Cleaned_Data[[#This Row],[Volume (24h) USD]]/Cleaned_Data[[#This Row],[Circulating_Supply($)]]</f>
        <v>3.9916836678429643E-3</v>
      </c>
      <c r="J64" s="2">
        <f>RANK(Cleaned_Data[[#This Row],[Market Cap]],Cleaned_Data[Market Cap],0)</f>
        <v>62</v>
      </c>
      <c r="K64" t="str">
        <f t="shared" si="0"/>
        <v>0-0.5</v>
      </c>
    </row>
    <row r="65" spans="1:11" x14ac:dyDescent="0.3">
      <c r="A65" t="s">
        <v>427</v>
      </c>
      <c r="B65" t="s">
        <v>428</v>
      </c>
      <c r="C65">
        <v>0.18720000000000001</v>
      </c>
      <c r="D65">
        <v>2E-3</v>
      </c>
      <c r="E65">
        <v>48384025</v>
      </c>
      <c r="F65">
        <v>4103126</v>
      </c>
      <c r="G65" t="s">
        <v>432</v>
      </c>
      <c r="H65">
        <v>258380000</v>
      </c>
      <c r="I65">
        <f>Cleaned_Data[[#This Row],[Volume (24h) USD]]/Cleaned_Data[[#This Row],[Circulating_Supply($)]]</f>
        <v>1.5880199705859587E-2</v>
      </c>
      <c r="J65" s="2">
        <f>RANK(Cleaned_Data[[#This Row],[Market Cap]],Cleaned_Data[Market Cap],0)</f>
        <v>63</v>
      </c>
      <c r="K65" t="str">
        <f t="shared" si="0"/>
        <v>0-0.5</v>
      </c>
    </row>
    <row r="66" spans="1:11" x14ac:dyDescent="0.3">
      <c r="A66" t="s">
        <v>433</v>
      </c>
      <c r="B66" t="s">
        <v>434</v>
      </c>
      <c r="C66">
        <v>1.7000000000000001E-2</v>
      </c>
      <c r="D66">
        <v>5.1000000000000004E-3</v>
      </c>
      <c r="E66">
        <v>48225874</v>
      </c>
      <c r="F66">
        <v>8540848</v>
      </c>
      <c r="G66" t="s">
        <v>438</v>
      </c>
      <c r="H66">
        <v>2830000000</v>
      </c>
      <c r="I66">
        <f>Cleaned_Data[[#This Row],[Volume (24h) USD]]/Cleaned_Data[[#This Row],[Circulating_Supply($)]]</f>
        <v>3.0179674911660777E-3</v>
      </c>
      <c r="J66" s="2">
        <f>RANK(Cleaned_Data[[#This Row],[Market Cap]],Cleaned_Data[Market Cap],0)</f>
        <v>64</v>
      </c>
      <c r="K66" t="str">
        <f t="shared" ref="K66:K129" si="1">IF(C66&lt;=0.5,"0-0.5",
IF(C66&lt;=1,"0.5-1",
IF(C66&lt;=2,"1-2",
IF(C66&lt;=10,"2-10",
IF(C66&lt;=100,"10-100",
IF(C66&lt;=10000,"100-10000",
"10000+"))))))</f>
        <v>0-0.5</v>
      </c>
    </row>
    <row r="67" spans="1:11" x14ac:dyDescent="0.3">
      <c r="A67" t="s">
        <v>439</v>
      </c>
      <c r="B67" t="s">
        <v>440</v>
      </c>
      <c r="C67">
        <v>2.5000000000000001E-2</v>
      </c>
      <c r="D67">
        <v>5.1000000000000004E-3</v>
      </c>
      <c r="E67">
        <v>48159008</v>
      </c>
      <c r="F67">
        <v>8585896</v>
      </c>
      <c r="G67" t="s">
        <v>444</v>
      </c>
      <c r="H67">
        <v>1920000000</v>
      </c>
      <c r="I67">
        <f>Cleaned_Data[[#This Row],[Volume (24h) USD]]/Cleaned_Data[[#This Row],[Circulating_Supply($)]]</f>
        <v>4.4718208333333334E-3</v>
      </c>
      <c r="J67" s="2">
        <f>RANK(Cleaned_Data[[#This Row],[Market Cap]],Cleaned_Data[Market Cap],0)</f>
        <v>65</v>
      </c>
      <c r="K67" t="str">
        <f t="shared" si="1"/>
        <v>0-0.5</v>
      </c>
    </row>
    <row r="68" spans="1:11" x14ac:dyDescent="0.3">
      <c r="A68" t="s">
        <v>445</v>
      </c>
      <c r="B68" t="s">
        <v>446</v>
      </c>
      <c r="C68">
        <v>1</v>
      </c>
      <c r="D68">
        <v>5.0000000000000001E-4</v>
      </c>
      <c r="E68">
        <v>48149023</v>
      </c>
      <c r="F68">
        <v>3564774</v>
      </c>
      <c r="G68" t="s">
        <v>449</v>
      </c>
      <c r="H68">
        <v>48140000</v>
      </c>
      <c r="I68">
        <f>Cleaned_Data[[#This Row],[Volume (24h) USD]]/Cleaned_Data[[#This Row],[Circulating_Supply($)]]</f>
        <v>7.4050145409223098E-2</v>
      </c>
      <c r="J68" s="2">
        <f>RANK(Cleaned_Data[[#This Row],[Market Cap]],Cleaned_Data[Market Cap],0)</f>
        <v>66</v>
      </c>
      <c r="K68" t="str">
        <f t="shared" si="1"/>
        <v>0.5-1</v>
      </c>
    </row>
    <row r="69" spans="1:11" x14ac:dyDescent="0.3">
      <c r="A69" t="s">
        <v>450</v>
      </c>
      <c r="B69" t="s">
        <v>450</v>
      </c>
      <c r="C69">
        <v>4.36E-2</v>
      </c>
      <c r="D69">
        <v>8.2000000000000007E-3</v>
      </c>
      <c r="E69">
        <v>47961172</v>
      </c>
      <c r="F69">
        <v>32094937</v>
      </c>
      <c r="G69" t="s">
        <v>455</v>
      </c>
      <c r="H69">
        <v>1090000000</v>
      </c>
      <c r="I69">
        <f>Cleaned_Data[[#This Row],[Volume (24h) USD]]/Cleaned_Data[[#This Row],[Circulating_Supply($)]]</f>
        <v>2.9444896330275229E-2</v>
      </c>
      <c r="J69" s="2">
        <f>RANK(Cleaned_Data[[#This Row],[Market Cap]],Cleaned_Data[Market Cap],0)</f>
        <v>67</v>
      </c>
      <c r="K69" t="str">
        <f t="shared" si="1"/>
        <v>0-0.5</v>
      </c>
    </row>
    <row r="70" spans="1:11" x14ac:dyDescent="0.3">
      <c r="A70" t="s">
        <v>456</v>
      </c>
      <c r="B70" t="s">
        <v>457</v>
      </c>
      <c r="C70">
        <v>6.7500000000000004E-2</v>
      </c>
      <c r="D70">
        <v>6.1999999999999998E-3</v>
      </c>
      <c r="E70">
        <v>47906844</v>
      </c>
      <c r="F70">
        <v>19106090</v>
      </c>
      <c r="G70" t="s">
        <v>462</v>
      </c>
      <c r="H70">
        <v>709980000</v>
      </c>
      <c r="I70">
        <f>Cleaned_Data[[#This Row],[Volume (24h) USD]]/Cleaned_Data[[#This Row],[Circulating_Supply($)]]</f>
        <v>2.6910743964618723E-2</v>
      </c>
      <c r="J70" s="2">
        <f>RANK(Cleaned_Data[[#This Row],[Market Cap]],Cleaned_Data[Market Cap],0)</f>
        <v>68</v>
      </c>
      <c r="K70" t="str">
        <f t="shared" si="1"/>
        <v>0-0.5</v>
      </c>
    </row>
    <row r="71" spans="1:11" x14ac:dyDescent="0.3">
      <c r="A71" t="s">
        <v>463</v>
      </c>
      <c r="B71" t="s">
        <v>464</v>
      </c>
      <c r="C71">
        <v>0.22670000000000001</v>
      </c>
      <c r="D71">
        <v>5.3E-3</v>
      </c>
      <c r="E71">
        <v>47864197</v>
      </c>
      <c r="F71">
        <v>3082388</v>
      </c>
      <c r="G71" t="s">
        <v>468</v>
      </c>
      <c r="H71">
        <v>211080000</v>
      </c>
      <c r="I71">
        <f>Cleaned_Data[[#This Row],[Volume (24h) USD]]/Cleaned_Data[[#This Row],[Circulating_Supply($)]]</f>
        <v>1.4602937274966837E-2</v>
      </c>
      <c r="J71" s="2">
        <f>RANK(Cleaned_Data[[#This Row],[Market Cap]],Cleaned_Data[Market Cap],0)</f>
        <v>69</v>
      </c>
      <c r="K71" t="str">
        <f t="shared" si="1"/>
        <v>0-0.5</v>
      </c>
    </row>
    <row r="72" spans="1:11" x14ac:dyDescent="0.3">
      <c r="A72" t="s">
        <v>469</v>
      </c>
      <c r="B72" t="s">
        <v>470</v>
      </c>
      <c r="C72">
        <v>0.23949999999999999</v>
      </c>
      <c r="D72">
        <v>1E-4</v>
      </c>
      <c r="E72">
        <v>47531204</v>
      </c>
      <c r="F72">
        <v>19972</v>
      </c>
      <c r="G72" t="s">
        <v>474</v>
      </c>
      <c r="H72">
        <v>198390000</v>
      </c>
      <c r="I72">
        <f>Cleaned_Data[[#This Row],[Volume (24h) USD]]/Cleaned_Data[[#This Row],[Circulating_Supply($)]]</f>
        <v>1.0067039669338173E-4</v>
      </c>
      <c r="J72" s="2">
        <f>RANK(Cleaned_Data[[#This Row],[Market Cap]],Cleaned_Data[Market Cap],0)</f>
        <v>70</v>
      </c>
      <c r="K72" t="str">
        <f t="shared" si="1"/>
        <v>0-0.5</v>
      </c>
    </row>
    <row r="73" spans="1:11" x14ac:dyDescent="0.3">
      <c r="A73" t="s">
        <v>475</v>
      </c>
      <c r="B73" t="s">
        <v>476</v>
      </c>
      <c r="C73">
        <v>0.99839999999999995</v>
      </c>
      <c r="D73">
        <v>0</v>
      </c>
      <c r="E73">
        <v>47495368</v>
      </c>
      <c r="F73">
        <v>1279060</v>
      </c>
      <c r="G73" t="s">
        <v>479</v>
      </c>
      <c r="H73">
        <v>47560000</v>
      </c>
      <c r="I73">
        <f>Cleaned_Data[[#This Row],[Volume (24h) USD]]/Cleaned_Data[[#This Row],[Circulating_Supply($)]]</f>
        <v>2.6893608074011775E-2</v>
      </c>
      <c r="J73" s="2">
        <f>RANK(Cleaned_Data[[#This Row],[Market Cap]],Cleaned_Data[Market Cap],0)</f>
        <v>71</v>
      </c>
      <c r="K73" t="str">
        <f t="shared" si="1"/>
        <v>0.5-1</v>
      </c>
    </row>
    <row r="74" spans="1:11" x14ac:dyDescent="0.3">
      <c r="A74" t="s">
        <v>480</v>
      </c>
      <c r="B74" t="s">
        <v>481</v>
      </c>
      <c r="C74">
        <v>9.02</v>
      </c>
      <c r="D74">
        <v>6.9999999999999999E-4</v>
      </c>
      <c r="E74">
        <v>47476175</v>
      </c>
      <c r="F74">
        <v>281774</v>
      </c>
      <c r="G74" t="s">
        <v>484</v>
      </c>
      <c r="H74">
        <v>5260000</v>
      </c>
      <c r="I74">
        <f>Cleaned_Data[[#This Row],[Volume (24h) USD]]/Cleaned_Data[[#This Row],[Circulating_Supply($)]]</f>
        <v>5.3569201520912546E-2</v>
      </c>
      <c r="J74" s="2">
        <f>RANK(Cleaned_Data[[#This Row],[Market Cap]],Cleaned_Data[Market Cap],0)</f>
        <v>72</v>
      </c>
      <c r="K74" t="str">
        <f t="shared" si="1"/>
        <v>2-10</v>
      </c>
    </row>
    <row r="75" spans="1:11" x14ac:dyDescent="0.3">
      <c r="A75" t="s">
        <v>485</v>
      </c>
      <c r="B75" t="s">
        <v>486</v>
      </c>
      <c r="C75">
        <v>5.0700000000000002E-2</v>
      </c>
      <c r="D75">
        <v>1.0999999999999999E-2</v>
      </c>
      <c r="E75">
        <v>47349783</v>
      </c>
      <c r="F75">
        <v>5668553</v>
      </c>
      <c r="G75" t="s">
        <v>491</v>
      </c>
      <c r="H75">
        <v>934260000</v>
      </c>
      <c r="I75">
        <f>Cleaned_Data[[#This Row],[Volume (24h) USD]]/Cleaned_Data[[#This Row],[Circulating_Supply($)]]</f>
        <v>6.0674255560550592E-3</v>
      </c>
      <c r="J75" s="2">
        <f>RANK(Cleaned_Data[[#This Row],[Market Cap]],Cleaned_Data[Market Cap],0)</f>
        <v>73</v>
      </c>
      <c r="K75" t="str">
        <f t="shared" si="1"/>
        <v>0-0.5</v>
      </c>
    </row>
    <row r="76" spans="1:11" x14ac:dyDescent="0.3">
      <c r="A76" t="s">
        <v>492</v>
      </c>
      <c r="B76" t="s">
        <v>493</v>
      </c>
      <c r="C76">
        <v>2.8</v>
      </c>
      <c r="D76">
        <v>4.5999999999999999E-3</v>
      </c>
      <c r="E76">
        <v>46750473</v>
      </c>
      <c r="F76">
        <v>16416153</v>
      </c>
      <c r="G76" t="s">
        <v>497</v>
      </c>
      <c r="H76">
        <v>16660000</v>
      </c>
      <c r="I76">
        <f>Cleaned_Data[[#This Row],[Volume (24h) USD]]/Cleaned_Data[[#This Row],[Circulating_Supply($)]]</f>
        <v>0.98536332533013204</v>
      </c>
      <c r="J76" s="2">
        <f>RANK(Cleaned_Data[[#This Row],[Market Cap]],Cleaned_Data[Market Cap],0)</f>
        <v>74</v>
      </c>
      <c r="K76" t="str">
        <f t="shared" si="1"/>
        <v>2-10</v>
      </c>
    </row>
    <row r="77" spans="1:11" x14ac:dyDescent="0.3">
      <c r="A77" t="s">
        <v>498</v>
      </c>
      <c r="B77" t="s">
        <v>499</v>
      </c>
      <c r="C77">
        <v>3.5700000000000003E-2</v>
      </c>
      <c r="D77">
        <v>6.9999999999999999E-4</v>
      </c>
      <c r="E77">
        <v>36217034</v>
      </c>
      <c r="F77">
        <v>12424</v>
      </c>
      <c r="G77" t="s">
        <v>503</v>
      </c>
      <c r="H77">
        <v>1010000000</v>
      </c>
      <c r="I77">
        <f>Cleaned_Data[[#This Row],[Volume (24h) USD]]/Cleaned_Data[[#This Row],[Circulating_Supply($)]]</f>
        <v>1.23009900990099E-5</v>
      </c>
      <c r="J77" s="2">
        <f>RANK(Cleaned_Data[[#This Row],[Market Cap]],Cleaned_Data[Market Cap],0)</f>
        <v>75</v>
      </c>
      <c r="K77" t="str">
        <f t="shared" si="1"/>
        <v>0-0.5</v>
      </c>
    </row>
    <row r="78" spans="1:11" x14ac:dyDescent="0.3">
      <c r="A78" t="s">
        <v>504</v>
      </c>
      <c r="B78" t="s">
        <v>505</v>
      </c>
      <c r="C78">
        <v>7.3599999999999999E-2</v>
      </c>
      <c r="D78">
        <v>6.4999999999999997E-3</v>
      </c>
      <c r="E78">
        <v>36139221</v>
      </c>
      <c r="F78">
        <v>2950375</v>
      </c>
      <c r="G78" t="s">
        <v>509</v>
      </c>
      <c r="H78">
        <v>998580000000000</v>
      </c>
      <c r="I78">
        <f>Cleaned_Data[[#This Row],[Volume (24h) USD]]/Cleaned_Data[[#This Row],[Circulating_Supply($)]]</f>
        <v>2.9545704900959364E-9</v>
      </c>
      <c r="J78" s="2">
        <f>RANK(Cleaned_Data[[#This Row],[Market Cap]],Cleaned_Data[Market Cap],0)</f>
        <v>76</v>
      </c>
      <c r="K78" t="str">
        <f t="shared" si="1"/>
        <v>0-0.5</v>
      </c>
    </row>
    <row r="79" spans="1:11" x14ac:dyDescent="0.3">
      <c r="A79" t="s">
        <v>510</v>
      </c>
      <c r="B79" t="s">
        <v>511</v>
      </c>
      <c r="C79">
        <v>1</v>
      </c>
      <c r="D79">
        <v>6.9999999999999999E-4</v>
      </c>
      <c r="E79">
        <v>35595316</v>
      </c>
      <c r="F79">
        <v>886094</v>
      </c>
      <c r="G79" t="s">
        <v>514</v>
      </c>
      <c r="H79">
        <v>35550000</v>
      </c>
      <c r="I79">
        <f>Cleaned_Data[[#This Row],[Volume (24h) USD]]/Cleaned_Data[[#This Row],[Circulating_Supply($)]]</f>
        <v>2.4925288326300983E-2</v>
      </c>
      <c r="J79" s="2">
        <f>RANK(Cleaned_Data[[#This Row],[Market Cap]],Cleaned_Data[Market Cap],0)</f>
        <v>77</v>
      </c>
      <c r="K79" t="str">
        <f t="shared" si="1"/>
        <v>0.5-1</v>
      </c>
    </row>
    <row r="80" spans="1:11" x14ac:dyDescent="0.3">
      <c r="A80" t="s">
        <v>515</v>
      </c>
      <c r="B80" t="s">
        <v>516</v>
      </c>
      <c r="C80">
        <v>0.1736</v>
      </c>
      <c r="D80">
        <v>1.5299999999999999E-2</v>
      </c>
      <c r="E80">
        <v>35451336</v>
      </c>
      <c r="F80">
        <v>10695306</v>
      </c>
      <c r="G80" t="s">
        <v>521</v>
      </c>
      <c r="H80">
        <v>204090000</v>
      </c>
      <c r="I80">
        <f>Cleaned_Data[[#This Row],[Volume (24h) USD]]/Cleaned_Data[[#This Row],[Circulating_Supply($)]]</f>
        <v>5.2404850801117155E-2</v>
      </c>
      <c r="J80" s="2">
        <f>RANK(Cleaned_Data[[#This Row],[Market Cap]],Cleaned_Data[Market Cap],0)</f>
        <v>78</v>
      </c>
      <c r="K80" t="str">
        <f t="shared" si="1"/>
        <v>0-0.5</v>
      </c>
    </row>
    <row r="81" spans="1:11" x14ac:dyDescent="0.3">
      <c r="A81" t="s">
        <v>522</v>
      </c>
      <c r="B81" t="s">
        <v>523</v>
      </c>
      <c r="C81">
        <v>3.1</v>
      </c>
      <c r="D81">
        <v>1E-4</v>
      </c>
      <c r="E81">
        <v>35388323</v>
      </c>
      <c r="F81">
        <v>9</v>
      </c>
      <c r="G81" t="s">
        <v>527</v>
      </c>
      <c r="H81">
        <v>11400000</v>
      </c>
      <c r="I81">
        <f>Cleaned_Data[[#This Row],[Volume (24h) USD]]/Cleaned_Data[[#This Row],[Circulating_Supply($)]]</f>
        <v>7.8947368421052629E-7</v>
      </c>
      <c r="J81" s="2">
        <f>RANK(Cleaned_Data[[#This Row],[Market Cap]],Cleaned_Data[Market Cap],0)</f>
        <v>79</v>
      </c>
      <c r="K81" t="str">
        <f t="shared" si="1"/>
        <v>2-10</v>
      </c>
    </row>
    <row r="82" spans="1:11" x14ac:dyDescent="0.3">
      <c r="A82" t="s">
        <v>528</v>
      </c>
      <c r="B82" t="s">
        <v>529</v>
      </c>
      <c r="C82">
        <v>0.2258</v>
      </c>
      <c r="D82">
        <v>8.2000000000000007E-3</v>
      </c>
      <c r="E82">
        <v>35070748</v>
      </c>
      <c r="F82">
        <v>3450233</v>
      </c>
      <c r="G82" t="s">
        <v>533</v>
      </c>
      <c r="H82">
        <v>155300000</v>
      </c>
      <c r="I82">
        <f>Cleaned_Data[[#This Row],[Volume (24h) USD]]/Cleaned_Data[[#This Row],[Circulating_Supply($)]]</f>
        <v>2.2216567933032838E-2</v>
      </c>
      <c r="J82" s="2">
        <f>RANK(Cleaned_Data[[#This Row],[Market Cap]],Cleaned_Data[Market Cap],0)</f>
        <v>80</v>
      </c>
      <c r="K82" t="str">
        <f t="shared" si="1"/>
        <v>0-0.5</v>
      </c>
    </row>
    <row r="83" spans="1:11" x14ac:dyDescent="0.3">
      <c r="A83" t="s">
        <v>534</v>
      </c>
      <c r="B83" t="s">
        <v>535</v>
      </c>
      <c r="C83">
        <v>1.2200000000000001E-2</v>
      </c>
      <c r="D83">
        <v>1.6999999999999999E-3</v>
      </c>
      <c r="E83">
        <v>35013502</v>
      </c>
      <c r="F83">
        <v>1132023</v>
      </c>
      <c r="G83" t="s">
        <v>539</v>
      </c>
      <c r="H83">
        <v>2870000000</v>
      </c>
      <c r="I83">
        <f>Cleaned_Data[[#This Row],[Volume (24h) USD]]/Cleaned_Data[[#This Row],[Circulating_Supply($)]]</f>
        <v>3.9443310104529618E-4</v>
      </c>
      <c r="J83" s="2">
        <f>RANK(Cleaned_Data[[#This Row],[Market Cap]],Cleaned_Data[Market Cap],0)</f>
        <v>81</v>
      </c>
      <c r="K83" t="str">
        <f t="shared" si="1"/>
        <v>0-0.5</v>
      </c>
    </row>
    <row r="84" spans="1:11" x14ac:dyDescent="0.3">
      <c r="A84" t="s">
        <v>540</v>
      </c>
      <c r="B84" t="s">
        <v>541</v>
      </c>
      <c r="C84">
        <v>0.159</v>
      </c>
      <c r="D84">
        <v>4.0000000000000002E-4</v>
      </c>
      <c r="E84">
        <v>34862745</v>
      </c>
      <c r="F84">
        <v>308806</v>
      </c>
      <c r="G84" t="s">
        <v>545</v>
      </c>
      <c r="H84">
        <v>219230000</v>
      </c>
      <c r="I84">
        <f>Cleaned_Data[[#This Row],[Volume (24h) USD]]/Cleaned_Data[[#This Row],[Circulating_Supply($)]]</f>
        <v>1.4085937143639101E-3</v>
      </c>
      <c r="J84" s="2">
        <f>RANK(Cleaned_Data[[#This Row],[Market Cap]],Cleaned_Data[Market Cap],0)</f>
        <v>82</v>
      </c>
      <c r="K84" t="str">
        <f t="shared" si="1"/>
        <v>0-0.5</v>
      </c>
    </row>
    <row r="85" spans="1:11" x14ac:dyDescent="0.3">
      <c r="A85" t="s">
        <v>546</v>
      </c>
      <c r="B85" t="s">
        <v>547</v>
      </c>
      <c r="C85">
        <v>0.13320000000000001</v>
      </c>
      <c r="D85">
        <v>5.0299999999999997E-2</v>
      </c>
      <c r="E85">
        <v>34860793</v>
      </c>
      <c r="F85">
        <v>12541064</v>
      </c>
      <c r="G85" t="s">
        <v>552</v>
      </c>
      <c r="H85">
        <v>261600000.00000003</v>
      </c>
      <c r="I85">
        <f>Cleaned_Data[[#This Row],[Volume (24h) USD]]/Cleaned_Data[[#This Row],[Circulating_Supply($)]]</f>
        <v>4.7939847094801216E-2</v>
      </c>
      <c r="J85" s="2">
        <f>RANK(Cleaned_Data[[#This Row],[Market Cap]],Cleaned_Data[Market Cap],0)</f>
        <v>83</v>
      </c>
      <c r="K85" t="str">
        <f t="shared" si="1"/>
        <v>0-0.5</v>
      </c>
    </row>
    <row r="86" spans="1:11" x14ac:dyDescent="0.3">
      <c r="A86" t="s">
        <v>553</v>
      </c>
      <c r="B86" t="s">
        <v>554</v>
      </c>
      <c r="C86">
        <v>0.34449999999999997</v>
      </c>
      <c r="D86">
        <v>7.7000000000000002E-3</v>
      </c>
      <c r="E86">
        <v>34456917</v>
      </c>
      <c r="F86">
        <v>6924837</v>
      </c>
      <c r="G86" t="s">
        <v>559</v>
      </c>
      <c r="H86">
        <v>100000000</v>
      </c>
      <c r="I86">
        <f>Cleaned_Data[[#This Row],[Volume (24h) USD]]/Cleaned_Data[[#This Row],[Circulating_Supply($)]]</f>
        <v>6.9248370000000004E-2</v>
      </c>
      <c r="J86" s="2">
        <f>RANK(Cleaned_Data[[#This Row],[Market Cap]],Cleaned_Data[Market Cap],0)</f>
        <v>84</v>
      </c>
      <c r="K86" t="str">
        <f t="shared" si="1"/>
        <v>0-0.5</v>
      </c>
    </row>
    <row r="87" spans="1:11" x14ac:dyDescent="0.3">
      <c r="A87" t="s">
        <v>560</v>
      </c>
      <c r="B87" t="s">
        <v>561</v>
      </c>
      <c r="C87">
        <v>0.58430000000000004</v>
      </c>
      <c r="D87">
        <v>9.5999999999999992E-3</v>
      </c>
      <c r="E87">
        <v>34391010</v>
      </c>
      <c r="F87">
        <v>8752161</v>
      </c>
      <c r="G87" t="s">
        <v>566</v>
      </c>
      <c r="H87">
        <v>58850000</v>
      </c>
      <c r="I87">
        <f>Cleaned_Data[[#This Row],[Volume (24h) USD]]/Cleaned_Data[[#This Row],[Circulating_Supply($)]]</f>
        <v>0.14871981308411214</v>
      </c>
      <c r="J87" s="2">
        <f>RANK(Cleaned_Data[[#This Row],[Market Cap]],Cleaned_Data[Market Cap],0)</f>
        <v>85</v>
      </c>
      <c r="K87" t="str">
        <f t="shared" si="1"/>
        <v>0.5-1</v>
      </c>
    </row>
    <row r="88" spans="1:11" x14ac:dyDescent="0.3">
      <c r="A88" t="s">
        <v>567</v>
      </c>
      <c r="B88" t="s">
        <v>568</v>
      </c>
      <c r="C88">
        <v>0.1512</v>
      </c>
      <c r="D88">
        <v>2.3999999999999998E-3</v>
      </c>
      <c r="E88">
        <v>34266646</v>
      </c>
      <c r="F88">
        <v>10726366</v>
      </c>
      <c r="G88" t="s">
        <v>572</v>
      </c>
      <c r="H88">
        <v>226490000</v>
      </c>
      <c r="I88">
        <f>Cleaned_Data[[#This Row],[Volume (24h) USD]]/Cleaned_Data[[#This Row],[Circulating_Supply($)]]</f>
        <v>4.735911519272374E-2</v>
      </c>
      <c r="J88" s="2">
        <f>RANK(Cleaned_Data[[#This Row],[Market Cap]],Cleaned_Data[Market Cap],0)</f>
        <v>86</v>
      </c>
      <c r="K88" t="str">
        <f t="shared" si="1"/>
        <v>0-0.5</v>
      </c>
    </row>
    <row r="89" spans="1:11" x14ac:dyDescent="0.3">
      <c r="A89" t="s">
        <v>573</v>
      </c>
      <c r="B89" t="s">
        <v>574</v>
      </c>
      <c r="C89">
        <v>3.27E-2</v>
      </c>
      <c r="D89">
        <v>4.1000000000000003E-3</v>
      </c>
      <c r="E89">
        <v>34240657</v>
      </c>
      <c r="F89">
        <v>10611717</v>
      </c>
      <c r="G89" t="s">
        <v>579</v>
      </c>
      <c r="H89">
        <v>1040000000</v>
      </c>
      <c r="I89">
        <f>Cleaned_Data[[#This Row],[Volume (24h) USD]]/Cleaned_Data[[#This Row],[Circulating_Supply($)]]</f>
        <v>1.0203574038461538E-2</v>
      </c>
      <c r="J89" s="2">
        <f>RANK(Cleaned_Data[[#This Row],[Market Cap]],Cleaned_Data[Market Cap],0)</f>
        <v>87</v>
      </c>
      <c r="K89" t="str">
        <f t="shared" si="1"/>
        <v>0-0.5</v>
      </c>
    </row>
    <row r="90" spans="1:11" x14ac:dyDescent="0.3">
      <c r="A90" t="s">
        <v>580</v>
      </c>
      <c r="B90" t="s">
        <v>581</v>
      </c>
      <c r="C90">
        <v>0.10920000000000001</v>
      </c>
      <c r="D90">
        <v>9.1000000000000004E-3</v>
      </c>
      <c r="E90">
        <v>34159032</v>
      </c>
      <c r="F90">
        <v>14634039</v>
      </c>
      <c r="G90" t="s">
        <v>586</v>
      </c>
      <c r="H90">
        <v>312750000</v>
      </c>
      <c r="I90">
        <f>Cleaned_Data[[#This Row],[Volume (24h) USD]]/Cleaned_Data[[#This Row],[Circulating_Supply($)]]</f>
        <v>4.6791491606714627E-2</v>
      </c>
      <c r="J90" s="2">
        <f>RANK(Cleaned_Data[[#This Row],[Market Cap]],Cleaned_Data[Market Cap],0)</f>
        <v>88</v>
      </c>
      <c r="K90" t="str">
        <f t="shared" si="1"/>
        <v>0-0.5</v>
      </c>
    </row>
    <row r="91" spans="1:11" x14ac:dyDescent="0.3">
      <c r="A91" t="s">
        <v>587</v>
      </c>
      <c r="B91" t="s">
        <v>588</v>
      </c>
      <c r="C91">
        <v>0.99850000000000005</v>
      </c>
      <c r="D91">
        <v>1E-3</v>
      </c>
      <c r="E91">
        <v>34022741</v>
      </c>
      <c r="F91">
        <v>12264</v>
      </c>
      <c r="G91" t="s">
        <v>592</v>
      </c>
      <c r="H91">
        <v>34070000</v>
      </c>
      <c r="I91">
        <f>Cleaned_Data[[#This Row],[Volume (24h) USD]]/Cleaned_Data[[#This Row],[Circulating_Supply($)]]</f>
        <v>3.599647783974171E-4</v>
      </c>
      <c r="J91" s="2">
        <f>RANK(Cleaned_Data[[#This Row],[Market Cap]],Cleaned_Data[Market Cap],0)</f>
        <v>89</v>
      </c>
      <c r="K91" t="str">
        <f t="shared" si="1"/>
        <v>0.5-1</v>
      </c>
    </row>
    <row r="92" spans="1:11" x14ac:dyDescent="0.3">
      <c r="A92" t="s">
        <v>593</v>
      </c>
      <c r="B92" t="s">
        <v>594</v>
      </c>
      <c r="C92">
        <v>6.9999999999999999E-4</v>
      </c>
      <c r="D92">
        <v>1.52E-2</v>
      </c>
      <c r="E92">
        <v>26497748</v>
      </c>
      <c r="F92">
        <v>4195238</v>
      </c>
      <c r="G92" t="s">
        <v>599</v>
      </c>
      <c r="H92">
        <v>36440000000</v>
      </c>
      <c r="I92">
        <f>Cleaned_Data[[#This Row],[Volume (24h) USD]]/Cleaned_Data[[#This Row],[Circulating_Supply($)]]</f>
        <v>1.1512727771679474E-4</v>
      </c>
      <c r="J92" s="2">
        <f>RANK(Cleaned_Data[[#This Row],[Market Cap]],Cleaned_Data[Market Cap],0)</f>
        <v>90</v>
      </c>
      <c r="K92" t="str">
        <f t="shared" si="1"/>
        <v>0-0.5</v>
      </c>
    </row>
    <row r="93" spans="1:11" x14ac:dyDescent="0.3">
      <c r="A93" t="s">
        <v>600</v>
      </c>
      <c r="B93" t="s">
        <v>601</v>
      </c>
      <c r="C93">
        <v>3.1E-2</v>
      </c>
      <c r="D93">
        <v>1.6199999999999999E-2</v>
      </c>
      <c r="E93">
        <v>26446153</v>
      </c>
      <c r="F93">
        <v>4390985</v>
      </c>
      <c r="G93" t="s">
        <v>606</v>
      </c>
      <c r="H93">
        <v>852730000</v>
      </c>
      <c r="I93">
        <f>Cleaned_Data[[#This Row],[Volume (24h) USD]]/Cleaned_Data[[#This Row],[Circulating_Supply($)]]</f>
        <v>5.149326281472447E-3</v>
      </c>
      <c r="J93" s="2">
        <f>RANK(Cleaned_Data[[#This Row],[Market Cap]],Cleaned_Data[Market Cap],0)</f>
        <v>91</v>
      </c>
      <c r="K93" t="str">
        <f t="shared" si="1"/>
        <v>0-0.5</v>
      </c>
    </row>
    <row r="94" spans="1:11" x14ac:dyDescent="0.3">
      <c r="A94" t="s">
        <v>607</v>
      </c>
      <c r="B94" t="s">
        <v>608</v>
      </c>
      <c r="C94">
        <v>2.63E-2</v>
      </c>
      <c r="D94">
        <v>2.7000000000000001E-3</v>
      </c>
      <c r="E94">
        <v>26293151</v>
      </c>
      <c r="F94">
        <v>5500422</v>
      </c>
      <c r="G94" t="s">
        <v>612</v>
      </c>
      <c r="H94">
        <v>999980000</v>
      </c>
      <c r="I94">
        <f>Cleaned_Data[[#This Row],[Volume (24h) USD]]/Cleaned_Data[[#This Row],[Circulating_Supply($)]]</f>
        <v>5.5005320106402125E-3</v>
      </c>
      <c r="J94" s="2">
        <f>RANK(Cleaned_Data[[#This Row],[Market Cap]],Cleaned_Data[Market Cap],0)</f>
        <v>92</v>
      </c>
      <c r="K94" t="str">
        <f t="shared" si="1"/>
        <v>0-0.5</v>
      </c>
    </row>
    <row r="95" spans="1:11" x14ac:dyDescent="0.3">
      <c r="A95" t="s">
        <v>613</v>
      </c>
      <c r="B95" t="s">
        <v>614</v>
      </c>
      <c r="C95">
        <v>2.6100000000000002E-2</v>
      </c>
      <c r="D95">
        <v>4.1999999999999997E-3</v>
      </c>
      <c r="E95">
        <v>26067193</v>
      </c>
      <c r="F95">
        <v>3947903</v>
      </c>
      <c r="G95" t="s">
        <v>618</v>
      </c>
      <c r="H95">
        <v>999790000</v>
      </c>
      <c r="I95">
        <f>Cleaned_Data[[#This Row],[Volume (24h) USD]]/Cleaned_Data[[#This Row],[Circulating_Supply($)]]</f>
        <v>3.9487322337690917E-3</v>
      </c>
      <c r="J95" s="2">
        <f>RANK(Cleaned_Data[[#This Row],[Market Cap]],Cleaned_Data[Market Cap],0)</f>
        <v>93</v>
      </c>
      <c r="K95" t="str">
        <f t="shared" si="1"/>
        <v>0-0.5</v>
      </c>
    </row>
    <row r="96" spans="1:11" x14ac:dyDescent="0.3">
      <c r="A96" t="s">
        <v>619</v>
      </c>
      <c r="B96" t="s">
        <v>620</v>
      </c>
      <c r="C96">
        <v>3.15E-2</v>
      </c>
      <c r="D96">
        <v>7.7999999999999996E-3</v>
      </c>
      <c r="E96">
        <v>26047100</v>
      </c>
      <c r="F96">
        <v>9153212</v>
      </c>
      <c r="G96" t="s">
        <v>625</v>
      </c>
      <c r="H96">
        <v>826300000</v>
      </c>
      <c r="I96">
        <f>Cleaned_Data[[#This Row],[Volume (24h) USD]]/Cleaned_Data[[#This Row],[Circulating_Supply($)]]</f>
        <v>1.1077347210456251E-2</v>
      </c>
      <c r="J96" s="2">
        <f>RANK(Cleaned_Data[[#This Row],[Market Cap]],Cleaned_Data[Market Cap],0)</f>
        <v>94</v>
      </c>
      <c r="K96" t="str">
        <f t="shared" si="1"/>
        <v>0-0.5</v>
      </c>
    </row>
    <row r="97" spans="1:11" x14ac:dyDescent="0.3">
      <c r="A97" t="s">
        <v>626</v>
      </c>
      <c r="B97" t="s">
        <v>627</v>
      </c>
      <c r="C97">
        <v>2.1499999999999998E-2</v>
      </c>
      <c r="D97">
        <v>1E-4</v>
      </c>
      <c r="E97">
        <v>25819756</v>
      </c>
      <c r="F97">
        <v>175</v>
      </c>
      <c r="G97" t="s">
        <v>631</v>
      </c>
      <c r="H97">
        <v>1200000000</v>
      </c>
      <c r="I97">
        <f>Cleaned_Data[[#This Row],[Volume (24h) USD]]/Cleaned_Data[[#This Row],[Circulating_Supply($)]]</f>
        <v>1.4583333333333332E-7</v>
      </c>
      <c r="J97" s="2">
        <f>RANK(Cleaned_Data[[#This Row],[Market Cap]],Cleaned_Data[Market Cap],0)</f>
        <v>95</v>
      </c>
      <c r="K97" t="str">
        <f t="shared" si="1"/>
        <v>0-0.5</v>
      </c>
    </row>
    <row r="98" spans="1:11" x14ac:dyDescent="0.3">
      <c r="A98" t="s">
        <v>632</v>
      </c>
      <c r="B98" t="s">
        <v>633</v>
      </c>
      <c r="C98">
        <v>0.02</v>
      </c>
      <c r="D98">
        <v>6.1999999999999998E-3</v>
      </c>
      <c r="E98">
        <v>25772788</v>
      </c>
      <c r="F98">
        <v>3283476</v>
      </c>
      <c r="G98" t="s">
        <v>637</v>
      </c>
      <c r="H98">
        <v>1280000000</v>
      </c>
      <c r="I98">
        <f>Cleaned_Data[[#This Row],[Volume (24h) USD]]/Cleaned_Data[[#This Row],[Circulating_Supply($)]]</f>
        <v>2.5652156250000001E-3</v>
      </c>
      <c r="J98" s="2">
        <f>RANK(Cleaned_Data[[#This Row],[Market Cap]],Cleaned_Data[Market Cap],0)</f>
        <v>96</v>
      </c>
      <c r="K98" t="str">
        <f t="shared" si="1"/>
        <v>0-0.5</v>
      </c>
    </row>
    <row r="99" spans="1:11" x14ac:dyDescent="0.3">
      <c r="A99" t="s">
        <v>638</v>
      </c>
      <c r="B99" t="s">
        <v>639</v>
      </c>
      <c r="C99">
        <v>2.3E-3</v>
      </c>
      <c r="D99">
        <v>2.0400000000000001E-2</v>
      </c>
      <c r="E99">
        <v>25666043</v>
      </c>
      <c r="F99">
        <v>361496</v>
      </c>
      <c r="G99" t="s">
        <v>644</v>
      </c>
      <c r="H99">
        <v>11120000000</v>
      </c>
      <c r="I99">
        <f>Cleaned_Data[[#This Row],[Volume (24h) USD]]/Cleaned_Data[[#This Row],[Circulating_Supply($)]]</f>
        <v>3.2508633093525183E-5</v>
      </c>
      <c r="J99" s="2">
        <f>RANK(Cleaned_Data[[#This Row],[Market Cap]],Cleaned_Data[Market Cap],0)</f>
        <v>97</v>
      </c>
      <c r="K99" t="str">
        <f t="shared" si="1"/>
        <v>0-0.5</v>
      </c>
    </row>
    <row r="100" spans="1:11" x14ac:dyDescent="0.3">
      <c r="A100" t="s">
        <v>645</v>
      </c>
      <c r="B100" t="s">
        <v>646</v>
      </c>
      <c r="C100">
        <v>0.65969999999999995</v>
      </c>
      <c r="D100">
        <v>3.5299999999999998E-2</v>
      </c>
      <c r="E100">
        <v>25549724</v>
      </c>
      <c r="F100">
        <v>1476148</v>
      </c>
      <c r="G100" t="s">
        <v>651</v>
      </c>
      <c r="H100">
        <v>38720000</v>
      </c>
      <c r="I100">
        <f>Cleaned_Data[[#This Row],[Volume (24h) USD]]/Cleaned_Data[[#This Row],[Circulating_Supply($)]]</f>
        <v>3.8123657024793388E-2</v>
      </c>
      <c r="J100" s="2">
        <f>RANK(Cleaned_Data[[#This Row],[Market Cap]],Cleaned_Data[Market Cap],0)</f>
        <v>98</v>
      </c>
      <c r="K100" t="str">
        <f t="shared" si="1"/>
        <v>0.5-1</v>
      </c>
    </row>
    <row r="101" spans="1:11" x14ac:dyDescent="0.3">
      <c r="A101" t="s">
        <v>652</v>
      </c>
      <c r="B101" t="s">
        <v>653</v>
      </c>
      <c r="C101">
        <v>0.1404</v>
      </c>
      <c r="D101">
        <v>6.8400000000000002E-2</v>
      </c>
      <c r="E101">
        <v>25521804</v>
      </c>
      <c r="F101">
        <v>134165</v>
      </c>
      <c r="G101" t="s">
        <v>658</v>
      </c>
      <c r="H101">
        <v>181750000</v>
      </c>
      <c r="I101">
        <f>Cleaned_Data[[#This Row],[Volume (24h) USD]]/Cleaned_Data[[#This Row],[Circulating_Supply($)]]</f>
        <v>7.3818431911966984E-4</v>
      </c>
      <c r="J101" s="2">
        <f>RANK(Cleaned_Data[[#This Row],[Market Cap]],Cleaned_Data[Market Cap],0)</f>
        <v>99</v>
      </c>
      <c r="K101" t="str">
        <f t="shared" si="1"/>
        <v>0-0.5</v>
      </c>
    </row>
    <row r="102" spans="1:11" x14ac:dyDescent="0.3">
      <c r="A102" t="s">
        <v>659</v>
      </c>
      <c r="B102" t="s">
        <v>660</v>
      </c>
      <c r="C102">
        <v>0.1013</v>
      </c>
      <c r="D102">
        <v>1.5100000000000001E-2</v>
      </c>
      <c r="E102">
        <v>25347833</v>
      </c>
      <c r="F102">
        <v>7104762</v>
      </c>
      <c r="G102" t="s">
        <v>665</v>
      </c>
      <c r="H102">
        <v>250000000</v>
      </c>
      <c r="I102">
        <f>Cleaned_Data[[#This Row],[Volume (24h) USD]]/Cleaned_Data[[#This Row],[Circulating_Supply($)]]</f>
        <v>2.8419047999999999E-2</v>
      </c>
      <c r="J102" s="2">
        <f>RANK(Cleaned_Data[[#This Row],[Market Cap]],Cleaned_Data[Market Cap],0)</f>
        <v>100</v>
      </c>
      <c r="K102" t="str">
        <f t="shared" si="1"/>
        <v>0-0.5</v>
      </c>
    </row>
    <row r="103" spans="1:11" x14ac:dyDescent="0.3">
      <c r="A103" t="s">
        <v>666</v>
      </c>
      <c r="B103" t="s">
        <v>667</v>
      </c>
      <c r="C103">
        <v>3.7499999999999999E-2</v>
      </c>
      <c r="D103">
        <v>3.0999999999999999E-3</v>
      </c>
      <c r="E103">
        <v>25336130</v>
      </c>
      <c r="F103">
        <v>337909</v>
      </c>
      <c r="G103" t="s">
        <v>672</v>
      </c>
      <c r="H103">
        <v>675930000</v>
      </c>
      <c r="I103">
        <f>Cleaned_Data[[#This Row],[Volume (24h) USD]]/Cleaned_Data[[#This Row],[Circulating_Supply($)]]</f>
        <v>4.9991715118429425E-4</v>
      </c>
      <c r="J103" s="2">
        <f>RANK(Cleaned_Data[[#This Row],[Market Cap]],Cleaned_Data[Market Cap],0)</f>
        <v>101</v>
      </c>
      <c r="K103" t="str">
        <f t="shared" si="1"/>
        <v>0-0.5</v>
      </c>
    </row>
    <row r="104" spans="1:11" x14ac:dyDescent="0.3">
      <c r="A104" t="s">
        <v>673</v>
      </c>
      <c r="B104" t="s">
        <v>674</v>
      </c>
      <c r="C104">
        <v>3.8999999999999998E-3</v>
      </c>
      <c r="D104">
        <v>4.7000000000000002E-3</v>
      </c>
      <c r="E104">
        <v>25239683</v>
      </c>
      <c r="F104">
        <v>8856824</v>
      </c>
      <c r="G104" t="s">
        <v>678</v>
      </c>
      <c r="H104">
        <v>6500000000</v>
      </c>
      <c r="I104">
        <f>Cleaned_Data[[#This Row],[Volume (24h) USD]]/Cleaned_Data[[#This Row],[Circulating_Supply($)]]</f>
        <v>1.3625883076923077E-3</v>
      </c>
      <c r="J104" s="2">
        <f>RANK(Cleaned_Data[[#This Row],[Market Cap]],Cleaned_Data[Market Cap],0)</f>
        <v>102</v>
      </c>
      <c r="K104" t="str">
        <f t="shared" si="1"/>
        <v>0-0.5</v>
      </c>
    </row>
    <row r="105" spans="1:11" x14ac:dyDescent="0.3">
      <c r="A105" t="s">
        <v>679</v>
      </c>
      <c r="B105" t="s">
        <v>680</v>
      </c>
      <c r="C105">
        <v>3.7600000000000001E-2</v>
      </c>
      <c r="D105">
        <v>8.9999999999999998E-4</v>
      </c>
      <c r="E105">
        <v>25222483</v>
      </c>
      <c r="F105">
        <v>19207861</v>
      </c>
      <c r="G105" t="s">
        <v>685</v>
      </c>
      <c r="H105">
        <v>670630000</v>
      </c>
      <c r="I105">
        <f>Cleaned_Data[[#This Row],[Volume (24h) USD]]/Cleaned_Data[[#This Row],[Circulating_Supply($)]]</f>
        <v>2.8641517677407812E-2</v>
      </c>
      <c r="J105" s="2">
        <f>RANK(Cleaned_Data[[#This Row],[Market Cap]],Cleaned_Data[Market Cap],0)</f>
        <v>103</v>
      </c>
      <c r="K105" t="str">
        <f t="shared" si="1"/>
        <v>0-0.5</v>
      </c>
    </row>
    <row r="106" spans="1:11" x14ac:dyDescent="0.3">
      <c r="A106" t="s">
        <v>686</v>
      </c>
      <c r="B106" t="s">
        <v>687</v>
      </c>
      <c r="C106">
        <v>2.52E-2</v>
      </c>
      <c r="D106">
        <v>4.1999999999999997E-3</v>
      </c>
      <c r="E106">
        <v>25150748</v>
      </c>
      <c r="F106">
        <v>27485182</v>
      </c>
      <c r="G106" t="s">
        <v>691</v>
      </c>
      <c r="H106">
        <v>1000000000</v>
      </c>
      <c r="I106">
        <f>Cleaned_Data[[#This Row],[Volume (24h) USD]]/Cleaned_Data[[#This Row],[Circulating_Supply($)]]</f>
        <v>2.7485182E-2</v>
      </c>
      <c r="J106" s="2">
        <f>RANK(Cleaned_Data[[#This Row],[Market Cap]],Cleaned_Data[Market Cap],0)</f>
        <v>104</v>
      </c>
      <c r="K106" t="str">
        <f t="shared" si="1"/>
        <v>0-0.5</v>
      </c>
    </row>
    <row r="107" spans="1:11" x14ac:dyDescent="0.3">
      <c r="A107" t="s">
        <v>692</v>
      </c>
      <c r="B107" t="s">
        <v>693</v>
      </c>
      <c r="C107">
        <v>1.59</v>
      </c>
      <c r="D107">
        <v>3.2800000000000003E-2</v>
      </c>
      <c r="E107">
        <v>19434237</v>
      </c>
      <c r="F107">
        <v>6633885</v>
      </c>
      <c r="G107" t="s">
        <v>698</v>
      </c>
      <c r="H107">
        <v>12190000</v>
      </c>
      <c r="I107">
        <f>Cleaned_Data[[#This Row],[Volume (24h) USD]]/Cleaned_Data[[#This Row],[Circulating_Supply($)]]</f>
        <v>0.54420713699753898</v>
      </c>
      <c r="J107" s="2">
        <f>RANK(Cleaned_Data[[#This Row],[Market Cap]],Cleaned_Data[Market Cap],0)</f>
        <v>107</v>
      </c>
      <c r="K107" t="str">
        <f t="shared" si="1"/>
        <v>1-2</v>
      </c>
    </row>
    <row r="108" spans="1:11" x14ac:dyDescent="0.3">
      <c r="A108" t="s">
        <v>699</v>
      </c>
      <c r="B108" t="s">
        <v>700</v>
      </c>
      <c r="C108">
        <v>0.95660000000000001</v>
      </c>
      <c r="D108">
        <v>0</v>
      </c>
      <c r="E108">
        <v>19502617</v>
      </c>
      <c r="F108">
        <v>880468</v>
      </c>
      <c r="G108" t="s">
        <v>704</v>
      </c>
      <c r="H108">
        <v>20380000</v>
      </c>
      <c r="I108">
        <f>Cleaned_Data[[#This Row],[Volume (24h) USD]]/Cleaned_Data[[#This Row],[Circulating_Supply($)]]</f>
        <v>4.3202551521099114E-2</v>
      </c>
      <c r="J108" s="2">
        <f>RANK(Cleaned_Data[[#This Row],[Market Cap]],Cleaned_Data[Market Cap],0)</f>
        <v>105</v>
      </c>
      <c r="K108" t="str">
        <f t="shared" si="1"/>
        <v>0.5-1</v>
      </c>
    </row>
    <row r="109" spans="1:11" x14ac:dyDescent="0.3">
      <c r="A109" t="s">
        <v>705</v>
      </c>
      <c r="B109" t="s">
        <v>706</v>
      </c>
      <c r="C109">
        <v>0.15590000000000001</v>
      </c>
      <c r="D109">
        <v>8.0999999999999996E-3</v>
      </c>
      <c r="E109">
        <v>19495017</v>
      </c>
      <c r="F109">
        <v>5716401</v>
      </c>
      <c r="G109" t="s">
        <v>711</v>
      </c>
      <c r="H109">
        <v>125000000</v>
      </c>
      <c r="I109">
        <f>Cleaned_Data[[#This Row],[Volume (24h) USD]]/Cleaned_Data[[#This Row],[Circulating_Supply($)]]</f>
        <v>4.5731208000000002E-2</v>
      </c>
      <c r="J109" s="2">
        <f>RANK(Cleaned_Data[[#This Row],[Market Cap]],Cleaned_Data[Market Cap],0)</f>
        <v>106</v>
      </c>
      <c r="K109" t="str">
        <f t="shared" si="1"/>
        <v>0-0.5</v>
      </c>
    </row>
    <row r="110" spans="1:11" x14ac:dyDescent="0.3">
      <c r="A110" t="s">
        <v>1</v>
      </c>
      <c r="B110" t="s">
        <v>712</v>
      </c>
      <c r="C110">
        <v>3.0999999999999999E-3</v>
      </c>
      <c r="D110">
        <v>1.0699999999999999E-2</v>
      </c>
      <c r="E110">
        <v>19421683</v>
      </c>
      <c r="F110">
        <v>740186</v>
      </c>
      <c r="G110" t="s">
        <v>716</v>
      </c>
      <c r="H110">
        <v>6340000000</v>
      </c>
      <c r="I110">
        <f>Cleaned_Data[[#This Row],[Volume (24h) USD]]/Cleaned_Data[[#This Row],[Circulating_Supply($)]]</f>
        <v>1.1674858044164038E-4</v>
      </c>
      <c r="J110" s="2">
        <f>RANK(Cleaned_Data[[#This Row],[Market Cap]],Cleaned_Data[Market Cap],0)</f>
        <v>108</v>
      </c>
      <c r="K110" t="str">
        <f t="shared" si="1"/>
        <v>0-0.5</v>
      </c>
    </row>
    <row r="111" spans="1:11" x14ac:dyDescent="0.3">
      <c r="A111" t="s">
        <v>717</v>
      </c>
      <c r="B111" t="s">
        <v>718</v>
      </c>
      <c r="C111">
        <v>4.02E-2</v>
      </c>
      <c r="D111">
        <v>0</v>
      </c>
      <c r="E111">
        <v>19171542</v>
      </c>
      <c r="F111">
        <v>518788</v>
      </c>
      <c r="G111" t="s">
        <v>722</v>
      </c>
      <c r="H111">
        <v>476240000</v>
      </c>
      <c r="I111">
        <f>Cleaned_Data[[#This Row],[Volume (24h) USD]]/Cleaned_Data[[#This Row],[Circulating_Supply($)]]</f>
        <v>1.0893415084831178E-3</v>
      </c>
      <c r="J111" s="2">
        <f>RANK(Cleaned_Data[[#This Row],[Market Cap]],Cleaned_Data[Market Cap],0)</f>
        <v>109</v>
      </c>
      <c r="K111" t="str">
        <f t="shared" si="1"/>
        <v>0-0.5</v>
      </c>
    </row>
    <row r="112" spans="1:11" x14ac:dyDescent="0.3">
      <c r="A112" t="s">
        <v>723</v>
      </c>
      <c r="B112" t="s">
        <v>724</v>
      </c>
      <c r="C112">
        <v>8.5000000000000006E-2</v>
      </c>
      <c r="D112">
        <v>4.4000000000000003E-3</v>
      </c>
      <c r="E112">
        <v>19166206</v>
      </c>
      <c r="F112">
        <v>16273717</v>
      </c>
      <c r="G112" t="s">
        <v>729</v>
      </c>
      <c r="H112">
        <v>225330000</v>
      </c>
      <c r="I112">
        <f>Cleaned_Data[[#This Row],[Volume (24h) USD]]/Cleaned_Data[[#This Row],[Circulating_Supply($)]]</f>
        <v>7.2221705942395603E-2</v>
      </c>
      <c r="J112" s="2">
        <f>RANK(Cleaned_Data[[#This Row],[Market Cap]],Cleaned_Data[Market Cap],0)</f>
        <v>110</v>
      </c>
      <c r="K112" t="str">
        <f t="shared" si="1"/>
        <v>0-0.5</v>
      </c>
    </row>
    <row r="113" spans="1:11" x14ac:dyDescent="0.3">
      <c r="A113" t="s">
        <v>730</v>
      </c>
      <c r="B113" t="s">
        <v>731</v>
      </c>
      <c r="C113">
        <v>7.1000000000000004E-3</v>
      </c>
      <c r="D113">
        <v>4.7999999999999996E-3</v>
      </c>
      <c r="E113">
        <v>19147053</v>
      </c>
      <c r="F113">
        <v>407051</v>
      </c>
      <c r="G113" t="s">
        <v>736</v>
      </c>
      <c r="H113">
        <v>2680000000</v>
      </c>
      <c r="I113">
        <f>Cleaned_Data[[#This Row],[Volume (24h) USD]]/Cleaned_Data[[#This Row],[Circulating_Supply($)]]</f>
        <v>1.5188470149253731E-4</v>
      </c>
      <c r="J113" s="2">
        <f>RANK(Cleaned_Data[[#This Row],[Market Cap]],Cleaned_Data[Market Cap],0)</f>
        <v>111</v>
      </c>
      <c r="K113" t="str">
        <f t="shared" si="1"/>
        <v>0-0.5</v>
      </c>
    </row>
    <row r="114" spans="1:11" x14ac:dyDescent="0.3">
      <c r="A114" t="s">
        <v>737</v>
      </c>
      <c r="B114" t="s">
        <v>738</v>
      </c>
      <c r="C114">
        <v>1.9E-2</v>
      </c>
      <c r="D114">
        <v>3.7699999999999997E-2</v>
      </c>
      <c r="E114">
        <v>18974393</v>
      </c>
      <c r="F114">
        <v>2638212</v>
      </c>
      <c r="G114" t="s">
        <v>743</v>
      </c>
      <c r="H114">
        <v>998880000</v>
      </c>
      <c r="I114">
        <f>Cleaned_Data[[#This Row],[Volume (24h) USD]]/Cleaned_Data[[#This Row],[Circulating_Supply($)]]</f>
        <v>2.6411701105237867E-3</v>
      </c>
      <c r="J114" s="2">
        <f>RANK(Cleaned_Data[[#This Row],[Market Cap]],Cleaned_Data[Market Cap],0)</f>
        <v>112</v>
      </c>
      <c r="K114" t="str">
        <f t="shared" si="1"/>
        <v>0-0.5</v>
      </c>
    </row>
    <row r="115" spans="1:11" x14ac:dyDescent="0.3">
      <c r="A115" t="s">
        <v>744</v>
      </c>
      <c r="B115" t="s">
        <v>745</v>
      </c>
      <c r="C115">
        <v>1.9E-2</v>
      </c>
      <c r="D115">
        <v>2.7000000000000001E-3</v>
      </c>
      <c r="E115">
        <v>18924952</v>
      </c>
      <c r="F115">
        <v>1893689</v>
      </c>
      <c r="G115" t="s">
        <v>749</v>
      </c>
      <c r="H115">
        <v>997210000</v>
      </c>
      <c r="I115">
        <f>Cleaned_Data[[#This Row],[Volume (24h) USD]]/Cleaned_Data[[#This Row],[Circulating_Supply($)]]</f>
        <v>1.8989871742160628E-3</v>
      </c>
      <c r="J115" s="2">
        <f>RANK(Cleaned_Data[[#This Row],[Market Cap]],Cleaned_Data[Market Cap],0)</f>
        <v>114</v>
      </c>
      <c r="K115" t="str">
        <f t="shared" si="1"/>
        <v>0-0.5</v>
      </c>
    </row>
    <row r="116" spans="1:11" x14ac:dyDescent="0.3">
      <c r="A116" t="s">
        <v>750</v>
      </c>
      <c r="B116" t="s">
        <v>751</v>
      </c>
      <c r="C116">
        <v>2.1700000000000001E-2</v>
      </c>
      <c r="D116">
        <v>6.1000000000000004E-3</v>
      </c>
      <c r="E116">
        <v>18958115</v>
      </c>
      <c r="F116">
        <v>13833</v>
      </c>
      <c r="G116" t="s">
        <v>756</v>
      </c>
      <c r="H116">
        <v>872680000</v>
      </c>
      <c r="I116">
        <f>Cleaned_Data[[#This Row],[Volume (24h) USD]]/Cleaned_Data[[#This Row],[Circulating_Supply($)]]</f>
        <v>1.5851171105101528E-5</v>
      </c>
      <c r="J116" s="2">
        <f>RANK(Cleaned_Data[[#This Row],[Market Cap]],Cleaned_Data[Market Cap],0)</f>
        <v>113</v>
      </c>
      <c r="K116" t="str">
        <f t="shared" si="1"/>
        <v>0-0.5</v>
      </c>
    </row>
    <row r="117" spans="1:11" x14ac:dyDescent="0.3">
      <c r="A117" t="s">
        <v>757</v>
      </c>
      <c r="B117" t="s">
        <v>758</v>
      </c>
      <c r="C117">
        <v>6.6199999999999995E-2</v>
      </c>
      <c r="D117">
        <v>6.3E-3</v>
      </c>
      <c r="E117">
        <v>18909722</v>
      </c>
      <c r="F117">
        <v>6238427</v>
      </c>
      <c r="G117" t="s">
        <v>763</v>
      </c>
      <c r="H117">
        <v>285490000</v>
      </c>
      <c r="I117">
        <f>Cleaned_Data[[#This Row],[Volume (24h) USD]]/Cleaned_Data[[#This Row],[Circulating_Supply($)]]</f>
        <v>2.1851648043714315E-2</v>
      </c>
      <c r="J117" s="2">
        <f>RANK(Cleaned_Data[[#This Row],[Market Cap]],Cleaned_Data[Market Cap],0)</f>
        <v>115</v>
      </c>
      <c r="K117" t="str">
        <f t="shared" si="1"/>
        <v>0-0.5</v>
      </c>
    </row>
    <row r="118" spans="1:11" x14ac:dyDescent="0.3">
      <c r="A118" t="s">
        <v>764</v>
      </c>
      <c r="B118" t="s">
        <v>765</v>
      </c>
      <c r="C118">
        <v>0.18859999999999999</v>
      </c>
      <c r="D118">
        <v>6.1999999999999998E-3</v>
      </c>
      <c r="E118">
        <v>18864638</v>
      </c>
      <c r="F118">
        <v>1260</v>
      </c>
      <c r="G118" t="s">
        <v>559</v>
      </c>
      <c r="H118">
        <v>100000000</v>
      </c>
      <c r="I118">
        <f>Cleaned_Data[[#This Row],[Volume (24h) USD]]/Cleaned_Data[[#This Row],[Circulating_Supply($)]]</f>
        <v>1.26E-5</v>
      </c>
      <c r="J118" s="2">
        <f>RANK(Cleaned_Data[[#This Row],[Market Cap]],Cleaned_Data[Market Cap],0)</f>
        <v>116</v>
      </c>
      <c r="K118" t="str">
        <f t="shared" si="1"/>
        <v>0-0.5</v>
      </c>
    </row>
    <row r="119" spans="1:11" x14ac:dyDescent="0.3">
      <c r="A119" t="s">
        <v>769</v>
      </c>
      <c r="B119" t="s">
        <v>770</v>
      </c>
      <c r="C119">
        <v>0.1115</v>
      </c>
      <c r="D119">
        <v>2.0000000000000001E-4</v>
      </c>
      <c r="E119">
        <v>18790723</v>
      </c>
      <c r="F119">
        <v>417879</v>
      </c>
      <c r="G119" t="s">
        <v>774</v>
      </c>
      <c r="H119">
        <v>168470000</v>
      </c>
      <c r="I119">
        <f>Cleaned_Data[[#This Row],[Volume (24h) USD]]/Cleaned_Data[[#This Row],[Circulating_Supply($)]]</f>
        <v>2.4804356858787913E-3</v>
      </c>
      <c r="J119" s="2">
        <f>RANK(Cleaned_Data[[#This Row],[Market Cap]],Cleaned_Data[Market Cap],0)</f>
        <v>117</v>
      </c>
      <c r="K119" t="str">
        <f t="shared" si="1"/>
        <v>0-0.5</v>
      </c>
    </row>
    <row r="120" spans="1:11" x14ac:dyDescent="0.3">
      <c r="A120" t="s">
        <v>775</v>
      </c>
      <c r="B120" t="s">
        <v>776</v>
      </c>
      <c r="C120">
        <v>8.3999999999999995E-3</v>
      </c>
      <c r="D120">
        <v>0.02</v>
      </c>
      <c r="E120">
        <v>18758453</v>
      </c>
      <c r="F120">
        <v>6075802</v>
      </c>
      <c r="G120" t="s">
        <v>781</v>
      </c>
      <c r="H120">
        <v>2220000000</v>
      </c>
      <c r="I120">
        <f>Cleaned_Data[[#This Row],[Volume (24h) USD]]/Cleaned_Data[[#This Row],[Circulating_Supply($)]]</f>
        <v>2.7368477477477476E-3</v>
      </c>
      <c r="J120" s="2">
        <f>RANK(Cleaned_Data[[#This Row],[Market Cap]],Cleaned_Data[Market Cap],0)</f>
        <v>118</v>
      </c>
      <c r="K120" t="str">
        <f t="shared" si="1"/>
        <v>0-0.5</v>
      </c>
    </row>
    <row r="121" spans="1:11" x14ac:dyDescent="0.3">
      <c r="A121" t="s">
        <v>782</v>
      </c>
      <c r="B121" t="s">
        <v>783</v>
      </c>
      <c r="C121">
        <v>0.21460000000000001</v>
      </c>
      <c r="D121">
        <v>3.7000000000000002E-3</v>
      </c>
      <c r="E121">
        <v>18688424</v>
      </c>
      <c r="F121">
        <v>9923814</v>
      </c>
      <c r="G121" t="s">
        <v>788</v>
      </c>
      <c r="H121">
        <v>87040000</v>
      </c>
      <c r="I121">
        <f>Cleaned_Data[[#This Row],[Volume (24h) USD]]/Cleaned_Data[[#This Row],[Circulating_Supply($)]]</f>
        <v>0.11401440716911765</v>
      </c>
      <c r="J121" s="2">
        <f>RANK(Cleaned_Data[[#This Row],[Market Cap]],Cleaned_Data[Market Cap],0)</f>
        <v>119</v>
      </c>
      <c r="K121" t="str">
        <f t="shared" si="1"/>
        <v>0-0.5</v>
      </c>
    </row>
    <row r="122" spans="1:11" x14ac:dyDescent="0.3">
      <c r="A122" t="s">
        <v>789</v>
      </c>
      <c r="B122" t="s">
        <v>789</v>
      </c>
      <c r="C122">
        <v>1.5100000000000001E-2</v>
      </c>
      <c r="D122">
        <v>4.0000000000000001E-3</v>
      </c>
      <c r="E122">
        <v>15087867</v>
      </c>
      <c r="F122">
        <v>8157280</v>
      </c>
      <c r="G122" t="s">
        <v>691</v>
      </c>
      <c r="H122">
        <v>1000000000</v>
      </c>
      <c r="I122">
        <f>Cleaned_Data[[#This Row],[Volume (24h) USD]]/Cleaned_Data[[#This Row],[Circulating_Supply($)]]</f>
        <v>8.1572799999999994E-3</v>
      </c>
      <c r="J122" s="2">
        <f>RANK(Cleaned_Data[[#This Row],[Market Cap]],Cleaned_Data[Market Cap],0)</f>
        <v>120</v>
      </c>
      <c r="K122" t="str">
        <f t="shared" si="1"/>
        <v>0-0.5</v>
      </c>
    </row>
    <row r="123" spans="1:11" x14ac:dyDescent="0.3">
      <c r="A123" t="s">
        <v>794</v>
      </c>
      <c r="B123" t="s">
        <v>795</v>
      </c>
      <c r="C123">
        <v>4.0000000000000002E-4</v>
      </c>
      <c r="D123">
        <v>8.0000000000000004E-4</v>
      </c>
      <c r="E123">
        <v>15086387</v>
      </c>
      <c r="F123">
        <v>13090</v>
      </c>
      <c r="G123" t="s">
        <v>800</v>
      </c>
      <c r="H123">
        <v>36250000000</v>
      </c>
      <c r="I123">
        <f>Cleaned_Data[[#This Row],[Volume (24h) USD]]/Cleaned_Data[[#This Row],[Circulating_Supply($)]]</f>
        <v>3.6110344827586205E-7</v>
      </c>
      <c r="J123" s="2">
        <f>RANK(Cleaned_Data[[#This Row],[Market Cap]],Cleaned_Data[Market Cap],0)</f>
        <v>121</v>
      </c>
      <c r="K123" t="str">
        <f t="shared" si="1"/>
        <v>0-0.5</v>
      </c>
    </row>
    <row r="124" spans="1:11" x14ac:dyDescent="0.3">
      <c r="A124" t="s">
        <v>801</v>
      </c>
      <c r="B124" t="s">
        <v>802</v>
      </c>
      <c r="C124">
        <v>0</v>
      </c>
      <c r="D124">
        <v>5.3E-3</v>
      </c>
      <c r="E124">
        <v>14845661</v>
      </c>
      <c r="F124">
        <v>292534</v>
      </c>
      <c r="G124" t="s">
        <v>806</v>
      </c>
      <c r="H124">
        <v>500000000000</v>
      </c>
      <c r="I124">
        <f>Cleaned_Data[[#This Row],[Volume (24h) USD]]/Cleaned_Data[[#This Row],[Circulating_Supply($)]]</f>
        <v>5.8506799999999998E-7</v>
      </c>
      <c r="J124" s="2">
        <f>RANK(Cleaned_Data[[#This Row],[Market Cap]],Cleaned_Data[Market Cap],0)</f>
        <v>122</v>
      </c>
      <c r="K124" t="str">
        <f t="shared" si="1"/>
        <v>0-0.5</v>
      </c>
    </row>
    <row r="125" spans="1:11" x14ac:dyDescent="0.3">
      <c r="A125" t="s">
        <v>807</v>
      </c>
      <c r="B125" t="s">
        <v>808</v>
      </c>
      <c r="C125">
        <v>5.9999999999999995E-4</v>
      </c>
      <c r="D125">
        <v>3.9300000000000002E-2</v>
      </c>
      <c r="E125">
        <v>14761996</v>
      </c>
      <c r="F125">
        <v>236</v>
      </c>
      <c r="G125" t="s">
        <v>813</v>
      </c>
      <c r="H125">
        <v>26790000000</v>
      </c>
      <c r="I125">
        <f>Cleaned_Data[[#This Row],[Volume (24h) USD]]/Cleaned_Data[[#This Row],[Circulating_Supply($)]]</f>
        <v>8.8092571855169846E-9</v>
      </c>
      <c r="J125" s="2">
        <f>RANK(Cleaned_Data[[#This Row],[Market Cap]],Cleaned_Data[Market Cap],0)</f>
        <v>123</v>
      </c>
      <c r="K125" t="str">
        <f t="shared" si="1"/>
        <v>0-0.5</v>
      </c>
    </row>
    <row r="126" spans="1:11" x14ac:dyDescent="0.3">
      <c r="A126" t="s">
        <v>814</v>
      </c>
      <c r="B126" t="s">
        <v>814</v>
      </c>
      <c r="C126">
        <v>1</v>
      </c>
      <c r="D126">
        <v>1.1999999999999999E-3</v>
      </c>
      <c r="E126">
        <v>14752450</v>
      </c>
      <c r="F126">
        <v>1349239</v>
      </c>
      <c r="G126" t="s">
        <v>817</v>
      </c>
      <c r="H126">
        <v>14670000</v>
      </c>
      <c r="I126">
        <f>Cleaned_Data[[#This Row],[Volume (24h) USD]]/Cleaned_Data[[#This Row],[Circulating_Supply($)]]</f>
        <v>9.1972665303340154E-2</v>
      </c>
      <c r="J126" s="2">
        <f>RANK(Cleaned_Data[[#This Row],[Market Cap]],Cleaned_Data[Market Cap],0)</f>
        <v>124</v>
      </c>
      <c r="K126" t="str">
        <f t="shared" si="1"/>
        <v>0.5-1</v>
      </c>
    </row>
    <row r="127" spans="1:11" x14ac:dyDescent="0.3">
      <c r="A127" t="s">
        <v>818</v>
      </c>
      <c r="B127" t="s">
        <v>819</v>
      </c>
      <c r="C127">
        <v>3.95E-2</v>
      </c>
      <c r="D127">
        <v>2.0000000000000001E-4</v>
      </c>
      <c r="E127">
        <v>14622256</v>
      </c>
      <c r="F127">
        <v>2702918</v>
      </c>
      <c r="G127" t="s">
        <v>823</v>
      </c>
      <c r="H127">
        <v>369950000</v>
      </c>
      <c r="I127">
        <f>Cleaned_Data[[#This Row],[Volume (24h) USD]]/Cleaned_Data[[#This Row],[Circulating_Supply($)]]</f>
        <v>7.3061711042032703E-3</v>
      </c>
      <c r="J127" s="2">
        <f>RANK(Cleaned_Data[[#This Row],[Market Cap]],Cleaned_Data[Market Cap],0)</f>
        <v>125</v>
      </c>
      <c r="K127" t="str">
        <f t="shared" si="1"/>
        <v>0-0.5</v>
      </c>
    </row>
    <row r="128" spans="1:11" x14ac:dyDescent="0.3">
      <c r="A128" t="s">
        <v>824</v>
      </c>
      <c r="B128" t="s">
        <v>825</v>
      </c>
      <c r="C128">
        <v>421.4</v>
      </c>
      <c r="D128">
        <v>4.0000000000000002E-4</v>
      </c>
      <c r="E128">
        <v>14622036</v>
      </c>
      <c r="F128">
        <v>4709810</v>
      </c>
      <c r="G128" t="s">
        <v>829</v>
      </c>
      <c r="H128">
        <v>34690</v>
      </c>
      <c r="I128">
        <f>Cleaned_Data[[#This Row],[Volume (24h) USD]]/Cleaned_Data[[#This Row],[Circulating_Supply($)]]</f>
        <v>135.76852118766215</v>
      </c>
      <c r="J128" s="2">
        <f>RANK(Cleaned_Data[[#This Row],[Market Cap]],Cleaned_Data[Market Cap],0)</f>
        <v>126</v>
      </c>
      <c r="K128" t="str">
        <f t="shared" si="1"/>
        <v>100-10000</v>
      </c>
    </row>
    <row r="129" spans="1:11" x14ac:dyDescent="0.3">
      <c r="A129" t="s">
        <v>830</v>
      </c>
      <c r="B129" t="s">
        <v>831</v>
      </c>
      <c r="C129">
        <v>6.4999999999999997E-3</v>
      </c>
      <c r="D129">
        <v>1.29E-2</v>
      </c>
      <c r="E129">
        <v>14588992</v>
      </c>
      <c r="F129">
        <v>10537420</v>
      </c>
      <c r="G129" t="s">
        <v>836</v>
      </c>
      <c r="H129">
        <v>2250000000</v>
      </c>
      <c r="I129">
        <f>Cleaned_Data[[#This Row],[Volume (24h) USD]]/Cleaned_Data[[#This Row],[Circulating_Supply($)]]</f>
        <v>4.6832977777777774E-3</v>
      </c>
      <c r="J129" s="2">
        <f>RANK(Cleaned_Data[[#This Row],[Market Cap]],Cleaned_Data[Market Cap],0)</f>
        <v>127</v>
      </c>
      <c r="K129" t="str">
        <f t="shared" si="1"/>
        <v>0-0.5</v>
      </c>
    </row>
    <row r="130" spans="1:11" x14ac:dyDescent="0.3">
      <c r="A130" t="s">
        <v>837</v>
      </c>
      <c r="B130" t="s">
        <v>838</v>
      </c>
      <c r="C130">
        <v>3.3099999999999997E-2</v>
      </c>
      <c r="D130">
        <v>4.1000000000000003E-3</v>
      </c>
      <c r="E130">
        <v>14574626</v>
      </c>
      <c r="F130">
        <v>10745584</v>
      </c>
      <c r="G130" t="s">
        <v>842</v>
      </c>
      <c r="H130">
        <v>440480000</v>
      </c>
      <c r="I130">
        <f>Cleaned_Data[[#This Row],[Volume (24h) USD]]/Cleaned_Data[[#This Row],[Circulating_Supply($)]]</f>
        <v>2.4395168906647294E-2</v>
      </c>
      <c r="J130" s="2">
        <f>RANK(Cleaned_Data[[#This Row],[Market Cap]],Cleaned_Data[Market Cap],0)</f>
        <v>128</v>
      </c>
      <c r="K130" t="str">
        <f t="shared" ref="K130:K193" si="2">IF(C130&lt;=0.5,"0-0.5",
IF(C130&lt;=1,"0.5-1",
IF(C130&lt;=2,"1-2",
IF(C130&lt;=10,"2-10",
IF(C130&lt;=100,"10-100",
IF(C130&lt;=10000,"100-10000",
"10000+"))))))</f>
        <v>0-0.5</v>
      </c>
    </row>
    <row r="131" spans="1:11" x14ac:dyDescent="0.3">
      <c r="A131" t="s">
        <v>843</v>
      </c>
      <c r="B131" t="s">
        <v>844</v>
      </c>
      <c r="C131">
        <v>5.4000000000000003E-3</v>
      </c>
      <c r="D131">
        <v>2.12E-2</v>
      </c>
      <c r="E131">
        <v>14557174</v>
      </c>
      <c r="F131">
        <v>11176463</v>
      </c>
      <c r="G131" t="s">
        <v>849</v>
      </c>
      <c r="H131">
        <v>2710000000</v>
      </c>
      <c r="I131">
        <f>Cleaned_Data[[#This Row],[Volume (24h) USD]]/Cleaned_Data[[#This Row],[Circulating_Supply($)]]</f>
        <v>4.1241560885608855E-3</v>
      </c>
      <c r="J131" s="2">
        <f>RANK(Cleaned_Data[[#This Row],[Market Cap]],Cleaned_Data[Market Cap],0)</f>
        <v>129</v>
      </c>
      <c r="K131" t="str">
        <f t="shared" si="2"/>
        <v>0-0.5</v>
      </c>
    </row>
    <row r="132" spans="1:11" x14ac:dyDescent="0.3">
      <c r="A132" t="s">
        <v>850</v>
      </c>
      <c r="B132" t="s">
        <v>851</v>
      </c>
      <c r="C132">
        <v>0.43240000000000001</v>
      </c>
      <c r="D132">
        <v>5.1999999999999998E-3</v>
      </c>
      <c r="E132">
        <v>14530482</v>
      </c>
      <c r="F132">
        <v>4296543</v>
      </c>
      <c r="G132" t="s">
        <v>856</v>
      </c>
      <c r="H132">
        <v>33600000</v>
      </c>
      <c r="I132">
        <f>Cleaned_Data[[#This Row],[Volume (24h) USD]]/Cleaned_Data[[#This Row],[Circulating_Supply($)]]</f>
        <v>0.12787330357142856</v>
      </c>
      <c r="J132" s="2">
        <f>RANK(Cleaned_Data[[#This Row],[Market Cap]],Cleaned_Data[Market Cap],0)</f>
        <v>130</v>
      </c>
      <c r="K132" t="str">
        <f t="shared" si="2"/>
        <v>0-0.5</v>
      </c>
    </row>
    <row r="133" spans="1:11" x14ac:dyDescent="0.3">
      <c r="A133" t="s">
        <v>857</v>
      </c>
      <c r="B133" t="s">
        <v>858</v>
      </c>
      <c r="C133">
        <v>6.6E-3</v>
      </c>
      <c r="D133">
        <v>1.04E-2</v>
      </c>
      <c r="E133">
        <v>14492346</v>
      </c>
      <c r="F133">
        <v>14395269</v>
      </c>
      <c r="G133" t="s">
        <v>863</v>
      </c>
      <c r="H133">
        <v>2200000000</v>
      </c>
      <c r="I133">
        <f>Cleaned_Data[[#This Row],[Volume (24h) USD]]/Cleaned_Data[[#This Row],[Circulating_Supply($)]]</f>
        <v>6.5433040909090908E-3</v>
      </c>
      <c r="J133" s="2">
        <f>RANK(Cleaned_Data[[#This Row],[Market Cap]],Cleaned_Data[Market Cap],0)</f>
        <v>131</v>
      </c>
      <c r="K133" t="str">
        <f t="shared" si="2"/>
        <v>0-0.5</v>
      </c>
    </row>
    <row r="134" spans="1:11" x14ac:dyDescent="0.3">
      <c r="A134" t="s">
        <v>864</v>
      </c>
      <c r="B134" t="s">
        <v>865</v>
      </c>
      <c r="C134">
        <v>101.81</v>
      </c>
      <c r="D134">
        <v>4.0000000000000002E-4</v>
      </c>
      <c r="E134">
        <v>14407449</v>
      </c>
      <c r="F134">
        <v>1140907</v>
      </c>
      <c r="G134" t="s">
        <v>869</v>
      </c>
      <c r="H134">
        <v>141510</v>
      </c>
      <c r="I134">
        <f>Cleaned_Data[[#This Row],[Volume (24h) USD]]/Cleaned_Data[[#This Row],[Circulating_Supply($)]]</f>
        <v>8.0623772171577972</v>
      </c>
      <c r="J134" s="2">
        <f>RANK(Cleaned_Data[[#This Row],[Market Cap]],Cleaned_Data[Market Cap],0)</f>
        <v>132</v>
      </c>
      <c r="K134" t="str">
        <f t="shared" si="2"/>
        <v>100-10000</v>
      </c>
    </row>
    <row r="135" spans="1:11" x14ac:dyDescent="0.3">
      <c r="A135" t="s">
        <v>870</v>
      </c>
      <c r="B135" t="s">
        <v>871</v>
      </c>
      <c r="C135">
        <v>9.7000000000000003E-3</v>
      </c>
      <c r="D135">
        <v>4.0000000000000001E-3</v>
      </c>
      <c r="E135">
        <v>14386535</v>
      </c>
      <c r="F135">
        <v>6532807</v>
      </c>
      <c r="G135" t="s">
        <v>875</v>
      </c>
      <c r="H135">
        <v>1480000000</v>
      </c>
      <c r="I135">
        <f>Cleaned_Data[[#This Row],[Volume (24h) USD]]/Cleaned_Data[[#This Row],[Circulating_Supply($)]]</f>
        <v>4.4140587837837838E-3</v>
      </c>
      <c r="J135" s="2">
        <f>RANK(Cleaned_Data[[#This Row],[Market Cap]],Cleaned_Data[Market Cap],0)</f>
        <v>133</v>
      </c>
      <c r="K135" t="str">
        <f t="shared" si="2"/>
        <v>0-0.5</v>
      </c>
    </row>
    <row r="136" spans="1:11" x14ac:dyDescent="0.3">
      <c r="A136" t="s">
        <v>876</v>
      </c>
      <c r="B136" t="s">
        <v>877</v>
      </c>
      <c r="C136">
        <v>1.6E-2</v>
      </c>
      <c r="D136">
        <v>5.4000000000000003E-3</v>
      </c>
      <c r="E136">
        <v>14294110</v>
      </c>
      <c r="F136">
        <v>78509</v>
      </c>
      <c r="G136" t="s">
        <v>882</v>
      </c>
      <c r="H136">
        <v>894100000</v>
      </c>
      <c r="I136">
        <f>Cleaned_Data[[#This Row],[Volume (24h) USD]]/Cleaned_Data[[#This Row],[Circulating_Supply($)]]</f>
        <v>8.7807851470752719E-5</v>
      </c>
      <c r="J136" s="2">
        <f>RANK(Cleaned_Data[[#This Row],[Market Cap]],Cleaned_Data[Market Cap],0)</f>
        <v>134</v>
      </c>
      <c r="K136" t="str">
        <f t="shared" si="2"/>
        <v>0-0.5</v>
      </c>
    </row>
    <row r="137" spans="1:11" x14ac:dyDescent="0.3">
      <c r="A137" t="s">
        <v>883</v>
      </c>
      <c r="B137" t="s">
        <v>884</v>
      </c>
      <c r="C137">
        <v>2.3099999999999999E-2</v>
      </c>
      <c r="D137">
        <v>1.2E-2</v>
      </c>
      <c r="E137">
        <v>11771749</v>
      </c>
      <c r="F137">
        <v>4837322</v>
      </c>
      <c r="G137" t="s">
        <v>889</v>
      </c>
      <c r="H137">
        <v>508880000</v>
      </c>
      <c r="I137">
        <f>Cleaned_Data[[#This Row],[Volume (24h) USD]]/Cleaned_Data[[#This Row],[Circulating_Supply($)]]</f>
        <v>9.5058206256877845E-3</v>
      </c>
      <c r="J137" s="2">
        <f>RANK(Cleaned_Data[[#This Row],[Market Cap]],Cleaned_Data[Market Cap],0)</f>
        <v>135</v>
      </c>
      <c r="K137" t="str">
        <f t="shared" si="2"/>
        <v>0-0.5</v>
      </c>
    </row>
    <row r="138" spans="1:11" x14ac:dyDescent="0.3">
      <c r="A138" t="s">
        <v>890</v>
      </c>
      <c r="B138" t="s">
        <v>457</v>
      </c>
      <c r="C138">
        <v>1.17E-2</v>
      </c>
      <c r="D138">
        <v>2.3999999999999998E-3</v>
      </c>
      <c r="E138">
        <v>11738691</v>
      </c>
      <c r="F138">
        <v>227106</v>
      </c>
      <c r="G138" t="s">
        <v>691</v>
      </c>
      <c r="H138">
        <v>1000000000</v>
      </c>
      <c r="I138">
        <f>Cleaned_Data[[#This Row],[Volume (24h) USD]]/Cleaned_Data[[#This Row],[Circulating_Supply($)]]</f>
        <v>2.27106E-4</v>
      </c>
      <c r="J138" s="2">
        <f>RANK(Cleaned_Data[[#This Row],[Market Cap]],Cleaned_Data[Market Cap],0)</f>
        <v>136</v>
      </c>
      <c r="K138" t="str">
        <f t="shared" si="2"/>
        <v>0-0.5</v>
      </c>
    </row>
    <row r="139" spans="1:11" x14ac:dyDescent="0.3">
      <c r="A139" t="s">
        <v>894</v>
      </c>
      <c r="B139" t="s">
        <v>895</v>
      </c>
      <c r="C139">
        <v>6.1699999999999998E-2</v>
      </c>
      <c r="D139">
        <v>7.4999999999999997E-3</v>
      </c>
      <c r="E139">
        <v>11722839</v>
      </c>
      <c r="F139">
        <v>6094776</v>
      </c>
      <c r="G139" t="s">
        <v>899</v>
      </c>
      <c r="H139">
        <v>190000000</v>
      </c>
      <c r="I139">
        <f>Cleaned_Data[[#This Row],[Volume (24h) USD]]/Cleaned_Data[[#This Row],[Circulating_Supply($)]]</f>
        <v>3.207776842105263E-2</v>
      </c>
      <c r="J139" s="2">
        <f>RANK(Cleaned_Data[[#This Row],[Market Cap]],Cleaned_Data[Market Cap],0)</f>
        <v>137</v>
      </c>
      <c r="K139" t="str">
        <f t="shared" si="2"/>
        <v>0-0.5</v>
      </c>
    </row>
    <row r="140" spans="1:11" x14ac:dyDescent="0.3">
      <c r="A140" t="s">
        <v>900</v>
      </c>
      <c r="B140" t="s">
        <v>901</v>
      </c>
      <c r="C140">
        <v>1.44</v>
      </c>
      <c r="D140">
        <v>7.4999999999999997E-3</v>
      </c>
      <c r="E140">
        <v>11721495</v>
      </c>
      <c r="F140">
        <v>4782143</v>
      </c>
      <c r="G140" t="s">
        <v>905</v>
      </c>
      <c r="H140">
        <v>8130000.0000000009</v>
      </c>
      <c r="I140">
        <f>Cleaned_Data[[#This Row],[Volume (24h) USD]]/Cleaned_Data[[#This Row],[Circulating_Supply($)]]</f>
        <v>0.58820947109471089</v>
      </c>
      <c r="J140" s="2">
        <f>RANK(Cleaned_Data[[#This Row],[Market Cap]],Cleaned_Data[Market Cap],0)</f>
        <v>138</v>
      </c>
      <c r="K140" t="str">
        <f t="shared" si="2"/>
        <v>1-2</v>
      </c>
    </row>
    <row r="141" spans="1:11" x14ac:dyDescent="0.3">
      <c r="A141" t="s">
        <v>906</v>
      </c>
      <c r="B141" t="s">
        <v>907</v>
      </c>
      <c r="C141">
        <v>1.55E-2</v>
      </c>
      <c r="D141">
        <v>1.9400000000000001E-2</v>
      </c>
      <c r="E141">
        <v>11632684</v>
      </c>
      <c r="F141">
        <v>966021</v>
      </c>
      <c r="G141" t="s">
        <v>912</v>
      </c>
      <c r="H141">
        <v>750000000</v>
      </c>
      <c r="I141">
        <f>Cleaned_Data[[#This Row],[Volume (24h) USD]]/Cleaned_Data[[#This Row],[Circulating_Supply($)]]</f>
        <v>1.2880280000000001E-3</v>
      </c>
      <c r="J141" s="2">
        <f>RANK(Cleaned_Data[[#This Row],[Market Cap]],Cleaned_Data[Market Cap],0)</f>
        <v>139</v>
      </c>
      <c r="K141" t="str">
        <f t="shared" si="2"/>
        <v>0-0.5</v>
      </c>
    </row>
    <row r="142" spans="1:11" x14ac:dyDescent="0.3">
      <c r="A142" t="s">
        <v>913</v>
      </c>
      <c r="B142" t="s">
        <v>914</v>
      </c>
      <c r="C142">
        <v>5.4999999999999997E-3</v>
      </c>
      <c r="D142">
        <v>2.46E-2</v>
      </c>
      <c r="E142">
        <v>11629158</v>
      </c>
      <c r="F142">
        <v>3907439</v>
      </c>
      <c r="G142" t="s">
        <v>919</v>
      </c>
      <c r="H142">
        <v>2100000000</v>
      </c>
      <c r="I142">
        <f>Cleaned_Data[[#This Row],[Volume (24h) USD]]/Cleaned_Data[[#This Row],[Circulating_Supply($)]]</f>
        <v>1.8606852380952381E-3</v>
      </c>
      <c r="J142" s="2">
        <f>RANK(Cleaned_Data[[#This Row],[Market Cap]],Cleaned_Data[Market Cap],0)</f>
        <v>140</v>
      </c>
      <c r="K142" t="str">
        <f t="shared" si="2"/>
        <v>0-0.5</v>
      </c>
    </row>
    <row r="143" spans="1:11" x14ac:dyDescent="0.3">
      <c r="A143" t="s">
        <v>920</v>
      </c>
      <c r="B143" t="s">
        <v>921</v>
      </c>
      <c r="C143">
        <v>3.8999999999999998E-3</v>
      </c>
      <c r="D143">
        <v>2.0899999999999998E-2</v>
      </c>
      <c r="E143">
        <v>11628176</v>
      </c>
      <c r="F143">
        <v>11365892</v>
      </c>
      <c r="G143" t="s">
        <v>926</v>
      </c>
      <c r="H143">
        <v>3000000000</v>
      </c>
      <c r="I143">
        <f>Cleaned_Data[[#This Row],[Volume (24h) USD]]/Cleaned_Data[[#This Row],[Circulating_Supply($)]]</f>
        <v>3.7886306666666666E-3</v>
      </c>
      <c r="J143" s="2">
        <f>RANK(Cleaned_Data[[#This Row],[Market Cap]],Cleaned_Data[Market Cap],0)</f>
        <v>141</v>
      </c>
      <c r="K143" t="str">
        <f t="shared" si="2"/>
        <v>0-0.5</v>
      </c>
    </row>
    <row r="144" spans="1:11" x14ac:dyDescent="0.3">
      <c r="A144" t="s">
        <v>927</v>
      </c>
      <c r="B144" t="s">
        <v>928</v>
      </c>
      <c r="C144">
        <v>0.186</v>
      </c>
      <c r="D144">
        <v>1.38E-2</v>
      </c>
      <c r="E144">
        <v>11617190</v>
      </c>
      <c r="F144">
        <v>3689496</v>
      </c>
      <c r="G144" t="s">
        <v>933</v>
      </c>
      <c r="H144">
        <v>62450000</v>
      </c>
      <c r="I144">
        <f>Cleaned_Data[[#This Row],[Volume (24h) USD]]/Cleaned_Data[[#This Row],[Circulating_Supply($)]]</f>
        <v>5.9079199359487591E-2</v>
      </c>
      <c r="J144" s="2">
        <f>RANK(Cleaned_Data[[#This Row],[Market Cap]],Cleaned_Data[Market Cap],0)</f>
        <v>142</v>
      </c>
      <c r="K144" t="str">
        <f t="shared" si="2"/>
        <v>0-0.5</v>
      </c>
    </row>
    <row r="145" spans="1:11" x14ac:dyDescent="0.3">
      <c r="A145" t="s">
        <v>934</v>
      </c>
      <c r="B145" t="s">
        <v>935</v>
      </c>
      <c r="C145">
        <v>6.6E-3</v>
      </c>
      <c r="D145">
        <v>1E-4</v>
      </c>
      <c r="E145">
        <v>11587050</v>
      </c>
      <c r="F145">
        <v>158701</v>
      </c>
      <c r="G145" t="s">
        <v>939</v>
      </c>
      <c r="H145">
        <v>1760000000</v>
      </c>
      <c r="I145">
        <f>Cleaned_Data[[#This Row],[Volume (24h) USD]]/Cleaned_Data[[#This Row],[Circulating_Supply($)]]</f>
        <v>9.0171022727272729E-5</v>
      </c>
      <c r="J145" s="2">
        <f>RANK(Cleaned_Data[[#This Row],[Market Cap]],Cleaned_Data[Market Cap],0)</f>
        <v>143</v>
      </c>
      <c r="K145" t="str">
        <f t="shared" si="2"/>
        <v>0-0.5</v>
      </c>
    </row>
    <row r="146" spans="1:11" x14ac:dyDescent="0.3">
      <c r="A146" t="s">
        <v>940</v>
      </c>
      <c r="B146" t="s">
        <v>941</v>
      </c>
      <c r="C146">
        <v>0.1032</v>
      </c>
      <c r="D146">
        <v>4.2500000000000003E-2</v>
      </c>
      <c r="E146">
        <v>11558741</v>
      </c>
      <c r="F146">
        <v>97019</v>
      </c>
      <c r="G146" t="s">
        <v>946</v>
      </c>
      <c r="H146">
        <v>111980000</v>
      </c>
      <c r="I146">
        <f>Cleaned_Data[[#This Row],[Volume (24h) USD]]/Cleaned_Data[[#This Row],[Circulating_Supply($)]]</f>
        <v>8.6639578496160033E-4</v>
      </c>
      <c r="J146" s="2">
        <f>RANK(Cleaned_Data[[#This Row],[Market Cap]],Cleaned_Data[Market Cap],0)</f>
        <v>144</v>
      </c>
      <c r="K146" t="str">
        <f t="shared" si="2"/>
        <v>0-0.5</v>
      </c>
    </row>
    <row r="147" spans="1:11" x14ac:dyDescent="0.3">
      <c r="A147" t="s">
        <v>947</v>
      </c>
      <c r="B147" t="s">
        <v>948</v>
      </c>
      <c r="C147">
        <v>8.4500000000000006E-2</v>
      </c>
      <c r="D147">
        <v>4.3E-3</v>
      </c>
      <c r="E147">
        <v>11543691</v>
      </c>
      <c r="F147">
        <v>626143</v>
      </c>
      <c r="G147" t="s">
        <v>953</v>
      </c>
      <c r="H147">
        <v>136640000</v>
      </c>
      <c r="I147">
        <f>Cleaned_Data[[#This Row],[Volume (24h) USD]]/Cleaned_Data[[#This Row],[Circulating_Supply($)]]</f>
        <v>4.5824282786885249E-3</v>
      </c>
      <c r="J147" s="2">
        <f>RANK(Cleaned_Data[[#This Row],[Market Cap]],Cleaned_Data[Market Cap],0)</f>
        <v>145</v>
      </c>
      <c r="K147" t="str">
        <f t="shared" si="2"/>
        <v>0-0.5</v>
      </c>
    </row>
    <row r="148" spans="1:11" x14ac:dyDescent="0.3">
      <c r="A148" t="s">
        <v>954</v>
      </c>
      <c r="B148" t="s">
        <v>955</v>
      </c>
      <c r="C148">
        <v>8.1199999999999994E-2</v>
      </c>
      <c r="D148">
        <v>1.03E-2</v>
      </c>
      <c r="E148">
        <v>11509614</v>
      </c>
      <c r="F148">
        <v>2890457</v>
      </c>
      <c r="G148" t="s">
        <v>960</v>
      </c>
      <c r="H148">
        <v>141740000</v>
      </c>
      <c r="I148">
        <f>Cleaned_Data[[#This Row],[Volume (24h) USD]]/Cleaned_Data[[#This Row],[Circulating_Supply($)]]</f>
        <v>2.0392669676873146E-2</v>
      </c>
      <c r="J148" s="2">
        <f>RANK(Cleaned_Data[[#This Row],[Market Cap]],Cleaned_Data[Market Cap],0)</f>
        <v>146</v>
      </c>
      <c r="K148" t="str">
        <f t="shared" si="2"/>
        <v>0-0.5</v>
      </c>
    </row>
    <row r="149" spans="1:11" x14ac:dyDescent="0.3">
      <c r="A149" t="s">
        <v>961</v>
      </c>
      <c r="B149" t="s">
        <v>962</v>
      </c>
      <c r="C149">
        <v>5.1499999999999997E-2</v>
      </c>
      <c r="D149">
        <v>1.1999999999999999E-3</v>
      </c>
      <c r="E149">
        <v>11467536</v>
      </c>
      <c r="F149">
        <v>27229</v>
      </c>
      <c r="G149" t="s">
        <v>966</v>
      </c>
      <c r="H149">
        <v>7550000000000</v>
      </c>
      <c r="I149">
        <f>Cleaned_Data[[#This Row],[Volume (24h) USD]]/Cleaned_Data[[#This Row],[Circulating_Supply($)]]</f>
        <v>3.6064900662251655E-9</v>
      </c>
      <c r="J149" s="2">
        <f>RANK(Cleaned_Data[[#This Row],[Market Cap]],Cleaned_Data[Market Cap],0)</f>
        <v>147</v>
      </c>
      <c r="K149" t="str">
        <f t="shared" si="2"/>
        <v>0-0.5</v>
      </c>
    </row>
    <row r="150" spans="1:11" x14ac:dyDescent="0.3">
      <c r="A150" t="s">
        <v>967</v>
      </c>
      <c r="B150" t="s">
        <v>968</v>
      </c>
      <c r="C150">
        <v>1.6000000000000001E-3</v>
      </c>
      <c r="D150">
        <v>4.4999999999999997E-3</v>
      </c>
      <c r="E150">
        <v>11452944</v>
      </c>
      <c r="F150">
        <v>1536011</v>
      </c>
      <c r="G150" t="s">
        <v>973</v>
      </c>
      <c r="H150">
        <v>7100000000</v>
      </c>
      <c r="I150">
        <f>Cleaned_Data[[#This Row],[Volume (24h) USD]]/Cleaned_Data[[#This Row],[Circulating_Supply($)]]</f>
        <v>2.1633957746478873E-4</v>
      </c>
      <c r="J150" s="2">
        <f>RANK(Cleaned_Data[[#This Row],[Market Cap]],Cleaned_Data[Market Cap],0)</f>
        <v>148</v>
      </c>
      <c r="K150" t="str">
        <f t="shared" si="2"/>
        <v>0-0.5</v>
      </c>
    </row>
    <row r="151" spans="1:11" x14ac:dyDescent="0.3">
      <c r="A151" t="s">
        <v>974</v>
      </c>
      <c r="B151" t="s">
        <v>975</v>
      </c>
      <c r="C151">
        <v>3.27E-2</v>
      </c>
      <c r="D151">
        <v>1E-4</v>
      </c>
      <c r="E151">
        <v>11452103</v>
      </c>
      <c r="F151">
        <v>1216681</v>
      </c>
      <c r="G151" t="s">
        <v>978</v>
      </c>
      <c r="H151">
        <v>349990000</v>
      </c>
      <c r="I151">
        <f>Cleaned_Data[[#This Row],[Volume (24h) USD]]/Cleaned_Data[[#This Row],[Circulating_Supply($)]]</f>
        <v>3.4763307523072088E-3</v>
      </c>
      <c r="J151" s="2">
        <f>RANK(Cleaned_Data[[#This Row],[Market Cap]],Cleaned_Data[Market Cap],0)</f>
        <v>149</v>
      </c>
      <c r="K151" t="str">
        <f t="shared" si="2"/>
        <v>0-0.5</v>
      </c>
    </row>
    <row r="152" spans="1:11" x14ac:dyDescent="0.3">
      <c r="A152" t="s">
        <v>979</v>
      </c>
      <c r="B152" t="s">
        <v>980</v>
      </c>
      <c r="C152">
        <v>3.5999999999999999E-3</v>
      </c>
      <c r="D152">
        <v>1.2999999999999999E-3</v>
      </c>
      <c r="E152">
        <v>9081675</v>
      </c>
      <c r="F152">
        <v>19953251</v>
      </c>
      <c r="G152" t="s">
        <v>985</v>
      </c>
      <c r="H152">
        <v>2500000000</v>
      </c>
      <c r="I152">
        <f>Cleaned_Data[[#This Row],[Volume (24h) USD]]/Cleaned_Data[[#This Row],[Circulating_Supply($)]]</f>
        <v>7.9813004000000003E-3</v>
      </c>
      <c r="J152" s="2">
        <f>RANK(Cleaned_Data[[#This Row],[Market Cap]],Cleaned_Data[Market Cap],0)</f>
        <v>150</v>
      </c>
      <c r="K152" t="str">
        <f t="shared" si="2"/>
        <v>0-0.5</v>
      </c>
    </row>
    <row r="153" spans="1:11" x14ac:dyDescent="0.3">
      <c r="A153" t="s">
        <v>986</v>
      </c>
      <c r="B153" t="s">
        <v>987</v>
      </c>
      <c r="C153">
        <v>2.3E-2</v>
      </c>
      <c r="D153">
        <v>1E-3</v>
      </c>
      <c r="E153">
        <v>9071376</v>
      </c>
      <c r="F153">
        <v>4203612</v>
      </c>
      <c r="G153" t="s">
        <v>991</v>
      </c>
      <c r="H153">
        <v>394650000</v>
      </c>
      <c r="I153">
        <f>Cleaned_Data[[#This Row],[Volume (24h) USD]]/Cleaned_Data[[#This Row],[Circulating_Supply($)]]</f>
        <v>1.0651493728620296E-2</v>
      </c>
      <c r="J153" s="2">
        <f>RANK(Cleaned_Data[[#This Row],[Market Cap]],Cleaned_Data[Market Cap],0)</f>
        <v>151</v>
      </c>
      <c r="K153" t="str">
        <f t="shared" si="2"/>
        <v>0-0.5</v>
      </c>
    </row>
    <row r="154" spans="1:11" x14ac:dyDescent="0.3">
      <c r="A154" t="s">
        <v>992</v>
      </c>
      <c r="B154" t="s">
        <v>993</v>
      </c>
      <c r="C154">
        <v>0.1668</v>
      </c>
      <c r="D154">
        <v>3.3E-3</v>
      </c>
      <c r="E154">
        <v>9070231</v>
      </c>
      <c r="F154">
        <v>2971</v>
      </c>
      <c r="G154" t="s">
        <v>997</v>
      </c>
      <c r="H154">
        <v>54370000</v>
      </c>
      <c r="I154">
        <f>Cleaned_Data[[#This Row],[Volume (24h) USD]]/Cleaned_Data[[#This Row],[Circulating_Supply($)]]</f>
        <v>5.4644105205076327E-5</v>
      </c>
      <c r="J154" s="2">
        <f>RANK(Cleaned_Data[[#This Row],[Market Cap]],Cleaned_Data[Market Cap],0)</f>
        <v>152</v>
      </c>
      <c r="K154" t="str">
        <f t="shared" si="2"/>
        <v>0-0.5</v>
      </c>
    </row>
    <row r="155" spans="1:11" x14ac:dyDescent="0.3">
      <c r="A155" t="s">
        <v>998</v>
      </c>
      <c r="B155" t="s">
        <v>999</v>
      </c>
      <c r="C155">
        <v>9.4E-2</v>
      </c>
      <c r="D155">
        <v>2.5700000000000001E-2</v>
      </c>
      <c r="E155">
        <v>9065884</v>
      </c>
      <c r="F155">
        <v>362335</v>
      </c>
      <c r="G155" t="s">
        <v>1004</v>
      </c>
      <c r="H155">
        <v>96440000</v>
      </c>
      <c r="I155">
        <f>Cleaned_Data[[#This Row],[Volume (24h) USD]]/Cleaned_Data[[#This Row],[Circulating_Supply($)]]</f>
        <v>3.7571028618830359E-3</v>
      </c>
      <c r="J155" s="2">
        <f>RANK(Cleaned_Data[[#This Row],[Market Cap]],Cleaned_Data[Market Cap],0)</f>
        <v>153</v>
      </c>
      <c r="K155" t="str">
        <f t="shared" si="2"/>
        <v>0-0.5</v>
      </c>
    </row>
    <row r="156" spans="1:11" x14ac:dyDescent="0.3">
      <c r="A156" t="s">
        <v>1005</v>
      </c>
      <c r="B156" t="s">
        <v>1006</v>
      </c>
      <c r="C156">
        <v>8.4199999999999997E-2</v>
      </c>
      <c r="D156">
        <v>6.9999999999999999E-4</v>
      </c>
      <c r="E156">
        <v>9018895</v>
      </c>
      <c r="F156">
        <v>261994</v>
      </c>
      <c r="G156" t="s">
        <v>1010</v>
      </c>
      <c r="H156">
        <v>107050000</v>
      </c>
      <c r="I156">
        <f>Cleaned_Data[[#This Row],[Volume (24h) USD]]/Cleaned_Data[[#This Row],[Circulating_Supply($)]]</f>
        <v>2.4473984119570296E-3</v>
      </c>
      <c r="J156" s="2">
        <f>RANK(Cleaned_Data[[#This Row],[Market Cap]],Cleaned_Data[Market Cap],0)</f>
        <v>154</v>
      </c>
      <c r="K156" t="str">
        <f t="shared" si="2"/>
        <v>0-0.5</v>
      </c>
    </row>
    <row r="157" spans="1:11" x14ac:dyDescent="0.3">
      <c r="A157" t="s">
        <v>1011</v>
      </c>
      <c r="B157" t="s">
        <v>1011</v>
      </c>
      <c r="C157">
        <v>1.29E-2</v>
      </c>
      <c r="D157">
        <v>4.1999999999999997E-3</v>
      </c>
      <c r="E157">
        <v>8979774</v>
      </c>
      <c r="F157">
        <v>366937</v>
      </c>
      <c r="G157" t="s">
        <v>1015</v>
      </c>
      <c r="H157">
        <v>694260000</v>
      </c>
      <c r="I157">
        <f>Cleaned_Data[[#This Row],[Volume (24h) USD]]/Cleaned_Data[[#This Row],[Circulating_Supply($)]]</f>
        <v>5.2852965747702586E-4</v>
      </c>
      <c r="J157" s="2">
        <f>RANK(Cleaned_Data[[#This Row],[Market Cap]],Cleaned_Data[Market Cap],0)</f>
        <v>155</v>
      </c>
      <c r="K157" t="str">
        <f t="shared" si="2"/>
        <v>0-0.5</v>
      </c>
    </row>
    <row r="158" spans="1:11" x14ac:dyDescent="0.3">
      <c r="A158" t="s">
        <v>1016</v>
      </c>
      <c r="B158" t="s">
        <v>1016</v>
      </c>
      <c r="C158">
        <v>9.9000000000000008E-3</v>
      </c>
      <c r="D158">
        <v>2.41E-2</v>
      </c>
      <c r="E158">
        <v>8910580</v>
      </c>
      <c r="F158">
        <v>2177604</v>
      </c>
      <c r="G158" t="s">
        <v>1021</v>
      </c>
      <c r="H158">
        <v>900190000</v>
      </c>
      <c r="I158">
        <f>Cleaned_Data[[#This Row],[Volume (24h) USD]]/Cleaned_Data[[#This Row],[Circulating_Supply($)]]</f>
        <v>2.4190493118119508E-3</v>
      </c>
      <c r="J158" s="2">
        <f>RANK(Cleaned_Data[[#This Row],[Market Cap]],Cleaned_Data[Market Cap],0)</f>
        <v>156</v>
      </c>
      <c r="K158" t="str">
        <f t="shared" si="2"/>
        <v>0-0.5</v>
      </c>
    </row>
    <row r="159" spans="1:11" x14ac:dyDescent="0.3">
      <c r="A159" t="s">
        <v>1022</v>
      </c>
      <c r="B159" t="s">
        <v>1023</v>
      </c>
      <c r="C159">
        <v>9.1999999999999998E-3</v>
      </c>
      <c r="D159">
        <v>1.21E-2</v>
      </c>
      <c r="E159">
        <v>8885426</v>
      </c>
      <c r="F159">
        <v>1766137</v>
      </c>
      <c r="G159" t="s">
        <v>1028</v>
      </c>
      <c r="H159">
        <v>966740000</v>
      </c>
      <c r="I159">
        <f>Cleaned_Data[[#This Row],[Volume (24h) USD]]/Cleaned_Data[[#This Row],[Circulating_Supply($)]]</f>
        <v>1.8268996834722884E-3</v>
      </c>
      <c r="J159" s="2">
        <f>RANK(Cleaned_Data[[#This Row],[Market Cap]],Cleaned_Data[Market Cap],0)</f>
        <v>157</v>
      </c>
      <c r="K159" t="str">
        <f t="shared" si="2"/>
        <v>0-0.5</v>
      </c>
    </row>
    <row r="160" spans="1:11" x14ac:dyDescent="0.3">
      <c r="A160" t="s">
        <v>1029</v>
      </c>
      <c r="B160" t="s">
        <v>1030</v>
      </c>
      <c r="C160">
        <v>4.5999999999999999E-3</v>
      </c>
      <c r="D160">
        <v>2.3400000000000001E-2</v>
      </c>
      <c r="E160">
        <v>8868806</v>
      </c>
      <c r="F160">
        <v>2236478</v>
      </c>
      <c r="G160" t="s">
        <v>1035</v>
      </c>
      <c r="H160">
        <v>1910000000</v>
      </c>
      <c r="I160">
        <f>Cleaned_Data[[#This Row],[Volume (24h) USD]]/Cleaned_Data[[#This Row],[Circulating_Supply($)]]</f>
        <v>1.170930890052356E-3</v>
      </c>
      <c r="J160" s="2">
        <f>RANK(Cleaned_Data[[#This Row],[Market Cap]],Cleaned_Data[Market Cap],0)</f>
        <v>158</v>
      </c>
      <c r="K160" t="str">
        <f t="shared" si="2"/>
        <v>0-0.5</v>
      </c>
    </row>
    <row r="161" spans="1:11" x14ac:dyDescent="0.3">
      <c r="A161" t="s">
        <v>1036</v>
      </c>
      <c r="B161" t="s">
        <v>1037</v>
      </c>
      <c r="C161">
        <v>8.8999999999999999E-3</v>
      </c>
      <c r="D161">
        <v>5.4999999999999997E-3</v>
      </c>
      <c r="E161">
        <v>8867706</v>
      </c>
      <c r="F161">
        <v>233418</v>
      </c>
      <c r="G161" t="s">
        <v>691</v>
      </c>
      <c r="H161">
        <v>1000000000</v>
      </c>
      <c r="I161">
        <f>Cleaned_Data[[#This Row],[Volume (24h) USD]]/Cleaned_Data[[#This Row],[Circulating_Supply($)]]</f>
        <v>2.3341799999999999E-4</v>
      </c>
      <c r="J161" s="2">
        <f>RANK(Cleaned_Data[[#This Row],[Market Cap]],Cleaned_Data[Market Cap],0)</f>
        <v>159</v>
      </c>
      <c r="K161" t="str">
        <f t="shared" si="2"/>
        <v>0-0.5</v>
      </c>
    </row>
    <row r="162" spans="1:11" x14ac:dyDescent="0.3">
      <c r="A162" t="s">
        <v>1042</v>
      </c>
      <c r="B162" t="s">
        <v>1043</v>
      </c>
      <c r="C162">
        <v>1.6999999999999999E-3</v>
      </c>
      <c r="D162">
        <v>4.1000000000000003E-3</v>
      </c>
      <c r="E162">
        <v>8864473</v>
      </c>
      <c r="F162">
        <v>3628496</v>
      </c>
      <c r="G162" t="s">
        <v>1047</v>
      </c>
      <c r="H162">
        <v>5200000000</v>
      </c>
      <c r="I162">
        <f>Cleaned_Data[[#This Row],[Volume (24h) USD]]/Cleaned_Data[[#This Row],[Circulating_Supply($)]]</f>
        <v>6.9778769230769235E-4</v>
      </c>
      <c r="J162" s="2">
        <f>RANK(Cleaned_Data[[#This Row],[Market Cap]],Cleaned_Data[Market Cap],0)</f>
        <v>160</v>
      </c>
      <c r="K162" t="str">
        <f t="shared" si="2"/>
        <v>0-0.5</v>
      </c>
    </row>
    <row r="163" spans="1:11" x14ac:dyDescent="0.3">
      <c r="A163" t="s">
        <v>1048</v>
      </c>
      <c r="B163" t="s">
        <v>1049</v>
      </c>
      <c r="C163">
        <v>74.040000000000006</v>
      </c>
      <c r="D163">
        <v>2.9999999999999997E-4</v>
      </c>
      <c r="E163">
        <v>8845860</v>
      </c>
      <c r="F163">
        <v>683</v>
      </c>
      <c r="G163" t="s">
        <v>1053</v>
      </c>
      <c r="H163">
        <v>119460</v>
      </c>
      <c r="I163">
        <f>Cleaned_Data[[#This Row],[Volume (24h) USD]]/Cleaned_Data[[#This Row],[Circulating_Supply($)]]</f>
        <v>5.7173949439142807E-3</v>
      </c>
      <c r="J163" s="2">
        <f>RANK(Cleaned_Data[[#This Row],[Market Cap]],Cleaned_Data[Market Cap],0)</f>
        <v>161</v>
      </c>
      <c r="K163" t="str">
        <f t="shared" si="2"/>
        <v>10-100</v>
      </c>
    </row>
    <row r="164" spans="1:11" x14ac:dyDescent="0.3">
      <c r="A164" t="s">
        <v>1054</v>
      </c>
      <c r="B164" t="s">
        <v>1055</v>
      </c>
      <c r="C164">
        <v>466.09</v>
      </c>
      <c r="D164">
        <v>2.9999999999999997E-4</v>
      </c>
      <c r="E164">
        <v>8843042</v>
      </c>
      <c r="F164">
        <v>583</v>
      </c>
      <c r="G164" t="s">
        <v>1059</v>
      </c>
      <c r="H164">
        <v>18970</v>
      </c>
      <c r="I164">
        <f>Cleaned_Data[[#This Row],[Volume (24h) USD]]/Cleaned_Data[[#This Row],[Circulating_Supply($)]]</f>
        <v>3.0732735898787559E-2</v>
      </c>
      <c r="J164" s="2">
        <f>RANK(Cleaned_Data[[#This Row],[Market Cap]],Cleaned_Data[Market Cap],0)</f>
        <v>162</v>
      </c>
      <c r="K164" t="str">
        <f t="shared" si="2"/>
        <v>100-10000</v>
      </c>
    </row>
    <row r="165" spans="1:11" x14ac:dyDescent="0.3">
      <c r="A165" t="s">
        <v>1060</v>
      </c>
      <c r="B165" t="s">
        <v>1061</v>
      </c>
      <c r="C165">
        <v>15.18</v>
      </c>
      <c r="D165">
        <v>2.5999999999999999E-3</v>
      </c>
      <c r="E165">
        <v>8834717</v>
      </c>
      <c r="F165">
        <v>94688</v>
      </c>
      <c r="G165" t="s">
        <v>1066</v>
      </c>
      <c r="H165">
        <v>581880</v>
      </c>
      <c r="I165">
        <f>Cleaned_Data[[#This Row],[Volume (24h) USD]]/Cleaned_Data[[#This Row],[Circulating_Supply($)]]</f>
        <v>0.16272771018079329</v>
      </c>
      <c r="J165" s="2">
        <f>RANK(Cleaned_Data[[#This Row],[Market Cap]],Cleaned_Data[Market Cap],0)</f>
        <v>163</v>
      </c>
      <c r="K165" t="str">
        <f t="shared" si="2"/>
        <v>10-100</v>
      </c>
    </row>
    <row r="166" spans="1:11" x14ac:dyDescent="0.3">
      <c r="A166" t="s">
        <v>1067</v>
      </c>
      <c r="B166" t="s">
        <v>1068</v>
      </c>
      <c r="C166">
        <v>1.1999999999999999E-3</v>
      </c>
      <c r="D166">
        <v>1.4200000000000001E-2</v>
      </c>
      <c r="E166">
        <v>8830451</v>
      </c>
      <c r="F166">
        <v>911878</v>
      </c>
      <c r="G166" t="s">
        <v>1073</v>
      </c>
      <c r="H166">
        <v>7150000000</v>
      </c>
      <c r="I166">
        <f>Cleaned_Data[[#This Row],[Volume (24h) USD]]/Cleaned_Data[[#This Row],[Circulating_Supply($)]]</f>
        <v>1.2753538461538462E-4</v>
      </c>
      <c r="J166" s="2">
        <f>RANK(Cleaned_Data[[#This Row],[Market Cap]],Cleaned_Data[Market Cap],0)</f>
        <v>164</v>
      </c>
      <c r="K166" t="str">
        <f t="shared" si="2"/>
        <v>0-0.5</v>
      </c>
    </row>
    <row r="167" spans="1:11" x14ac:dyDescent="0.3">
      <c r="A167" t="s">
        <v>1074</v>
      </c>
      <c r="B167" t="s">
        <v>1075</v>
      </c>
      <c r="C167">
        <v>9.0899999999999995E-2</v>
      </c>
      <c r="D167">
        <v>2.8E-3</v>
      </c>
      <c r="E167">
        <v>7579128</v>
      </c>
      <c r="F167">
        <v>979243</v>
      </c>
      <c r="G167" t="s">
        <v>1079</v>
      </c>
      <c r="H167">
        <v>83340000</v>
      </c>
      <c r="I167">
        <f>Cleaned_Data[[#This Row],[Volume (24h) USD]]/Cleaned_Data[[#This Row],[Circulating_Supply($)]]</f>
        <v>1.1749976001919847E-2</v>
      </c>
      <c r="J167" s="2">
        <f>RANK(Cleaned_Data[[#This Row],[Market Cap]],Cleaned_Data[Market Cap],0)</f>
        <v>166</v>
      </c>
      <c r="K167" t="str">
        <f t="shared" si="2"/>
        <v>0-0.5</v>
      </c>
    </row>
    <row r="168" spans="1:11" x14ac:dyDescent="0.3">
      <c r="A168" t="s">
        <v>1080</v>
      </c>
      <c r="B168" t="s">
        <v>1081</v>
      </c>
      <c r="C168">
        <v>2</v>
      </c>
      <c r="D168">
        <v>3.7000000000000002E-3</v>
      </c>
      <c r="E168">
        <v>7569340</v>
      </c>
      <c r="F168">
        <v>28651</v>
      </c>
      <c r="G168" t="s">
        <v>1085</v>
      </c>
      <c r="H168">
        <v>3770000</v>
      </c>
      <c r="I168">
        <f>Cleaned_Data[[#This Row],[Volume (24h) USD]]/Cleaned_Data[[#This Row],[Circulating_Supply($)]]</f>
        <v>7.5997347480106104E-3</v>
      </c>
      <c r="J168" s="2">
        <f>RANK(Cleaned_Data[[#This Row],[Market Cap]],Cleaned_Data[Market Cap],0)</f>
        <v>167</v>
      </c>
      <c r="K168" t="str">
        <f t="shared" si="2"/>
        <v>1-2</v>
      </c>
    </row>
    <row r="169" spans="1:11" x14ac:dyDescent="0.3">
      <c r="A169" t="s">
        <v>1086</v>
      </c>
      <c r="B169" t="s">
        <v>1087</v>
      </c>
      <c r="C169">
        <v>8.0000000000000004E-4</v>
      </c>
      <c r="D169">
        <v>1.3100000000000001E-2</v>
      </c>
      <c r="E169">
        <v>7564471</v>
      </c>
      <c r="F169">
        <v>2255054</v>
      </c>
      <c r="G169" t="s">
        <v>1092</v>
      </c>
      <c r="H169">
        <v>8990000000</v>
      </c>
      <c r="I169">
        <f>Cleaned_Data[[#This Row],[Volume (24h) USD]]/Cleaned_Data[[#This Row],[Circulating_Supply($)]]</f>
        <v>2.5084026696329257E-4</v>
      </c>
      <c r="J169" s="2">
        <f>RANK(Cleaned_Data[[#This Row],[Market Cap]],Cleaned_Data[Market Cap],0)</f>
        <v>168</v>
      </c>
      <c r="K169" t="str">
        <f t="shared" si="2"/>
        <v>0-0.5</v>
      </c>
    </row>
    <row r="170" spans="1:11" x14ac:dyDescent="0.3">
      <c r="A170" t="s">
        <v>1093</v>
      </c>
      <c r="B170" t="s">
        <v>1094</v>
      </c>
      <c r="C170">
        <v>8.6999999999999994E-3</v>
      </c>
      <c r="D170">
        <v>3.0000000000000001E-3</v>
      </c>
      <c r="E170">
        <v>7557592</v>
      </c>
      <c r="F170">
        <v>844410</v>
      </c>
      <c r="G170" t="s">
        <v>1098</v>
      </c>
      <c r="H170">
        <v>867600000</v>
      </c>
      <c r="I170">
        <f>Cleaned_Data[[#This Row],[Volume (24h) USD]]/Cleaned_Data[[#This Row],[Circulating_Supply($)]]</f>
        <v>9.7327109266943294E-4</v>
      </c>
      <c r="J170" s="2">
        <f>RANK(Cleaned_Data[[#This Row],[Market Cap]],Cleaned_Data[Market Cap],0)</f>
        <v>169</v>
      </c>
      <c r="K170" t="str">
        <f t="shared" si="2"/>
        <v>0-0.5</v>
      </c>
    </row>
    <row r="171" spans="1:11" x14ac:dyDescent="0.3">
      <c r="A171" t="s">
        <v>1099</v>
      </c>
      <c r="B171" t="s">
        <v>1100</v>
      </c>
      <c r="C171">
        <v>3.7699999999999997E-2</v>
      </c>
      <c r="D171">
        <v>2E-3</v>
      </c>
      <c r="E171">
        <v>7541212</v>
      </c>
      <c r="F171">
        <v>422983</v>
      </c>
      <c r="G171" t="s">
        <v>1104</v>
      </c>
      <c r="H171">
        <v>200000000</v>
      </c>
      <c r="I171">
        <f>Cleaned_Data[[#This Row],[Volume (24h) USD]]/Cleaned_Data[[#This Row],[Circulating_Supply($)]]</f>
        <v>2.1149150000000002E-3</v>
      </c>
      <c r="J171" s="2">
        <f>RANK(Cleaned_Data[[#This Row],[Market Cap]],Cleaned_Data[Market Cap],0)</f>
        <v>170</v>
      </c>
      <c r="K171" t="str">
        <f t="shared" si="2"/>
        <v>0-0.5</v>
      </c>
    </row>
    <row r="172" spans="1:11" x14ac:dyDescent="0.3">
      <c r="A172" t="s">
        <v>1105</v>
      </c>
      <c r="B172" t="s">
        <v>1106</v>
      </c>
      <c r="C172">
        <v>9.4999999999999998E-3</v>
      </c>
      <c r="D172">
        <v>1.0200000000000001E-2</v>
      </c>
      <c r="E172">
        <v>7504653</v>
      </c>
      <c r="F172">
        <v>571512</v>
      </c>
      <c r="G172" t="s">
        <v>1111</v>
      </c>
      <c r="H172">
        <v>787520000</v>
      </c>
      <c r="I172">
        <f>Cleaned_Data[[#This Row],[Volume (24h) USD]]/Cleaned_Data[[#This Row],[Circulating_Supply($)]]</f>
        <v>7.2571109305160503E-4</v>
      </c>
      <c r="J172" s="2">
        <f>RANK(Cleaned_Data[[#This Row],[Market Cap]],Cleaned_Data[Market Cap],0)</f>
        <v>171</v>
      </c>
      <c r="K172" t="str">
        <f t="shared" si="2"/>
        <v>0-0.5</v>
      </c>
    </row>
    <row r="173" spans="1:11" x14ac:dyDescent="0.3">
      <c r="A173" t="s">
        <v>1112</v>
      </c>
      <c r="B173" t="s">
        <v>1113</v>
      </c>
      <c r="C173">
        <v>6.9999999999999999E-4</v>
      </c>
      <c r="D173">
        <v>3.4599999999999999E-2</v>
      </c>
      <c r="E173">
        <v>7489577</v>
      </c>
      <c r="F173">
        <v>4568688</v>
      </c>
      <c r="G173" t="s">
        <v>1118</v>
      </c>
      <c r="H173">
        <v>10000000000</v>
      </c>
      <c r="I173">
        <f>Cleaned_Data[[#This Row],[Volume (24h) USD]]/Cleaned_Data[[#This Row],[Circulating_Supply($)]]</f>
        <v>4.5686879999999998E-4</v>
      </c>
      <c r="J173" s="2">
        <f>RANK(Cleaned_Data[[#This Row],[Market Cap]],Cleaned_Data[Market Cap],0)</f>
        <v>172</v>
      </c>
      <c r="K173" t="str">
        <f t="shared" si="2"/>
        <v>0-0.5</v>
      </c>
    </row>
    <row r="174" spans="1:11" x14ac:dyDescent="0.3">
      <c r="A174" t="s">
        <v>1119</v>
      </c>
      <c r="B174" t="s">
        <v>1120</v>
      </c>
      <c r="C174">
        <v>0.59240000000000004</v>
      </c>
      <c r="D174">
        <v>1.0699999999999999E-2</v>
      </c>
      <c r="E174">
        <v>7444614</v>
      </c>
      <c r="F174">
        <v>7233438</v>
      </c>
      <c r="G174" t="s">
        <v>1124</v>
      </c>
      <c r="H174">
        <v>12560000</v>
      </c>
      <c r="I174">
        <f>Cleaned_Data[[#This Row],[Volume (24h) USD]]/Cleaned_Data[[#This Row],[Circulating_Supply($)]]</f>
        <v>0.5759106687898089</v>
      </c>
      <c r="J174" s="2">
        <f>RANK(Cleaned_Data[[#This Row],[Market Cap]],Cleaned_Data[Market Cap],0)</f>
        <v>173</v>
      </c>
      <c r="K174" t="str">
        <f t="shared" si="2"/>
        <v>0.5-1</v>
      </c>
    </row>
    <row r="175" spans="1:11" x14ac:dyDescent="0.3">
      <c r="A175" t="s">
        <v>1125</v>
      </c>
      <c r="B175" t="s">
        <v>1126</v>
      </c>
      <c r="C175">
        <v>0.99929999999999997</v>
      </c>
      <c r="D175">
        <v>4.0000000000000002E-4</v>
      </c>
      <c r="E175">
        <v>7432008</v>
      </c>
      <c r="F175">
        <v>36344157</v>
      </c>
      <c r="G175" t="s">
        <v>1130</v>
      </c>
      <c r="H175">
        <v>7430000</v>
      </c>
      <c r="I175">
        <f>Cleaned_Data[[#This Row],[Volume (24h) USD]]/Cleaned_Data[[#This Row],[Circulating_Supply($)]]</f>
        <v>4.8915419919246297</v>
      </c>
      <c r="J175" s="2">
        <f>RANK(Cleaned_Data[[#This Row],[Market Cap]],Cleaned_Data[Market Cap],0)</f>
        <v>174</v>
      </c>
      <c r="K175" t="str">
        <f t="shared" si="2"/>
        <v>0.5-1</v>
      </c>
    </row>
    <row r="176" spans="1:11" x14ac:dyDescent="0.3">
      <c r="A176" t="s">
        <v>1131</v>
      </c>
      <c r="B176" t="s">
        <v>1132</v>
      </c>
      <c r="C176">
        <v>8.1799999999999998E-2</v>
      </c>
      <c r="D176">
        <v>2.3E-3</v>
      </c>
      <c r="E176">
        <v>7427666</v>
      </c>
      <c r="F176">
        <v>9167</v>
      </c>
      <c r="G176" t="s">
        <v>1136</v>
      </c>
      <c r="H176">
        <v>90790000</v>
      </c>
      <c r="I176">
        <f>Cleaned_Data[[#This Row],[Volume (24h) USD]]/Cleaned_Data[[#This Row],[Circulating_Supply($)]]</f>
        <v>1.0096926974336381E-4</v>
      </c>
      <c r="J176" s="2">
        <f>RANK(Cleaned_Data[[#This Row],[Market Cap]],Cleaned_Data[Market Cap],0)</f>
        <v>175</v>
      </c>
      <c r="K176" t="str">
        <f t="shared" si="2"/>
        <v>0-0.5</v>
      </c>
    </row>
    <row r="177" spans="1:11" x14ac:dyDescent="0.3">
      <c r="A177" t="s">
        <v>1137</v>
      </c>
      <c r="B177" t="s">
        <v>1138</v>
      </c>
      <c r="C177">
        <v>0.1411</v>
      </c>
      <c r="D177">
        <v>5.7999999999999996E-3</v>
      </c>
      <c r="E177">
        <v>7425666</v>
      </c>
      <c r="F177">
        <v>379457</v>
      </c>
      <c r="G177" t="s">
        <v>1143</v>
      </c>
      <c r="H177">
        <v>52600000</v>
      </c>
      <c r="I177">
        <f>Cleaned_Data[[#This Row],[Volume (24h) USD]]/Cleaned_Data[[#This Row],[Circulating_Supply($)]]</f>
        <v>7.2140114068441064E-3</v>
      </c>
      <c r="J177" s="2">
        <f>RANK(Cleaned_Data[[#This Row],[Market Cap]],Cleaned_Data[Market Cap],0)</f>
        <v>176</v>
      </c>
      <c r="K177" t="str">
        <f t="shared" si="2"/>
        <v>0-0.5</v>
      </c>
    </row>
    <row r="178" spans="1:11" x14ac:dyDescent="0.3">
      <c r="A178" t="s">
        <v>1144</v>
      </c>
      <c r="B178" t="s">
        <v>1145</v>
      </c>
      <c r="C178">
        <v>3.1E-2</v>
      </c>
      <c r="D178">
        <v>1E-3</v>
      </c>
      <c r="E178">
        <v>7397037</v>
      </c>
      <c r="F178">
        <v>114546</v>
      </c>
      <c r="G178" t="s">
        <v>1149</v>
      </c>
      <c r="H178">
        <v>238670000</v>
      </c>
      <c r="I178">
        <f>Cleaned_Data[[#This Row],[Volume (24h) USD]]/Cleaned_Data[[#This Row],[Circulating_Supply($)]]</f>
        <v>4.7993463778438851E-4</v>
      </c>
      <c r="J178" s="2">
        <f>RANK(Cleaned_Data[[#This Row],[Market Cap]],Cleaned_Data[Market Cap],0)</f>
        <v>177</v>
      </c>
      <c r="K178" t="str">
        <f t="shared" si="2"/>
        <v>0-0.5</v>
      </c>
    </row>
    <row r="179" spans="1:11" x14ac:dyDescent="0.3">
      <c r="A179" t="s">
        <v>1150</v>
      </c>
      <c r="B179" t="s">
        <v>1151</v>
      </c>
      <c r="C179">
        <v>6.9999999999999999E-4</v>
      </c>
      <c r="D179">
        <v>3.2000000000000002E-3</v>
      </c>
      <c r="E179">
        <v>7387847</v>
      </c>
      <c r="F179">
        <v>695742</v>
      </c>
      <c r="G179" t="s">
        <v>1118</v>
      </c>
      <c r="H179">
        <v>10000000000</v>
      </c>
      <c r="I179">
        <f>Cleaned_Data[[#This Row],[Volume (24h) USD]]/Cleaned_Data[[#This Row],[Circulating_Supply($)]]</f>
        <v>6.9574199999999995E-5</v>
      </c>
      <c r="J179" s="2">
        <f>RANK(Cleaned_Data[[#This Row],[Market Cap]],Cleaned_Data[Market Cap],0)</f>
        <v>178</v>
      </c>
      <c r="K179" t="str">
        <f t="shared" si="2"/>
        <v>0-0.5</v>
      </c>
    </row>
    <row r="180" spans="1:11" x14ac:dyDescent="0.3">
      <c r="A180" t="s">
        <v>1161</v>
      </c>
      <c r="B180" t="s">
        <v>1162</v>
      </c>
      <c r="C180">
        <v>4.5400000000000003E-2</v>
      </c>
      <c r="D180">
        <v>2.7199999999999998E-2</v>
      </c>
      <c r="E180">
        <v>7340882</v>
      </c>
      <c r="F180">
        <v>7007076</v>
      </c>
      <c r="G180" t="s">
        <v>1167</v>
      </c>
      <c r="H180">
        <v>161680000</v>
      </c>
      <c r="I180">
        <f>Cleaned_Data[[#This Row],[Volume (24h) USD]]/Cleaned_Data[[#This Row],[Circulating_Supply($)]]</f>
        <v>4.3339163780306778E-2</v>
      </c>
      <c r="J180" s="2">
        <f>RANK(Cleaned_Data[[#This Row],[Market Cap]],Cleaned_Data[Market Cap],0)</f>
        <v>179</v>
      </c>
      <c r="K180" t="str">
        <f t="shared" si="2"/>
        <v>0-0.5</v>
      </c>
    </row>
    <row r="181" spans="1:11" x14ac:dyDescent="0.3">
      <c r="A181" t="s">
        <v>1168</v>
      </c>
      <c r="B181" t="s">
        <v>1168</v>
      </c>
      <c r="C181">
        <v>4.5999999999999999E-3</v>
      </c>
      <c r="D181">
        <v>9.2999999999999992E-3</v>
      </c>
      <c r="E181">
        <v>5652688</v>
      </c>
      <c r="F181">
        <v>850474</v>
      </c>
      <c r="G181" t="s">
        <v>1172</v>
      </c>
      <c r="H181">
        <v>1220000000</v>
      </c>
      <c r="I181">
        <f>Cleaned_Data[[#This Row],[Volume (24h) USD]]/Cleaned_Data[[#This Row],[Circulating_Supply($)]]</f>
        <v>6.9710983606557377E-4</v>
      </c>
      <c r="J181" s="2">
        <f>RANK(Cleaned_Data[[#This Row],[Market Cap]],Cleaned_Data[Market Cap],0)</f>
        <v>180</v>
      </c>
      <c r="K181" t="str">
        <f t="shared" si="2"/>
        <v>0-0.5</v>
      </c>
    </row>
    <row r="182" spans="1:11" x14ac:dyDescent="0.3">
      <c r="A182" t="s">
        <v>1173</v>
      </c>
      <c r="B182" t="s">
        <v>1174</v>
      </c>
      <c r="C182">
        <v>0.13519999999999999</v>
      </c>
      <c r="D182">
        <v>5.0000000000000001E-4</v>
      </c>
      <c r="E182">
        <v>5635263</v>
      </c>
      <c r="F182">
        <v>8860292</v>
      </c>
      <c r="G182" t="s">
        <v>1178</v>
      </c>
      <c r="H182">
        <v>41650000</v>
      </c>
      <c r="I182">
        <f>Cleaned_Data[[#This Row],[Volume (24h) USD]]/Cleaned_Data[[#This Row],[Circulating_Supply($)]]</f>
        <v>0.21273210084033614</v>
      </c>
      <c r="J182" s="2">
        <f>RANK(Cleaned_Data[[#This Row],[Market Cap]],Cleaned_Data[Market Cap],0)</f>
        <v>181</v>
      </c>
      <c r="K182" t="str">
        <f t="shared" si="2"/>
        <v>0-0.5</v>
      </c>
    </row>
    <row r="183" spans="1:11" x14ac:dyDescent="0.3">
      <c r="A183" t="s">
        <v>1179</v>
      </c>
      <c r="B183" t="s">
        <v>1180</v>
      </c>
      <c r="C183">
        <v>1.18E-2</v>
      </c>
      <c r="D183">
        <v>6.9999999999999999E-4</v>
      </c>
      <c r="E183">
        <v>5630041</v>
      </c>
      <c r="F183">
        <v>16140</v>
      </c>
      <c r="G183" t="s">
        <v>1184</v>
      </c>
      <c r="H183">
        <v>474740000</v>
      </c>
      <c r="I183">
        <f>Cleaned_Data[[#This Row],[Volume (24h) USD]]/Cleaned_Data[[#This Row],[Circulating_Supply($)]]</f>
        <v>3.3997556557273453E-5</v>
      </c>
      <c r="J183" s="2">
        <f>RANK(Cleaned_Data[[#This Row],[Market Cap]],Cleaned_Data[Market Cap],0)</f>
        <v>182</v>
      </c>
      <c r="K183" t="str">
        <f t="shared" si="2"/>
        <v>0-0.5</v>
      </c>
    </row>
    <row r="184" spans="1:11" x14ac:dyDescent="0.3">
      <c r="A184" t="s">
        <v>1185</v>
      </c>
      <c r="B184" t="s">
        <v>1186</v>
      </c>
      <c r="C184">
        <v>23.91</v>
      </c>
      <c r="D184">
        <v>0</v>
      </c>
      <c r="E184">
        <v>5586077</v>
      </c>
      <c r="F184">
        <v>289</v>
      </c>
      <c r="G184" t="s">
        <v>1190</v>
      </c>
      <c r="H184">
        <v>233590</v>
      </c>
      <c r="I184">
        <f>Cleaned_Data[[#This Row],[Volume (24h) USD]]/Cleaned_Data[[#This Row],[Circulating_Supply($)]]</f>
        <v>1.2372104970247014E-3</v>
      </c>
      <c r="J184" s="2">
        <f>RANK(Cleaned_Data[[#This Row],[Market Cap]],Cleaned_Data[Market Cap],0)</f>
        <v>183</v>
      </c>
      <c r="K184" t="str">
        <f t="shared" si="2"/>
        <v>10-100</v>
      </c>
    </row>
    <row r="185" spans="1:11" x14ac:dyDescent="0.3">
      <c r="A185" t="s">
        <v>1191</v>
      </c>
      <c r="B185" t="s">
        <v>1192</v>
      </c>
      <c r="C185">
        <v>711.14</v>
      </c>
      <c r="D185">
        <v>8.0000000000000004E-4</v>
      </c>
      <c r="E185">
        <v>5546835</v>
      </c>
      <c r="F185">
        <v>13248698</v>
      </c>
      <c r="G185" t="s">
        <v>1196</v>
      </c>
      <c r="H185">
        <v>7790</v>
      </c>
      <c r="I185">
        <f>Cleaned_Data[[#This Row],[Volume (24h) USD]]/Cleaned_Data[[#This Row],[Circulating_Supply($)]]</f>
        <v>1700.7314505776637</v>
      </c>
      <c r="J185" s="2">
        <f>RANK(Cleaned_Data[[#This Row],[Market Cap]],Cleaned_Data[Market Cap],0)</f>
        <v>184</v>
      </c>
      <c r="K185" t="str">
        <f t="shared" si="2"/>
        <v>100-10000</v>
      </c>
    </row>
    <row r="186" spans="1:11" x14ac:dyDescent="0.3">
      <c r="A186" t="s">
        <v>1197</v>
      </c>
      <c r="B186" t="s">
        <v>1198</v>
      </c>
      <c r="C186">
        <v>1.2999999999999999E-3</v>
      </c>
      <c r="D186">
        <v>1.6999999999999999E-3</v>
      </c>
      <c r="E186">
        <v>5545415</v>
      </c>
      <c r="F186">
        <v>391213</v>
      </c>
      <c r="G186" t="s">
        <v>1202</v>
      </c>
      <c r="H186">
        <v>4400000000</v>
      </c>
      <c r="I186">
        <f>Cleaned_Data[[#This Row],[Volume (24h) USD]]/Cleaned_Data[[#This Row],[Circulating_Supply($)]]</f>
        <v>8.8912045454545461E-5</v>
      </c>
      <c r="J186" s="2">
        <f>RANK(Cleaned_Data[[#This Row],[Market Cap]],Cleaned_Data[Market Cap],0)</f>
        <v>185</v>
      </c>
      <c r="K186" t="str">
        <f t="shared" si="2"/>
        <v>0-0.5</v>
      </c>
    </row>
    <row r="187" spans="1:11" x14ac:dyDescent="0.3">
      <c r="A187" t="s">
        <v>1203</v>
      </c>
      <c r="B187" t="s">
        <v>1204</v>
      </c>
      <c r="C187">
        <v>2E-3</v>
      </c>
      <c r="D187">
        <v>8.3000000000000001E-3</v>
      </c>
      <c r="E187">
        <v>5530471</v>
      </c>
      <c r="F187">
        <v>29199</v>
      </c>
      <c r="G187" t="s">
        <v>1209</v>
      </c>
      <c r="H187">
        <v>2760000000</v>
      </c>
      <c r="I187">
        <f>Cleaned_Data[[#This Row],[Volume (24h) USD]]/Cleaned_Data[[#This Row],[Circulating_Supply($)]]</f>
        <v>1.0579347826086957E-5</v>
      </c>
      <c r="J187" s="2">
        <f>RANK(Cleaned_Data[[#This Row],[Market Cap]],Cleaned_Data[Market Cap],0)</f>
        <v>186</v>
      </c>
      <c r="K187" t="str">
        <f t="shared" si="2"/>
        <v>0-0.5</v>
      </c>
    </row>
    <row r="188" spans="1:11" x14ac:dyDescent="0.3">
      <c r="A188" t="s">
        <v>1210</v>
      </c>
      <c r="B188" t="s">
        <v>1211</v>
      </c>
      <c r="C188">
        <v>5.5800000000000002E-2</v>
      </c>
      <c r="D188">
        <v>1.1299999999999999E-2</v>
      </c>
      <c r="E188">
        <v>5504946</v>
      </c>
      <c r="F188">
        <v>256661</v>
      </c>
      <c r="G188" t="s">
        <v>1216</v>
      </c>
      <c r="H188">
        <v>948420000000</v>
      </c>
      <c r="I188">
        <f>Cleaned_Data[[#This Row],[Volume (24h) USD]]/Cleaned_Data[[#This Row],[Circulating_Supply($)]]</f>
        <v>2.7061955673646699E-7</v>
      </c>
      <c r="J188" s="2">
        <f>RANK(Cleaned_Data[[#This Row],[Market Cap]],Cleaned_Data[Market Cap],0)</f>
        <v>187</v>
      </c>
      <c r="K188" t="str">
        <f t="shared" si="2"/>
        <v>0-0.5</v>
      </c>
    </row>
    <row r="189" spans="1:11" x14ac:dyDescent="0.3">
      <c r="A189" t="s">
        <v>1217</v>
      </c>
      <c r="B189" t="s">
        <v>1218</v>
      </c>
      <c r="C189">
        <v>5.0900000000000001E-2</v>
      </c>
      <c r="D189">
        <v>1.0999999999999999E-2</v>
      </c>
      <c r="E189">
        <v>5443081</v>
      </c>
      <c r="F189">
        <v>29999</v>
      </c>
      <c r="G189" t="s">
        <v>1222</v>
      </c>
      <c r="H189">
        <v>106940000</v>
      </c>
      <c r="I189">
        <f>Cleaned_Data[[#This Row],[Volume (24h) USD]]/Cleaned_Data[[#This Row],[Circulating_Supply($)]]</f>
        <v>2.8052178791845893E-4</v>
      </c>
      <c r="J189" s="2">
        <f>RANK(Cleaned_Data[[#This Row],[Market Cap]],Cleaned_Data[Market Cap],0)</f>
        <v>188</v>
      </c>
      <c r="K189" t="str">
        <f t="shared" si="2"/>
        <v>0-0.5</v>
      </c>
    </row>
    <row r="190" spans="1:11" x14ac:dyDescent="0.3">
      <c r="A190" t="s">
        <v>1223</v>
      </c>
      <c r="B190" t="s">
        <v>1224</v>
      </c>
      <c r="C190">
        <v>5.4999999999999997E-3</v>
      </c>
      <c r="D190">
        <v>6.8999999999999999E-3</v>
      </c>
      <c r="E190">
        <v>5431176</v>
      </c>
      <c r="F190">
        <v>2355724</v>
      </c>
      <c r="G190" t="s">
        <v>1229</v>
      </c>
      <c r="H190">
        <v>990000000</v>
      </c>
      <c r="I190">
        <f>Cleaned_Data[[#This Row],[Volume (24h) USD]]/Cleaned_Data[[#This Row],[Circulating_Supply($)]]</f>
        <v>2.379519191919192E-3</v>
      </c>
      <c r="J190" s="2">
        <f>RANK(Cleaned_Data[[#This Row],[Market Cap]],Cleaned_Data[Market Cap],0)</f>
        <v>189</v>
      </c>
      <c r="K190" t="str">
        <f t="shared" si="2"/>
        <v>0-0.5</v>
      </c>
    </row>
    <row r="191" spans="1:11" x14ac:dyDescent="0.3">
      <c r="A191" t="s">
        <v>1230</v>
      </c>
      <c r="B191" t="s">
        <v>1231</v>
      </c>
      <c r="C191">
        <v>6.3E-3</v>
      </c>
      <c r="D191">
        <v>1.41E-2</v>
      </c>
      <c r="E191">
        <v>5423460</v>
      </c>
      <c r="F191">
        <v>25703</v>
      </c>
      <c r="G191" t="s">
        <v>1236</v>
      </c>
      <c r="H191">
        <v>862520000</v>
      </c>
      <c r="I191">
        <f>Cleaned_Data[[#This Row],[Volume (24h) USD]]/Cleaned_Data[[#This Row],[Circulating_Supply($)]]</f>
        <v>2.9799888698233083E-5</v>
      </c>
      <c r="J191" s="2">
        <f>RANK(Cleaned_Data[[#This Row],[Market Cap]],Cleaned_Data[Market Cap],0)</f>
        <v>190</v>
      </c>
      <c r="K191" t="str">
        <f t="shared" si="2"/>
        <v>0-0.5</v>
      </c>
    </row>
    <row r="192" spans="1:11" x14ac:dyDescent="0.3">
      <c r="A192" t="s">
        <v>1237</v>
      </c>
      <c r="B192" t="s">
        <v>1238</v>
      </c>
      <c r="C192">
        <v>1.1999999999999999E-3</v>
      </c>
      <c r="D192">
        <v>9.1300000000000006E-2</v>
      </c>
      <c r="E192">
        <v>5410167</v>
      </c>
      <c r="F192">
        <v>29</v>
      </c>
      <c r="G192" t="s">
        <v>1243</v>
      </c>
      <c r="H192">
        <v>4370000000</v>
      </c>
      <c r="I192">
        <f>Cleaned_Data[[#This Row],[Volume (24h) USD]]/Cleaned_Data[[#This Row],[Circulating_Supply($)]]</f>
        <v>6.6361556064073226E-9</v>
      </c>
      <c r="J192" s="2">
        <f>RANK(Cleaned_Data[[#This Row],[Market Cap]],Cleaned_Data[Market Cap],0)</f>
        <v>191</v>
      </c>
      <c r="K192" t="str">
        <f t="shared" si="2"/>
        <v>0-0.5</v>
      </c>
    </row>
    <row r="193" spans="1:11" x14ac:dyDescent="0.3">
      <c r="A193" t="s">
        <v>1244</v>
      </c>
      <c r="B193" t="s">
        <v>1245</v>
      </c>
      <c r="C193">
        <v>6.8999999999999999E-3</v>
      </c>
      <c r="D193">
        <v>1.1000000000000001E-3</v>
      </c>
      <c r="E193">
        <v>5410118</v>
      </c>
      <c r="F193">
        <v>98886</v>
      </c>
      <c r="G193" t="s">
        <v>1249</v>
      </c>
      <c r="H193">
        <v>787400000</v>
      </c>
      <c r="I193">
        <f>Cleaned_Data[[#This Row],[Volume (24h) USD]]/Cleaned_Data[[#This Row],[Circulating_Supply($)]]</f>
        <v>1.2558547117094235E-4</v>
      </c>
      <c r="J193" s="2">
        <f>RANK(Cleaned_Data[[#This Row],[Market Cap]],Cleaned_Data[Market Cap],0)</f>
        <v>192</v>
      </c>
      <c r="K193" t="str">
        <f t="shared" si="2"/>
        <v>0-0.5</v>
      </c>
    </row>
    <row r="194" spans="1:11" x14ac:dyDescent="0.3">
      <c r="A194" t="s">
        <v>1250</v>
      </c>
      <c r="B194" t="s">
        <v>1251</v>
      </c>
      <c r="C194">
        <v>1.6199999999999999E-2</v>
      </c>
      <c r="D194">
        <v>2.2000000000000001E-3</v>
      </c>
      <c r="E194">
        <v>5409721</v>
      </c>
      <c r="F194">
        <v>2107931</v>
      </c>
      <c r="G194" t="s">
        <v>1255</v>
      </c>
      <c r="H194">
        <v>333000000</v>
      </c>
      <c r="I194">
        <f>Cleaned_Data[[#This Row],[Volume (24h) USD]]/Cleaned_Data[[#This Row],[Circulating_Supply($)]]</f>
        <v>6.3301231231231228E-3</v>
      </c>
      <c r="J194" s="2">
        <f>RANK(Cleaned_Data[[#This Row],[Market Cap]],Cleaned_Data[Market Cap],0)</f>
        <v>193</v>
      </c>
      <c r="K194" t="str">
        <f t="shared" ref="K194:K257" si="3">IF(C194&lt;=0.5,"0-0.5",
IF(C194&lt;=1,"0.5-1",
IF(C194&lt;=2,"1-2",
IF(C194&lt;=10,"2-10",
IF(C194&lt;=100,"10-100",
IF(C194&lt;=10000,"100-10000",
"10000+"))))))</f>
        <v>0-0.5</v>
      </c>
    </row>
    <row r="195" spans="1:11" x14ac:dyDescent="0.3">
      <c r="A195" t="s">
        <v>1256</v>
      </c>
      <c r="B195" t="s">
        <v>1257</v>
      </c>
      <c r="C195">
        <v>0.65890000000000004</v>
      </c>
      <c r="D195">
        <v>8.3000000000000001E-3</v>
      </c>
      <c r="E195">
        <v>5405952</v>
      </c>
      <c r="F195">
        <v>899365</v>
      </c>
      <c r="G195" t="s">
        <v>1261</v>
      </c>
      <c r="H195">
        <v>8199999.9999999991</v>
      </c>
      <c r="I195">
        <f>Cleaned_Data[[#This Row],[Volume (24h) USD]]/Cleaned_Data[[#This Row],[Circulating_Supply($)]]</f>
        <v>0.10967865853658537</v>
      </c>
      <c r="J195" s="2">
        <f>RANK(Cleaned_Data[[#This Row],[Market Cap]],Cleaned_Data[Market Cap],0)</f>
        <v>194</v>
      </c>
      <c r="K195" t="str">
        <f t="shared" si="3"/>
        <v>0.5-1</v>
      </c>
    </row>
    <row r="196" spans="1:11" x14ac:dyDescent="0.3">
      <c r="A196" t="s">
        <v>1262</v>
      </c>
      <c r="B196" t="s">
        <v>1262</v>
      </c>
      <c r="C196">
        <v>8.7200000000000006</v>
      </c>
      <c r="D196">
        <v>9.9000000000000008E-3</v>
      </c>
      <c r="E196">
        <v>4517509</v>
      </c>
      <c r="F196">
        <v>119148</v>
      </c>
      <c r="G196" t="s">
        <v>1266</v>
      </c>
      <c r="H196">
        <v>517850</v>
      </c>
      <c r="I196">
        <f>Cleaned_Data[[#This Row],[Volume (24h) USD]]/Cleaned_Data[[#This Row],[Circulating_Supply($)]]</f>
        <v>0.23008207009751858</v>
      </c>
      <c r="J196" s="2">
        <f>RANK(Cleaned_Data[[#This Row],[Market Cap]],Cleaned_Data[Market Cap],0)</f>
        <v>195</v>
      </c>
      <c r="K196" t="str">
        <f t="shared" si="3"/>
        <v>2-10</v>
      </c>
    </row>
    <row r="197" spans="1:11" x14ac:dyDescent="0.3">
      <c r="A197" t="s">
        <v>1267</v>
      </c>
      <c r="B197" t="s">
        <v>1268</v>
      </c>
      <c r="C197">
        <v>4.24E-2</v>
      </c>
      <c r="D197">
        <v>1.2800000000000001E-2</v>
      </c>
      <c r="E197">
        <v>4507337</v>
      </c>
      <c r="F197">
        <v>246160</v>
      </c>
      <c r="G197" t="s">
        <v>1273</v>
      </c>
      <c r="H197">
        <v>106290000</v>
      </c>
      <c r="I197">
        <f>Cleaned_Data[[#This Row],[Volume (24h) USD]]/Cleaned_Data[[#This Row],[Circulating_Supply($)]]</f>
        <v>2.3159281211779094E-3</v>
      </c>
      <c r="J197" s="2">
        <f>RANK(Cleaned_Data[[#This Row],[Market Cap]],Cleaned_Data[Market Cap],0)</f>
        <v>196</v>
      </c>
      <c r="K197" t="str">
        <f t="shared" si="3"/>
        <v>0-0.5</v>
      </c>
    </row>
    <row r="198" spans="1:11" x14ac:dyDescent="0.3">
      <c r="A198" t="s">
        <v>1274</v>
      </c>
      <c r="B198" t="s">
        <v>1275</v>
      </c>
      <c r="C198">
        <v>2.29E-2</v>
      </c>
      <c r="D198">
        <v>1.8E-3</v>
      </c>
      <c r="E198">
        <v>4485067</v>
      </c>
      <c r="F198">
        <v>19264</v>
      </c>
      <c r="G198" t="s">
        <v>1280</v>
      </c>
      <c r="H198">
        <v>195420000</v>
      </c>
      <c r="I198">
        <f>Cleaned_Data[[#This Row],[Volume (24h) USD]]/Cleaned_Data[[#This Row],[Circulating_Supply($)]]</f>
        <v>9.8577422986388294E-5</v>
      </c>
      <c r="J198" s="2">
        <f>RANK(Cleaned_Data[[#This Row],[Market Cap]],Cleaned_Data[Market Cap],0)</f>
        <v>197</v>
      </c>
      <c r="K198" t="str">
        <f t="shared" si="3"/>
        <v>0-0.5</v>
      </c>
    </row>
    <row r="199" spans="1:11" x14ac:dyDescent="0.3">
      <c r="A199" t="s">
        <v>1281</v>
      </c>
      <c r="B199" t="s">
        <v>1282</v>
      </c>
      <c r="C199">
        <v>3.5999999999999999E-3</v>
      </c>
      <c r="D199">
        <v>1E-3</v>
      </c>
      <c r="E199">
        <v>4456203</v>
      </c>
      <c r="F199">
        <v>2756625</v>
      </c>
      <c r="G199" t="s">
        <v>1286</v>
      </c>
      <c r="H199">
        <v>1250000000</v>
      </c>
      <c r="I199">
        <f>Cleaned_Data[[#This Row],[Volume (24h) USD]]/Cleaned_Data[[#This Row],[Circulating_Supply($)]]</f>
        <v>2.2052999999999999E-3</v>
      </c>
      <c r="J199" s="2">
        <f>RANK(Cleaned_Data[[#This Row],[Market Cap]],Cleaned_Data[Market Cap],0)</f>
        <v>198</v>
      </c>
      <c r="K199" t="str">
        <f t="shared" si="3"/>
        <v>0-0.5</v>
      </c>
    </row>
    <row r="200" spans="1:11" x14ac:dyDescent="0.3">
      <c r="A200" t="s">
        <v>1292</v>
      </c>
      <c r="B200" t="s">
        <v>1293</v>
      </c>
      <c r="C200">
        <v>5.3E-3</v>
      </c>
      <c r="D200">
        <v>4.3999999999999997E-2</v>
      </c>
      <c r="E200">
        <v>4428499</v>
      </c>
      <c r="F200">
        <v>42077232</v>
      </c>
      <c r="G200" t="s">
        <v>1298</v>
      </c>
      <c r="H200">
        <v>838390000</v>
      </c>
      <c r="I200">
        <f>Cleaned_Data[[#This Row],[Volume (24h) USD]]/Cleaned_Data[[#This Row],[Circulating_Supply($)]]</f>
        <v>5.0188136785982655E-2</v>
      </c>
      <c r="J200" s="2">
        <f>RANK(Cleaned_Data[[#This Row],[Market Cap]],Cleaned_Data[Market Cap],0)</f>
        <v>199</v>
      </c>
      <c r="K200" t="str">
        <f t="shared" si="3"/>
        <v>0-0.5</v>
      </c>
    </row>
    <row r="201" spans="1:11" x14ac:dyDescent="0.3">
      <c r="A201" t="s">
        <v>1299</v>
      </c>
      <c r="B201" t="s">
        <v>1300</v>
      </c>
      <c r="C201">
        <v>4.4000000000000003E-3</v>
      </c>
      <c r="D201">
        <v>3.5000000000000001E-3</v>
      </c>
      <c r="E201">
        <v>4427974</v>
      </c>
      <c r="F201">
        <v>49035</v>
      </c>
      <c r="G201" t="s">
        <v>691</v>
      </c>
      <c r="H201">
        <v>1000000000</v>
      </c>
      <c r="I201">
        <f>Cleaned_Data[[#This Row],[Volume (24h) USD]]/Cleaned_Data[[#This Row],[Circulating_Supply($)]]</f>
        <v>4.9035000000000001E-5</v>
      </c>
      <c r="J201" s="2">
        <f>RANK(Cleaned_Data[[#This Row],[Market Cap]],Cleaned_Data[Market Cap],0)</f>
        <v>200</v>
      </c>
      <c r="K201" t="str">
        <f t="shared" si="3"/>
        <v>0-0.5</v>
      </c>
    </row>
    <row r="202" spans="1:11" x14ac:dyDescent="0.3">
      <c r="A202" t="s">
        <v>1304</v>
      </c>
      <c r="B202" t="s">
        <v>1305</v>
      </c>
      <c r="C202">
        <v>4.7000000000000002E-3</v>
      </c>
      <c r="D202">
        <v>2.0999999999999999E-3</v>
      </c>
      <c r="E202">
        <v>4412157</v>
      </c>
      <c r="F202">
        <v>93718</v>
      </c>
      <c r="G202" t="s">
        <v>1310</v>
      </c>
      <c r="H202">
        <v>935810000</v>
      </c>
      <c r="I202">
        <f>Cleaned_Data[[#This Row],[Volume (24h) USD]]/Cleaned_Data[[#This Row],[Circulating_Supply($)]]</f>
        <v>1.0014639723875572E-4</v>
      </c>
      <c r="J202" s="2">
        <f>RANK(Cleaned_Data[[#This Row],[Market Cap]],Cleaned_Data[Market Cap],0)</f>
        <v>201</v>
      </c>
      <c r="K202" t="str">
        <f t="shared" si="3"/>
        <v>0-0.5</v>
      </c>
    </row>
    <row r="203" spans="1:11" x14ac:dyDescent="0.3">
      <c r="A203" t="s">
        <v>1311</v>
      </c>
      <c r="B203" t="s">
        <v>1312</v>
      </c>
      <c r="C203">
        <v>238.39</v>
      </c>
      <c r="D203">
        <v>8.0000000000000004E-4</v>
      </c>
      <c r="E203">
        <v>4400832</v>
      </c>
      <c r="F203">
        <v>12983143</v>
      </c>
      <c r="G203" t="s">
        <v>1316</v>
      </c>
      <c r="H203">
        <v>18460</v>
      </c>
      <c r="I203">
        <f>Cleaned_Data[[#This Row],[Volume (24h) USD]]/Cleaned_Data[[#This Row],[Circulating_Supply($)]]</f>
        <v>703.31218851570964</v>
      </c>
      <c r="J203" s="2">
        <f>RANK(Cleaned_Data[[#This Row],[Market Cap]],Cleaned_Data[Market Cap],0)</f>
        <v>202</v>
      </c>
      <c r="K203" t="str">
        <f t="shared" si="3"/>
        <v>100-10000</v>
      </c>
    </row>
    <row r="204" spans="1:11" x14ac:dyDescent="0.3">
      <c r="A204" t="s">
        <v>1317</v>
      </c>
      <c r="B204" t="s">
        <v>1318</v>
      </c>
      <c r="C204">
        <v>7.9000000000000008E-3</v>
      </c>
      <c r="D204">
        <v>1.7500000000000002E-2</v>
      </c>
      <c r="E204">
        <v>4398592</v>
      </c>
      <c r="F204">
        <v>112364</v>
      </c>
      <c r="G204" t="s">
        <v>1323</v>
      </c>
      <c r="H204">
        <v>553360000</v>
      </c>
      <c r="I204">
        <f>Cleaned_Data[[#This Row],[Volume (24h) USD]]/Cleaned_Data[[#This Row],[Circulating_Supply($)]]</f>
        <v>2.0305768396703774E-4</v>
      </c>
      <c r="J204" s="2">
        <f>RANK(Cleaned_Data[[#This Row],[Market Cap]],Cleaned_Data[Market Cap],0)</f>
        <v>203</v>
      </c>
      <c r="K204" t="str">
        <f t="shared" si="3"/>
        <v>0-0.5</v>
      </c>
    </row>
    <row r="205" spans="1:11" x14ac:dyDescent="0.3">
      <c r="A205" t="s">
        <v>1324</v>
      </c>
      <c r="B205" t="s">
        <v>1325</v>
      </c>
      <c r="C205">
        <v>0.1004</v>
      </c>
      <c r="D205">
        <v>5.4000000000000003E-3</v>
      </c>
      <c r="E205">
        <v>4393014</v>
      </c>
      <c r="F205">
        <v>2392168</v>
      </c>
      <c r="G205" t="s">
        <v>1329</v>
      </c>
      <c r="H205">
        <v>43740000</v>
      </c>
      <c r="I205">
        <f>Cleaned_Data[[#This Row],[Volume (24h) USD]]/Cleaned_Data[[#This Row],[Circulating_Supply($)]]</f>
        <v>5.4690626428898034E-2</v>
      </c>
      <c r="J205" s="2">
        <f>RANK(Cleaned_Data[[#This Row],[Market Cap]],Cleaned_Data[Market Cap],0)</f>
        <v>204</v>
      </c>
      <c r="K205" t="str">
        <f t="shared" si="3"/>
        <v>0-0.5</v>
      </c>
    </row>
    <row r="206" spans="1:11" x14ac:dyDescent="0.3">
      <c r="A206" t="s">
        <v>1330</v>
      </c>
      <c r="B206" t="s">
        <v>1331</v>
      </c>
      <c r="C206">
        <v>1.9900000000000001E-2</v>
      </c>
      <c r="D206">
        <v>2.8999999999999998E-3</v>
      </c>
      <c r="E206">
        <v>4362661</v>
      </c>
      <c r="F206">
        <v>5991</v>
      </c>
      <c r="G206" t="s">
        <v>1335</v>
      </c>
      <c r="H206">
        <v>218880000</v>
      </c>
      <c r="I206">
        <f>Cleaned_Data[[#This Row],[Volume (24h) USD]]/Cleaned_Data[[#This Row],[Circulating_Supply($)]]</f>
        <v>2.7371162280701754E-5</v>
      </c>
      <c r="J206" s="2">
        <f>RANK(Cleaned_Data[[#This Row],[Market Cap]],Cleaned_Data[Market Cap],0)</f>
        <v>205</v>
      </c>
      <c r="K206" t="str">
        <f t="shared" si="3"/>
        <v>0-0.5</v>
      </c>
    </row>
    <row r="207" spans="1:11" x14ac:dyDescent="0.3">
      <c r="A207" t="s">
        <v>1336</v>
      </c>
      <c r="B207" t="s">
        <v>1337</v>
      </c>
      <c r="C207">
        <v>0.30969999999999998</v>
      </c>
      <c r="D207">
        <v>7.0699999999999999E-2</v>
      </c>
      <c r="E207">
        <v>4362214</v>
      </c>
      <c r="F207">
        <v>452423</v>
      </c>
      <c r="G207" t="s">
        <v>1342</v>
      </c>
      <c r="H207">
        <v>14080000</v>
      </c>
      <c r="I207">
        <f>Cleaned_Data[[#This Row],[Volume (24h) USD]]/Cleaned_Data[[#This Row],[Circulating_Supply($)]]</f>
        <v>3.2132315340909094E-2</v>
      </c>
      <c r="J207" s="2">
        <f>RANK(Cleaned_Data[[#This Row],[Market Cap]],Cleaned_Data[Market Cap],0)</f>
        <v>206</v>
      </c>
      <c r="K207" t="str">
        <f t="shared" si="3"/>
        <v>0-0.5</v>
      </c>
    </row>
    <row r="208" spans="1:11" x14ac:dyDescent="0.3">
      <c r="A208" t="s">
        <v>1347</v>
      </c>
      <c r="B208" t="s">
        <v>1348</v>
      </c>
      <c r="C208">
        <v>5.9999999999999995E-4</v>
      </c>
      <c r="D208">
        <v>5.7999999999999996E-3</v>
      </c>
      <c r="E208">
        <v>4349368</v>
      </c>
      <c r="F208">
        <v>552044</v>
      </c>
      <c r="G208" t="s">
        <v>1352</v>
      </c>
      <c r="H208">
        <v>7000000000</v>
      </c>
      <c r="I208">
        <f>Cleaned_Data[[#This Row],[Volume (24h) USD]]/Cleaned_Data[[#This Row],[Circulating_Supply($)]]</f>
        <v>7.886342857142857E-5</v>
      </c>
      <c r="J208" s="2">
        <f>RANK(Cleaned_Data[[#This Row],[Market Cap]],Cleaned_Data[Market Cap],0)</f>
        <v>207</v>
      </c>
      <c r="K208" t="str">
        <f t="shared" si="3"/>
        <v>0-0.5</v>
      </c>
    </row>
    <row r="209" spans="1:11" x14ac:dyDescent="0.3">
      <c r="A209" t="s">
        <v>1353</v>
      </c>
      <c r="B209" t="s">
        <v>1354</v>
      </c>
      <c r="C209">
        <v>1.1000000000000001E-3</v>
      </c>
      <c r="D209">
        <v>1.2200000000000001E-2</v>
      </c>
      <c r="E209">
        <v>3577810</v>
      </c>
      <c r="F209">
        <v>10397</v>
      </c>
      <c r="G209" t="s">
        <v>1359</v>
      </c>
      <c r="H209">
        <v>3320000000</v>
      </c>
      <c r="I209">
        <f>Cleaned_Data[[#This Row],[Volume (24h) USD]]/Cleaned_Data[[#This Row],[Circulating_Supply($)]]</f>
        <v>3.1316265060240964E-6</v>
      </c>
      <c r="J209" s="2">
        <f>RANK(Cleaned_Data[[#This Row],[Market Cap]],Cleaned_Data[Market Cap],0)</f>
        <v>208</v>
      </c>
      <c r="K209" t="str">
        <f t="shared" si="3"/>
        <v>0-0.5</v>
      </c>
    </row>
    <row r="210" spans="1:11" x14ac:dyDescent="0.3">
      <c r="A210" t="s">
        <v>1360</v>
      </c>
      <c r="B210" t="s">
        <v>1361</v>
      </c>
      <c r="C210">
        <v>8.8999999999999999E-3</v>
      </c>
      <c r="D210">
        <v>1.47E-2</v>
      </c>
      <c r="E210">
        <v>3569993</v>
      </c>
      <c r="F210">
        <v>1172009</v>
      </c>
      <c r="G210" t="s">
        <v>1366</v>
      </c>
      <c r="H210">
        <v>402770000</v>
      </c>
      <c r="I210">
        <f>Cleaned_Data[[#This Row],[Volume (24h) USD]]/Cleaned_Data[[#This Row],[Circulating_Supply($)]]</f>
        <v>2.909871638900613E-3</v>
      </c>
      <c r="J210" s="2">
        <f>RANK(Cleaned_Data[[#This Row],[Market Cap]],Cleaned_Data[Market Cap],0)</f>
        <v>209</v>
      </c>
      <c r="K210" t="str">
        <f t="shared" si="3"/>
        <v>0-0.5</v>
      </c>
    </row>
    <row r="211" spans="1:11" x14ac:dyDescent="0.3">
      <c r="A211" t="s">
        <v>1367</v>
      </c>
      <c r="B211" t="s">
        <v>1368</v>
      </c>
      <c r="C211">
        <v>1.29E-2</v>
      </c>
      <c r="D211">
        <v>9.2999999999999992E-3</v>
      </c>
      <c r="E211">
        <v>3555113</v>
      </c>
      <c r="F211">
        <v>1517491</v>
      </c>
      <c r="G211" t="s">
        <v>1372</v>
      </c>
      <c r="H211">
        <v>275000000</v>
      </c>
      <c r="I211">
        <f>Cleaned_Data[[#This Row],[Volume (24h) USD]]/Cleaned_Data[[#This Row],[Circulating_Supply($)]]</f>
        <v>5.518149090909091E-3</v>
      </c>
      <c r="J211" s="2">
        <f>RANK(Cleaned_Data[[#This Row],[Market Cap]],Cleaned_Data[Market Cap],0)</f>
        <v>210</v>
      </c>
      <c r="K211" t="str">
        <f t="shared" si="3"/>
        <v>0-0.5</v>
      </c>
    </row>
    <row r="212" spans="1:11" x14ac:dyDescent="0.3">
      <c r="A212" t="s">
        <v>1373</v>
      </c>
      <c r="B212" t="s">
        <v>1374</v>
      </c>
      <c r="C212">
        <v>0.12640000000000001</v>
      </c>
      <c r="D212">
        <v>5.9999999999999995E-4</v>
      </c>
      <c r="E212">
        <v>3541772</v>
      </c>
      <c r="F212">
        <v>4546</v>
      </c>
      <c r="G212" t="s">
        <v>1378</v>
      </c>
      <c r="H212">
        <v>28000000</v>
      </c>
      <c r="I212">
        <f>Cleaned_Data[[#This Row],[Volume (24h) USD]]/Cleaned_Data[[#This Row],[Circulating_Supply($)]]</f>
        <v>1.6235714285714285E-4</v>
      </c>
      <c r="J212" s="2">
        <f>RANK(Cleaned_Data[[#This Row],[Market Cap]],Cleaned_Data[Market Cap],0)</f>
        <v>211</v>
      </c>
      <c r="K212" t="str">
        <f t="shared" si="3"/>
        <v>0-0.5</v>
      </c>
    </row>
    <row r="213" spans="1:11" x14ac:dyDescent="0.3">
      <c r="A213" t="s">
        <v>1379</v>
      </c>
      <c r="B213" t="s">
        <v>1380</v>
      </c>
      <c r="C213">
        <v>75.87</v>
      </c>
      <c r="D213">
        <v>6.4899999999999999E-2</v>
      </c>
      <c r="E213">
        <v>3538764</v>
      </c>
      <c r="F213">
        <v>31867</v>
      </c>
      <c r="G213" t="s">
        <v>1385</v>
      </c>
      <c r="H213">
        <v>46640</v>
      </c>
      <c r="I213">
        <f>Cleaned_Data[[#This Row],[Volume (24h) USD]]/Cleaned_Data[[#This Row],[Circulating_Supply($)]]</f>
        <v>0.68325471698113205</v>
      </c>
      <c r="J213" s="2">
        <f>RANK(Cleaned_Data[[#This Row],[Market Cap]],Cleaned_Data[Market Cap],0)</f>
        <v>212</v>
      </c>
      <c r="K213" t="str">
        <f t="shared" si="3"/>
        <v>10-100</v>
      </c>
    </row>
    <row r="214" spans="1:11" x14ac:dyDescent="0.3">
      <c r="A214" t="s">
        <v>1386</v>
      </c>
      <c r="B214" t="s">
        <v>1387</v>
      </c>
      <c r="C214">
        <v>0.16819999999999999</v>
      </c>
      <c r="D214">
        <v>3.8E-3</v>
      </c>
      <c r="E214">
        <v>3533740</v>
      </c>
      <c r="F214">
        <v>290321</v>
      </c>
      <c r="G214" t="s">
        <v>1391</v>
      </c>
      <c r="H214">
        <v>21000000</v>
      </c>
      <c r="I214">
        <f>Cleaned_Data[[#This Row],[Volume (24h) USD]]/Cleaned_Data[[#This Row],[Circulating_Supply($)]]</f>
        <v>1.3824809523809524E-2</v>
      </c>
      <c r="J214" s="2">
        <f>RANK(Cleaned_Data[[#This Row],[Market Cap]],Cleaned_Data[Market Cap],0)</f>
        <v>213</v>
      </c>
      <c r="K214" t="str">
        <f t="shared" si="3"/>
        <v>0-0.5</v>
      </c>
    </row>
    <row r="215" spans="1:11" x14ac:dyDescent="0.3">
      <c r="A215" t="s">
        <v>1392</v>
      </c>
      <c r="B215" t="s">
        <v>1393</v>
      </c>
      <c r="C215">
        <v>1E-4</v>
      </c>
      <c r="D215">
        <v>9.4000000000000004E-3</v>
      </c>
      <c r="E215">
        <v>3530698</v>
      </c>
      <c r="F215">
        <v>787177</v>
      </c>
      <c r="G215" t="s">
        <v>1398</v>
      </c>
      <c r="H215">
        <v>55300000000</v>
      </c>
      <c r="I215">
        <f>Cleaned_Data[[#This Row],[Volume (24h) USD]]/Cleaned_Data[[#This Row],[Circulating_Supply($)]]</f>
        <v>1.4234665461121157E-5</v>
      </c>
      <c r="J215" s="2">
        <f>RANK(Cleaned_Data[[#This Row],[Market Cap]],Cleaned_Data[Market Cap],0)</f>
        <v>214</v>
      </c>
      <c r="K215" t="str">
        <f t="shared" si="3"/>
        <v>0-0.5</v>
      </c>
    </row>
    <row r="216" spans="1:11" x14ac:dyDescent="0.3">
      <c r="A216" t="s">
        <v>1399</v>
      </c>
      <c r="B216" t="s">
        <v>1400</v>
      </c>
      <c r="C216">
        <v>2.3400000000000001E-2</v>
      </c>
      <c r="D216">
        <v>6.5299999999999997E-2</v>
      </c>
      <c r="E216">
        <v>3524608</v>
      </c>
      <c r="F216">
        <v>88484</v>
      </c>
      <c r="G216" t="s">
        <v>1405</v>
      </c>
      <c r="H216">
        <v>150750000</v>
      </c>
      <c r="I216">
        <f>Cleaned_Data[[#This Row],[Volume (24h) USD]]/Cleaned_Data[[#This Row],[Circulating_Supply($)]]</f>
        <v>5.8695854063018239E-4</v>
      </c>
      <c r="J216" s="2">
        <f>RANK(Cleaned_Data[[#This Row],[Market Cap]],Cleaned_Data[Market Cap],0)</f>
        <v>215</v>
      </c>
      <c r="K216" t="str">
        <f t="shared" si="3"/>
        <v>0-0.5</v>
      </c>
    </row>
    <row r="217" spans="1:11" x14ac:dyDescent="0.3">
      <c r="A217" t="s">
        <v>1406</v>
      </c>
      <c r="B217" t="s">
        <v>1407</v>
      </c>
      <c r="C217">
        <v>713.96</v>
      </c>
      <c r="D217">
        <v>5.9999999999999995E-4</v>
      </c>
      <c r="E217">
        <v>3524195</v>
      </c>
      <c r="F217">
        <v>2006099</v>
      </c>
      <c r="G217" t="s">
        <v>1411</v>
      </c>
      <c r="H217">
        <v>4930</v>
      </c>
      <c r="I217">
        <f>Cleaned_Data[[#This Row],[Volume (24h) USD]]/Cleaned_Data[[#This Row],[Circulating_Supply($)]]</f>
        <v>406.91663286004058</v>
      </c>
      <c r="J217" s="2">
        <f>RANK(Cleaned_Data[[#This Row],[Market Cap]],Cleaned_Data[Market Cap],0)</f>
        <v>216</v>
      </c>
      <c r="K217" t="str">
        <f t="shared" si="3"/>
        <v>100-10000</v>
      </c>
    </row>
    <row r="218" spans="1:11" x14ac:dyDescent="0.3">
      <c r="A218" t="s">
        <v>1412</v>
      </c>
      <c r="B218" t="s">
        <v>1413</v>
      </c>
      <c r="C218">
        <v>3.5000000000000001E-3</v>
      </c>
      <c r="D218">
        <v>1.9599999999999999E-2</v>
      </c>
      <c r="E218">
        <v>3522600</v>
      </c>
      <c r="F218">
        <v>144974</v>
      </c>
      <c r="G218" t="s">
        <v>691</v>
      </c>
      <c r="H218">
        <v>1000000000</v>
      </c>
      <c r="I218">
        <f>Cleaned_Data[[#This Row],[Volume (24h) USD]]/Cleaned_Data[[#This Row],[Circulating_Supply($)]]</f>
        <v>1.44974E-4</v>
      </c>
      <c r="J218" s="2">
        <f>RANK(Cleaned_Data[[#This Row],[Market Cap]],Cleaned_Data[Market Cap],0)</f>
        <v>217</v>
      </c>
      <c r="K218" t="str">
        <f t="shared" si="3"/>
        <v>0-0.5</v>
      </c>
    </row>
    <row r="219" spans="1:11" x14ac:dyDescent="0.3">
      <c r="A219" t="s">
        <v>1418</v>
      </c>
      <c r="B219" t="s">
        <v>1419</v>
      </c>
      <c r="C219">
        <v>537.87</v>
      </c>
      <c r="D219">
        <v>6.9999999999999999E-4</v>
      </c>
      <c r="E219">
        <v>3510862</v>
      </c>
      <c r="F219">
        <v>4316869</v>
      </c>
      <c r="G219" t="s">
        <v>1423</v>
      </c>
      <c r="H219">
        <v>6520</v>
      </c>
      <c r="I219">
        <f>Cleaned_Data[[#This Row],[Volume (24h) USD]]/Cleaned_Data[[#This Row],[Circulating_Supply($)]]</f>
        <v>662.09647239263802</v>
      </c>
      <c r="J219" s="2">
        <f>RANK(Cleaned_Data[[#This Row],[Market Cap]],Cleaned_Data[Market Cap],0)</f>
        <v>218</v>
      </c>
      <c r="K219" t="str">
        <f t="shared" si="3"/>
        <v>100-10000</v>
      </c>
    </row>
    <row r="220" spans="1:11" x14ac:dyDescent="0.3">
      <c r="A220" t="s">
        <v>1424</v>
      </c>
      <c r="B220" t="s">
        <v>1425</v>
      </c>
      <c r="C220">
        <v>4.4999999999999997E-3</v>
      </c>
      <c r="D220">
        <v>6.3E-3</v>
      </c>
      <c r="E220">
        <v>3501198</v>
      </c>
      <c r="F220">
        <v>359599</v>
      </c>
      <c r="G220" t="s">
        <v>1429</v>
      </c>
      <c r="H220">
        <v>770070000</v>
      </c>
      <c r="I220">
        <f>Cleaned_Data[[#This Row],[Volume (24h) USD]]/Cleaned_Data[[#This Row],[Circulating_Supply($)]]</f>
        <v>4.6696923656290985E-4</v>
      </c>
      <c r="J220" s="2">
        <f>RANK(Cleaned_Data[[#This Row],[Market Cap]],Cleaned_Data[Market Cap],0)</f>
        <v>219</v>
      </c>
      <c r="K220" t="str">
        <f t="shared" si="3"/>
        <v>0-0.5</v>
      </c>
    </row>
    <row r="221" spans="1:11" x14ac:dyDescent="0.3">
      <c r="A221" t="s">
        <v>1430</v>
      </c>
      <c r="B221" t="s">
        <v>1430</v>
      </c>
      <c r="C221">
        <v>1.5E-3</v>
      </c>
      <c r="D221">
        <v>1.9E-3</v>
      </c>
      <c r="E221">
        <v>3498195</v>
      </c>
      <c r="F221">
        <v>164839</v>
      </c>
      <c r="G221" t="s">
        <v>1434</v>
      </c>
      <c r="H221">
        <v>2280000000</v>
      </c>
      <c r="I221">
        <f>Cleaned_Data[[#This Row],[Volume (24h) USD]]/Cleaned_Data[[#This Row],[Circulating_Supply($)]]</f>
        <v>7.2297807017543858E-5</v>
      </c>
      <c r="J221" s="2">
        <f>RANK(Cleaned_Data[[#This Row],[Market Cap]],Cleaned_Data[Market Cap],0)</f>
        <v>220</v>
      </c>
      <c r="K221" t="str">
        <f t="shared" si="3"/>
        <v>0-0.5</v>
      </c>
    </row>
    <row r="222" spans="1:11" x14ac:dyDescent="0.3">
      <c r="A222" t="s">
        <v>1435</v>
      </c>
      <c r="B222" t="s">
        <v>1436</v>
      </c>
      <c r="C222">
        <v>6.7999999999999996E-3</v>
      </c>
      <c r="D222">
        <v>3.2500000000000001E-2</v>
      </c>
      <c r="E222">
        <v>3496330</v>
      </c>
      <c r="F222">
        <v>140380</v>
      </c>
      <c r="G222" t="s">
        <v>1441</v>
      </c>
      <c r="H222">
        <v>512730000</v>
      </c>
      <c r="I222">
        <f>Cleaned_Data[[#This Row],[Volume (24h) USD]]/Cleaned_Data[[#This Row],[Circulating_Supply($)]]</f>
        <v>2.7378932381565347E-4</v>
      </c>
      <c r="J222" s="2">
        <f>RANK(Cleaned_Data[[#This Row],[Market Cap]],Cleaned_Data[Market Cap],0)</f>
        <v>221</v>
      </c>
      <c r="K222" t="str">
        <f t="shared" si="3"/>
        <v>0-0.5</v>
      </c>
    </row>
    <row r="223" spans="1:11" x14ac:dyDescent="0.3">
      <c r="A223" t="s">
        <v>1442</v>
      </c>
      <c r="B223" t="s">
        <v>1443</v>
      </c>
      <c r="C223">
        <v>7.0400000000000004E-2</v>
      </c>
      <c r="D223">
        <v>1.21E-2</v>
      </c>
      <c r="E223">
        <v>3464345</v>
      </c>
      <c r="F223">
        <v>100409</v>
      </c>
      <c r="G223" t="s">
        <v>1447</v>
      </c>
      <c r="H223">
        <v>49210000</v>
      </c>
      <c r="I223">
        <f>Cleaned_Data[[#This Row],[Volume (24h) USD]]/Cleaned_Data[[#This Row],[Circulating_Supply($)]]</f>
        <v>2.0404186141028246E-3</v>
      </c>
      <c r="J223" s="2">
        <f>RANK(Cleaned_Data[[#This Row],[Market Cap]],Cleaned_Data[Market Cap],0)</f>
        <v>222</v>
      </c>
      <c r="K223" t="str">
        <f t="shared" si="3"/>
        <v>0-0.5</v>
      </c>
    </row>
    <row r="224" spans="1:11" x14ac:dyDescent="0.3">
      <c r="A224" t="s">
        <v>1448</v>
      </c>
      <c r="B224" t="s">
        <v>1449</v>
      </c>
      <c r="C224">
        <v>8.9999999999999998E-4</v>
      </c>
      <c r="D224">
        <v>1.8E-3</v>
      </c>
      <c r="E224">
        <v>2953641</v>
      </c>
      <c r="F224">
        <v>77616</v>
      </c>
      <c r="G224" t="s">
        <v>1453</v>
      </c>
      <c r="H224">
        <v>3360000000</v>
      </c>
      <c r="I224">
        <f>Cleaned_Data[[#This Row],[Volume (24h) USD]]/Cleaned_Data[[#This Row],[Circulating_Supply($)]]</f>
        <v>2.3099999999999999E-5</v>
      </c>
      <c r="J224" s="2">
        <f>RANK(Cleaned_Data[[#This Row],[Market Cap]],Cleaned_Data[Market Cap],0)</f>
        <v>223</v>
      </c>
      <c r="K224" t="str">
        <f t="shared" si="3"/>
        <v>0-0.5</v>
      </c>
    </row>
    <row r="225" spans="1:11" x14ac:dyDescent="0.3">
      <c r="A225" t="s">
        <v>1454</v>
      </c>
      <c r="B225" t="s">
        <v>1455</v>
      </c>
      <c r="C225">
        <v>7.4999999999999997E-3</v>
      </c>
      <c r="D225">
        <v>6.9999999999999999E-4</v>
      </c>
      <c r="E225">
        <v>2950560</v>
      </c>
      <c r="F225">
        <v>41630</v>
      </c>
      <c r="G225" t="s">
        <v>1459</v>
      </c>
      <c r="H225">
        <v>395260000</v>
      </c>
      <c r="I225">
        <f>Cleaned_Data[[#This Row],[Volume (24h) USD]]/Cleaned_Data[[#This Row],[Circulating_Supply($)]]</f>
        <v>1.0532307847998786E-4</v>
      </c>
      <c r="J225" s="2">
        <f>RANK(Cleaned_Data[[#This Row],[Market Cap]],Cleaned_Data[Market Cap],0)</f>
        <v>224</v>
      </c>
      <c r="K225" t="str">
        <f t="shared" si="3"/>
        <v>0-0.5</v>
      </c>
    </row>
    <row r="226" spans="1:11" x14ac:dyDescent="0.3">
      <c r="A226" t="s">
        <v>1460</v>
      </c>
      <c r="B226" t="s">
        <v>1461</v>
      </c>
      <c r="C226">
        <v>8.7499999999999994E-2</v>
      </c>
      <c r="D226">
        <v>8.3000000000000001E-3</v>
      </c>
      <c r="E226">
        <v>2927713</v>
      </c>
      <c r="F226">
        <v>310334</v>
      </c>
      <c r="G226" t="s">
        <v>1465</v>
      </c>
      <c r="H226">
        <v>33450000.000000004</v>
      </c>
      <c r="I226">
        <f>Cleaned_Data[[#This Row],[Volume (24h) USD]]/Cleaned_Data[[#This Row],[Circulating_Supply($)]]</f>
        <v>9.2775485799701032E-3</v>
      </c>
      <c r="J226" s="2">
        <f>RANK(Cleaned_Data[[#This Row],[Market Cap]],Cleaned_Data[Market Cap],0)</f>
        <v>225</v>
      </c>
      <c r="K226" t="str">
        <f t="shared" si="3"/>
        <v>0-0.5</v>
      </c>
    </row>
    <row r="227" spans="1:11" x14ac:dyDescent="0.3">
      <c r="A227" t="s">
        <v>1466</v>
      </c>
      <c r="B227" t="s">
        <v>1467</v>
      </c>
      <c r="C227">
        <v>2.8999999999999998E-3</v>
      </c>
      <c r="D227">
        <v>9.1000000000000004E-3</v>
      </c>
      <c r="E227">
        <v>2906921</v>
      </c>
      <c r="F227">
        <v>1412852</v>
      </c>
      <c r="G227" t="s">
        <v>1471</v>
      </c>
      <c r="H227">
        <v>999120000</v>
      </c>
      <c r="I227">
        <f>Cleaned_Data[[#This Row],[Volume (24h) USD]]/Cleaned_Data[[#This Row],[Circulating_Supply($)]]</f>
        <v>1.414096404836256E-3</v>
      </c>
      <c r="J227" s="2">
        <f>RANK(Cleaned_Data[[#This Row],[Market Cap]],Cleaned_Data[Market Cap],0)</f>
        <v>226</v>
      </c>
      <c r="K227" t="str">
        <f t="shared" si="3"/>
        <v>0-0.5</v>
      </c>
    </row>
    <row r="228" spans="1:11" x14ac:dyDescent="0.3">
      <c r="A228" t="s">
        <v>1476</v>
      </c>
      <c r="B228" t="s">
        <v>1477</v>
      </c>
      <c r="C228">
        <v>7.1900000000000006E-2</v>
      </c>
      <c r="D228">
        <v>2E-3</v>
      </c>
      <c r="E228">
        <v>2872237</v>
      </c>
      <c r="F228">
        <v>18020</v>
      </c>
      <c r="G228" t="s">
        <v>1481</v>
      </c>
      <c r="H228">
        <v>151420000000000</v>
      </c>
      <c r="I228">
        <f>Cleaned_Data[[#This Row],[Volume (24h) USD]]/Cleaned_Data[[#This Row],[Circulating_Supply($)]]</f>
        <v>1.1900673623035265E-10</v>
      </c>
      <c r="J228" s="2">
        <f>RANK(Cleaned_Data[[#This Row],[Market Cap]],Cleaned_Data[Market Cap],0)</f>
        <v>227</v>
      </c>
      <c r="K228" t="str">
        <f t="shared" si="3"/>
        <v>0-0.5</v>
      </c>
    </row>
    <row r="229" spans="1:11" x14ac:dyDescent="0.3">
      <c r="A229" t="s">
        <v>1482</v>
      </c>
      <c r="B229" t="s">
        <v>1483</v>
      </c>
      <c r="C229">
        <v>3.2000000000000002E-3</v>
      </c>
      <c r="D229">
        <v>7.0000000000000001E-3</v>
      </c>
      <c r="E229">
        <v>2867773</v>
      </c>
      <c r="F229">
        <v>78025</v>
      </c>
      <c r="G229" t="s">
        <v>1488</v>
      </c>
      <c r="H229">
        <v>896450000</v>
      </c>
      <c r="I229">
        <f>Cleaned_Data[[#This Row],[Volume (24h) USD]]/Cleaned_Data[[#This Row],[Circulating_Supply($)]]</f>
        <v>8.7037760053544543E-5</v>
      </c>
      <c r="J229" s="2">
        <f>RANK(Cleaned_Data[[#This Row],[Market Cap]],Cleaned_Data[Market Cap],0)</f>
        <v>228</v>
      </c>
      <c r="K229" t="str">
        <f t="shared" si="3"/>
        <v>0-0.5</v>
      </c>
    </row>
    <row r="230" spans="1:11" x14ac:dyDescent="0.3">
      <c r="A230" t="s">
        <v>1489</v>
      </c>
      <c r="B230" t="s">
        <v>1490</v>
      </c>
      <c r="C230">
        <v>2.7000000000000001E-3</v>
      </c>
      <c r="D230">
        <v>5.1000000000000004E-3</v>
      </c>
      <c r="E230">
        <v>2861085</v>
      </c>
      <c r="F230">
        <v>29417</v>
      </c>
      <c r="G230" t="s">
        <v>579</v>
      </c>
      <c r="H230">
        <v>1040000000</v>
      </c>
      <c r="I230">
        <f>Cleaned_Data[[#This Row],[Volume (24h) USD]]/Cleaned_Data[[#This Row],[Circulating_Supply($)]]</f>
        <v>2.8285576923076923E-5</v>
      </c>
      <c r="J230" s="2">
        <f>RANK(Cleaned_Data[[#This Row],[Market Cap]],Cleaned_Data[Market Cap],0)</f>
        <v>229</v>
      </c>
      <c r="K230" t="str">
        <f t="shared" si="3"/>
        <v>0-0.5</v>
      </c>
    </row>
    <row r="231" spans="1:11" x14ac:dyDescent="0.3">
      <c r="A231" t="s">
        <v>1494</v>
      </c>
      <c r="B231" t="s">
        <v>1495</v>
      </c>
      <c r="C231">
        <v>3.0000000000000001E-3</v>
      </c>
      <c r="D231">
        <v>2.7000000000000001E-3</v>
      </c>
      <c r="E231">
        <v>2860904</v>
      </c>
      <c r="F231">
        <v>267778</v>
      </c>
      <c r="G231" t="s">
        <v>1499</v>
      </c>
      <c r="H231">
        <v>950000000</v>
      </c>
      <c r="I231">
        <f>Cleaned_Data[[#This Row],[Volume (24h) USD]]/Cleaned_Data[[#This Row],[Circulating_Supply($)]]</f>
        <v>2.818715789473684E-4</v>
      </c>
      <c r="J231" s="2">
        <f>RANK(Cleaned_Data[[#This Row],[Market Cap]],Cleaned_Data[Market Cap],0)</f>
        <v>230</v>
      </c>
      <c r="K231" t="str">
        <f t="shared" si="3"/>
        <v>0-0.5</v>
      </c>
    </row>
    <row r="232" spans="1:11" x14ac:dyDescent="0.3">
      <c r="A232" t="s">
        <v>1500</v>
      </c>
      <c r="B232" t="s">
        <v>1501</v>
      </c>
      <c r="C232">
        <v>0</v>
      </c>
      <c r="D232">
        <v>5.0900000000000001E-2</v>
      </c>
      <c r="E232">
        <v>2847862</v>
      </c>
      <c r="F232">
        <v>2737705</v>
      </c>
      <c r="G232" t="s">
        <v>1506</v>
      </c>
      <c r="H232">
        <v>93080000000</v>
      </c>
      <c r="I232">
        <f>Cleaned_Data[[#This Row],[Volume (24h) USD]]/Cleaned_Data[[#This Row],[Circulating_Supply($)]]</f>
        <v>2.9412387193811775E-5</v>
      </c>
      <c r="J232" s="2">
        <f>RANK(Cleaned_Data[[#This Row],[Market Cap]],Cleaned_Data[Market Cap],0)</f>
        <v>231</v>
      </c>
      <c r="K232" t="str">
        <f t="shared" si="3"/>
        <v>0-0.5</v>
      </c>
    </row>
    <row r="233" spans="1:11" x14ac:dyDescent="0.3">
      <c r="A233" t="s">
        <v>1507</v>
      </c>
      <c r="B233" t="s">
        <v>1508</v>
      </c>
      <c r="C233">
        <v>2.92E-2</v>
      </c>
      <c r="D233">
        <v>1.12E-2</v>
      </c>
      <c r="E233">
        <v>2823353</v>
      </c>
      <c r="F233">
        <v>18584</v>
      </c>
      <c r="G233" t="s">
        <v>1513</v>
      </c>
      <c r="H233">
        <v>96500000</v>
      </c>
      <c r="I233">
        <f>Cleaned_Data[[#This Row],[Volume (24h) USD]]/Cleaned_Data[[#This Row],[Circulating_Supply($)]]</f>
        <v>1.92580310880829E-4</v>
      </c>
      <c r="J233" s="2">
        <f>RANK(Cleaned_Data[[#This Row],[Market Cap]],Cleaned_Data[Market Cap],0)</f>
        <v>232</v>
      </c>
      <c r="K233" t="str">
        <f t="shared" si="3"/>
        <v>0-0.5</v>
      </c>
    </row>
    <row r="234" spans="1:11" x14ac:dyDescent="0.3">
      <c r="A234" t="s">
        <v>1514</v>
      </c>
      <c r="B234" t="s">
        <v>1515</v>
      </c>
      <c r="C234">
        <v>1.03E-2</v>
      </c>
      <c r="D234">
        <v>1.4800000000000001E-2</v>
      </c>
      <c r="E234">
        <v>2822893</v>
      </c>
      <c r="F234">
        <v>154604</v>
      </c>
      <c r="G234" t="s">
        <v>1520</v>
      </c>
      <c r="I234" t="e">
        <f>Cleaned_Data[[#This Row],[Volume (24h) USD]]/Cleaned_Data[[#This Row],[Circulating_Supply($)]]</f>
        <v>#DIV/0!</v>
      </c>
      <c r="J234" s="2">
        <f>RANK(Cleaned_Data[[#This Row],[Market Cap]],Cleaned_Data[Market Cap],0)</f>
        <v>233</v>
      </c>
      <c r="K234" t="str">
        <f t="shared" si="3"/>
        <v>0-0.5</v>
      </c>
    </row>
    <row r="235" spans="1:11" x14ac:dyDescent="0.3">
      <c r="A235" t="s">
        <v>1521</v>
      </c>
      <c r="B235" t="s">
        <v>1522</v>
      </c>
      <c r="C235">
        <v>317.22000000000003</v>
      </c>
      <c r="D235">
        <v>4.0000000000000002E-4</v>
      </c>
      <c r="E235">
        <v>2816698</v>
      </c>
      <c r="F235">
        <v>715201</v>
      </c>
      <c r="G235" t="s">
        <v>1526</v>
      </c>
      <c r="H235">
        <v>8870</v>
      </c>
      <c r="I235">
        <f>Cleaned_Data[[#This Row],[Volume (24h) USD]]/Cleaned_Data[[#This Row],[Circulating_Supply($)]]</f>
        <v>80.63145434047351</v>
      </c>
      <c r="J235" s="2">
        <f>RANK(Cleaned_Data[[#This Row],[Market Cap]],Cleaned_Data[Market Cap],0)</f>
        <v>234</v>
      </c>
      <c r="K235" t="str">
        <f t="shared" si="3"/>
        <v>100-10000</v>
      </c>
    </row>
    <row r="236" spans="1:11" x14ac:dyDescent="0.3">
      <c r="A236" t="s">
        <v>1527</v>
      </c>
      <c r="B236" t="s">
        <v>1528</v>
      </c>
      <c r="C236">
        <v>0.1077</v>
      </c>
      <c r="D236">
        <v>3.0999999999999999E-3</v>
      </c>
      <c r="E236">
        <v>2811990</v>
      </c>
      <c r="F236">
        <v>686</v>
      </c>
      <c r="G236" t="s">
        <v>1532</v>
      </c>
      <c r="H236">
        <v>26090000</v>
      </c>
      <c r="I236">
        <f>Cleaned_Data[[#This Row],[Volume (24h) USD]]/Cleaned_Data[[#This Row],[Circulating_Supply($)]]</f>
        <v>2.629359908010732E-5</v>
      </c>
      <c r="J236" s="2">
        <f>RANK(Cleaned_Data[[#This Row],[Market Cap]],Cleaned_Data[Market Cap],0)</f>
        <v>235</v>
      </c>
      <c r="K236" t="str">
        <f t="shared" si="3"/>
        <v>0-0.5</v>
      </c>
    </row>
    <row r="237" spans="1:11" x14ac:dyDescent="0.3">
      <c r="A237" t="s">
        <v>1533</v>
      </c>
      <c r="B237" t="s">
        <v>1534</v>
      </c>
      <c r="C237">
        <v>7.7200000000000005E-2</v>
      </c>
      <c r="D237">
        <v>2.9399999999999999E-2</v>
      </c>
      <c r="E237">
        <v>2809828</v>
      </c>
      <c r="F237">
        <v>3520</v>
      </c>
      <c r="G237" t="s">
        <v>1539</v>
      </c>
      <c r="H237">
        <v>36380000</v>
      </c>
      <c r="I237">
        <f>Cleaned_Data[[#This Row],[Volume (24h) USD]]/Cleaned_Data[[#This Row],[Circulating_Supply($)]]</f>
        <v>9.6756459593183071E-5</v>
      </c>
      <c r="J237" s="2">
        <f>RANK(Cleaned_Data[[#This Row],[Market Cap]],Cleaned_Data[Market Cap],0)</f>
        <v>236</v>
      </c>
      <c r="K237" t="str">
        <f t="shared" si="3"/>
        <v>0-0.5</v>
      </c>
    </row>
    <row r="238" spans="1:11" x14ac:dyDescent="0.3">
      <c r="A238" t="s">
        <v>1540</v>
      </c>
      <c r="B238" t="s">
        <v>1541</v>
      </c>
      <c r="C238">
        <v>3.3999999999999998E-3</v>
      </c>
      <c r="D238">
        <v>2.0000000000000001E-4</v>
      </c>
      <c r="E238">
        <v>2324210</v>
      </c>
      <c r="F238">
        <v>7501</v>
      </c>
      <c r="G238" t="s">
        <v>1545</v>
      </c>
      <c r="H238">
        <v>677730000</v>
      </c>
      <c r="I238">
        <f>Cleaned_Data[[#This Row],[Volume (24h) USD]]/Cleaned_Data[[#This Row],[Circulating_Supply($)]]</f>
        <v>1.1067829371578651E-5</v>
      </c>
      <c r="J238" s="2">
        <f>RANK(Cleaned_Data[[#This Row],[Market Cap]],Cleaned_Data[Market Cap],0)</f>
        <v>237</v>
      </c>
      <c r="K238" t="str">
        <f t="shared" si="3"/>
        <v>0-0.5</v>
      </c>
    </row>
    <row r="239" spans="1:11" x14ac:dyDescent="0.3">
      <c r="A239" t="s">
        <v>1546</v>
      </c>
      <c r="B239" t="s">
        <v>1547</v>
      </c>
      <c r="C239">
        <v>8.0000000000000004E-4</v>
      </c>
      <c r="D239">
        <v>2.9999999999999997E-4</v>
      </c>
      <c r="E239">
        <v>2313767</v>
      </c>
      <c r="F239">
        <v>13509</v>
      </c>
      <c r="G239" t="s">
        <v>1551</v>
      </c>
      <c r="H239">
        <v>2880000000</v>
      </c>
      <c r="I239">
        <f>Cleaned_Data[[#This Row],[Volume (24h) USD]]/Cleaned_Data[[#This Row],[Circulating_Supply($)]]</f>
        <v>4.6906249999999997E-6</v>
      </c>
      <c r="J239" s="2">
        <f>RANK(Cleaned_Data[[#This Row],[Market Cap]],Cleaned_Data[Market Cap],0)</f>
        <v>238</v>
      </c>
      <c r="K239" t="str">
        <f t="shared" si="3"/>
        <v>0-0.5</v>
      </c>
    </row>
    <row r="240" spans="1:11" x14ac:dyDescent="0.3">
      <c r="A240" t="s">
        <v>1552</v>
      </c>
      <c r="B240" t="s">
        <v>1553</v>
      </c>
      <c r="C240">
        <v>0.997</v>
      </c>
      <c r="D240">
        <v>0</v>
      </c>
      <c r="E240">
        <v>2309702</v>
      </c>
      <c r="F240">
        <v>59236</v>
      </c>
      <c r="G240" t="s">
        <v>1557</v>
      </c>
      <c r="H240">
        <v>2310000</v>
      </c>
      <c r="I240">
        <f>Cleaned_Data[[#This Row],[Volume (24h) USD]]/Cleaned_Data[[#This Row],[Circulating_Supply($)]]</f>
        <v>2.5643290043290044E-2</v>
      </c>
      <c r="J240" s="2">
        <f>RANK(Cleaned_Data[[#This Row],[Market Cap]],Cleaned_Data[Market Cap],0)</f>
        <v>239</v>
      </c>
      <c r="K240" t="str">
        <f t="shared" si="3"/>
        <v>0.5-1</v>
      </c>
    </row>
    <row r="241" spans="1:11" x14ac:dyDescent="0.3">
      <c r="A241" t="s">
        <v>1558</v>
      </c>
      <c r="B241" t="s">
        <v>1559</v>
      </c>
      <c r="C241">
        <v>222.62</v>
      </c>
      <c r="D241">
        <v>2.9999999999999997E-4</v>
      </c>
      <c r="E241">
        <v>2304904</v>
      </c>
      <c r="F241">
        <v>676</v>
      </c>
      <c r="G241" t="s">
        <v>1563</v>
      </c>
      <c r="H241">
        <v>10350</v>
      </c>
      <c r="I241">
        <f>Cleaned_Data[[#This Row],[Volume (24h) USD]]/Cleaned_Data[[#This Row],[Circulating_Supply($)]]</f>
        <v>6.5314009661835745E-2</v>
      </c>
      <c r="J241" s="2">
        <f>RANK(Cleaned_Data[[#This Row],[Market Cap]],Cleaned_Data[Market Cap],0)</f>
        <v>240</v>
      </c>
      <c r="K241" t="str">
        <f t="shared" si="3"/>
        <v>100-10000</v>
      </c>
    </row>
    <row r="242" spans="1:11" x14ac:dyDescent="0.3">
      <c r="A242" t="s">
        <v>1564</v>
      </c>
      <c r="B242" t="s">
        <v>1565</v>
      </c>
      <c r="C242">
        <v>2.9999999999999997E-4</v>
      </c>
      <c r="D242">
        <v>3.5999999999999999E-3</v>
      </c>
      <c r="E242">
        <v>2303123</v>
      </c>
      <c r="F242">
        <v>109326</v>
      </c>
      <c r="G242" t="s">
        <v>1569</v>
      </c>
      <c r="H242">
        <v>6930000000</v>
      </c>
      <c r="I242">
        <f>Cleaned_Data[[#This Row],[Volume (24h) USD]]/Cleaned_Data[[#This Row],[Circulating_Supply($)]]</f>
        <v>1.5775757575757576E-5</v>
      </c>
      <c r="J242" s="2">
        <f>RANK(Cleaned_Data[[#This Row],[Market Cap]],Cleaned_Data[Market Cap],0)</f>
        <v>241</v>
      </c>
      <c r="K242" t="str">
        <f t="shared" si="3"/>
        <v>0-0.5</v>
      </c>
    </row>
    <row r="243" spans="1:11" x14ac:dyDescent="0.3">
      <c r="A243" t="s">
        <v>1570</v>
      </c>
      <c r="B243" t="s">
        <v>1571</v>
      </c>
      <c r="C243">
        <v>8.0299999999999996E-2</v>
      </c>
      <c r="D243">
        <v>9.4999999999999998E-3</v>
      </c>
      <c r="E243">
        <v>2296879</v>
      </c>
      <c r="F243">
        <v>399227</v>
      </c>
      <c r="G243" t="s">
        <v>1576</v>
      </c>
      <c r="H243">
        <v>28590000</v>
      </c>
      <c r="I243">
        <f>Cleaned_Data[[#This Row],[Volume (24h) USD]]/Cleaned_Data[[#This Row],[Circulating_Supply($)]]</f>
        <v>1.3963868485484435E-2</v>
      </c>
      <c r="J243" s="2">
        <f>RANK(Cleaned_Data[[#This Row],[Market Cap]],Cleaned_Data[Market Cap],0)</f>
        <v>242</v>
      </c>
      <c r="K243" t="str">
        <f t="shared" si="3"/>
        <v>0-0.5</v>
      </c>
    </row>
    <row r="244" spans="1:11" x14ac:dyDescent="0.3">
      <c r="A244" t="s">
        <v>1577</v>
      </c>
      <c r="B244" t="s">
        <v>1578</v>
      </c>
      <c r="C244">
        <v>2.4300000000000002</v>
      </c>
      <c r="D244">
        <v>8.9999999999999998E-4</v>
      </c>
      <c r="E244">
        <v>2294383</v>
      </c>
      <c r="F244">
        <v>299270</v>
      </c>
      <c r="G244" t="s">
        <v>1582</v>
      </c>
      <c r="H244">
        <v>940320</v>
      </c>
      <c r="I244">
        <f>Cleaned_Data[[#This Row],[Volume (24h) USD]]/Cleaned_Data[[#This Row],[Circulating_Supply($)]]</f>
        <v>0.31826399523566445</v>
      </c>
      <c r="J244" s="2">
        <f>RANK(Cleaned_Data[[#This Row],[Market Cap]],Cleaned_Data[Market Cap],0)</f>
        <v>243</v>
      </c>
      <c r="K244" t="str">
        <f t="shared" si="3"/>
        <v>2-10</v>
      </c>
    </row>
    <row r="245" spans="1:11" x14ac:dyDescent="0.3">
      <c r="A245" t="s">
        <v>1583</v>
      </c>
      <c r="B245" t="s">
        <v>1584</v>
      </c>
      <c r="C245">
        <v>2.29E-2</v>
      </c>
      <c r="D245">
        <v>1.2699999999999999E-2</v>
      </c>
      <c r="E245">
        <v>2293709</v>
      </c>
      <c r="F245">
        <v>111982</v>
      </c>
      <c r="G245" t="s">
        <v>559</v>
      </c>
      <c r="H245">
        <v>100000000</v>
      </c>
      <c r="I245">
        <f>Cleaned_Data[[#This Row],[Volume (24h) USD]]/Cleaned_Data[[#This Row],[Circulating_Supply($)]]</f>
        <v>1.1198200000000001E-3</v>
      </c>
      <c r="J245" s="2">
        <f>RANK(Cleaned_Data[[#This Row],[Market Cap]],Cleaned_Data[Market Cap],0)</f>
        <v>244</v>
      </c>
      <c r="K245" t="str">
        <f t="shared" si="3"/>
        <v>0-0.5</v>
      </c>
    </row>
    <row r="246" spans="1:11" x14ac:dyDescent="0.3">
      <c r="A246" t="s">
        <v>1589</v>
      </c>
      <c r="B246" t="s">
        <v>1590</v>
      </c>
      <c r="C246">
        <v>1.01E-2</v>
      </c>
      <c r="D246">
        <v>7.6E-3</v>
      </c>
      <c r="E246">
        <v>2292740</v>
      </c>
      <c r="F246">
        <v>2109152</v>
      </c>
      <c r="G246" t="s">
        <v>1594</v>
      </c>
      <c r="I246" t="e">
        <f>Cleaned_Data[[#This Row],[Volume (24h) USD]]/Cleaned_Data[[#This Row],[Circulating_Supply($)]]</f>
        <v>#DIV/0!</v>
      </c>
      <c r="J246" s="2">
        <f>RANK(Cleaned_Data[[#This Row],[Market Cap]],Cleaned_Data[Market Cap],0)</f>
        <v>246</v>
      </c>
      <c r="K246" t="str">
        <f t="shared" si="3"/>
        <v>0-0.5</v>
      </c>
    </row>
    <row r="247" spans="1:11" x14ac:dyDescent="0.3">
      <c r="A247" t="s">
        <v>1595</v>
      </c>
      <c r="B247" t="s">
        <v>1595</v>
      </c>
      <c r="C247">
        <v>2.5999999999999999E-3</v>
      </c>
      <c r="D247">
        <v>0.1196</v>
      </c>
      <c r="E247">
        <v>2292124</v>
      </c>
      <c r="F247">
        <v>307522</v>
      </c>
      <c r="G247" t="s">
        <v>1600</v>
      </c>
      <c r="H247">
        <v>874750000</v>
      </c>
      <c r="I247">
        <f>Cleaned_Data[[#This Row],[Volume (24h) USD]]/Cleaned_Data[[#This Row],[Circulating_Supply($)]]</f>
        <v>3.5155415833095172E-4</v>
      </c>
      <c r="J247" s="2">
        <f>RANK(Cleaned_Data[[#This Row],[Market Cap]],Cleaned_Data[Market Cap],0)</f>
        <v>247</v>
      </c>
      <c r="K247" t="str">
        <f t="shared" si="3"/>
        <v>0-0.5</v>
      </c>
    </row>
    <row r="248" spans="1:11" x14ac:dyDescent="0.3">
      <c r="A248" t="s">
        <v>1601</v>
      </c>
      <c r="B248" t="s">
        <v>1602</v>
      </c>
      <c r="C248">
        <v>8.72E-2</v>
      </c>
      <c r="D248">
        <v>4.1999999999999997E-3</v>
      </c>
      <c r="E248">
        <v>2290142</v>
      </c>
      <c r="F248">
        <v>12557</v>
      </c>
      <c r="G248" t="s">
        <v>1606</v>
      </c>
      <c r="H248">
        <v>318290000000000</v>
      </c>
      <c r="I248">
        <f>Cleaned_Data[[#This Row],[Volume (24h) USD]]/Cleaned_Data[[#This Row],[Circulating_Supply($)]]</f>
        <v>3.9451443652015459E-11</v>
      </c>
      <c r="J248" s="2">
        <f>RANK(Cleaned_Data[[#This Row],[Market Cap]],Cleaned_Data[Market Cap],0)</f>
        <v>248</v>
      </c>
      <c r="K248" t="str">
        <f t="shared" si="3"/>
        <v>0-0.5</v>
      </c>
    </row>
    <row r="249" spans="1:11" x14ac:dyDescent="0.3">
      <c r="A249" t="s">
        <v>1607</v>
      </c>
      <c r="B249" t="s">
        <v>1608</v>
      </c>
      <c r="C249">
        <v>3.8E-3</v>
      </c>
      <c r="D249">
        <v>0.1202</v>
      </c>
      <c r="E249">
        <v>2293523</v>
      </c>
      <c r="F249">
        <v>236092</v>
      </c>
      <c r="G249" t="s">
        <v>1613</v>
      </c>
      <c r="H249">
        <v>603770000</v>
      </c>
      <c r="I249">
        <f>Cleaned_Data[[#This Row],[Volume (24h) USD]]/Cleaned_Data[[#This Row],[Circulating_Supply($)]]</f>
        <v>3.9102969673882439E-4</v>
      </c>
      <c r="J249" s="2">
        <f>RANK(Cleaned_Data[[#This Row],[Market Cap]],Cleaned_Data[Market Cap],0)</f>
        <v>245</v>
      </c>
      <c r="K249" t="str">
        <f t="shared" si="3"/>
        <v>0-0.5</v>
      </c>
    </row>
    <row r="250" spans="1:11" x14ac:dyDescent="0.3">
      <c r="A250" t="s">
        <v>1614</v>
      </c>
      <c r="B250" t="s">
        <v>1615</v>
      </c>
      <c r="C250">
        <v>1E-4</v>
      </c>
      <c r="D250">
        <v>5.9999999999999995E-4</v>
      </c>
      <c r="E250">
        <v>2286484</v>
      </c>
      <c r="F250">
        <v>646020</v>
      </c>
      <c r="G250" t="s">
        <v>1619</v>
      </c>
      <c r="H250">
        <v>21010000000</v>
      </c>
      <c r="I250">
        <f>Cleaned_Data[[#This Row],[Volume (24h) USD]]/Cleaned_Data[[#This Row],[Circulating_Supply($)]]</f>
        <v>3.074821513564969E-5</v>
      </c>
      <c r="J250" s="2">
        <f>RANK(Cleaned_Data[[#This Row],[Market Cap]],Cleaned_Data[Market Cap],0)</f>
        <v>249</v>
      </c>
      <c r="K250" t="str">
        <f t="shared" si="3"/>
        <v>0-0.5</v>
      </c>
    </row>
    <row r="251" spans="1:11" x14ac:dyDescent="0.3">
      <c r="A251" t="s">
        <v>1620</v>
      </c>
      <c r="B251" t="s">
        <v>1620</v>
      </c>
      <c r="C251">
        <v>4.0000000000000002E-4</v>
      </c>
      <c r="D251">
        <v>1E-3</v>
      </c>
      <c r="E251">
        <v>2285938</v>
      </c>
      <c r="F251">
        <v>816265</v>
      </c>
      <c r="G251" t="s">
        <v>1624</v>
      </c>
      <c r="H251">
        <v>6070000000</v>
      </c>
      <c r="I251">
        <f>Cleaned_Data[[#This Row],[Volume (24h) USD]]/Cleaned_Data[[#This Row],[Circulating_Supply($)]]</f>
        <v>1.3447528830313015E-4</v>
      </c>
      <c r="J251" s="2">
        <f>RANK(Cleaned_Data[[#This Row],[Market Cap]],Cleaned_Data[Market Cap],0)</f>
        <v>250</v>
      </c>
      <c r="K251" t="str">
        <f t="shared" si="3"/>
        <v>0-0.5</v>
      </c>
    </row>
    <row r="252" spans="1:11" x14ac:dyDescent="0.3">
      <c r="A252" t="s">
        <v>1625</v>
      </c>
      <c r="B252" t="s">
        <v>1626</v>
      </c>
      <c r="C252">
        <v>4.0000000000000001E-3</v>
      </c>
      <c r="D252">
        <v>1.43E-2</v>
      </c>
      <c r="E252">
        <v>2278887</v>
      </c>
      <c r="F252">
        <v>10481</v>
      </c>
      <c r="G252" t="s">
        <v>1631</v>
      </c>
      <c r="H252">
        <v>567970000</v>
      </c>
      <c r="I252">
        <f>Cleaned_Data[[#This Row],[Volume (24h) USD]]/Cleaned_Data[[#This Row],[Circulating_Supply($)]]</f>
        <v>1.8453439442224062E-5</v>
      </c>
      <c r="J252" s="2">
        <f>RANK(Cleaned_Data[[#This Row],[Market Cap]],Cleaned_Data[Market Cap],0)</f>
        <v>251</v>
      </c>
      <c r="K252" t="str">
        <f t="shared" si="3"/>
        <v>0-0.5</v>
      </c>
    </row>
    <row r="253" spans="1:11" x14ac:dyDescent="0.3">
      <c r="A253" t="s">
        <v>1632</v>
      </c>
      <c r="B253" t="s">
        <v>1633</v>
      </c>
      <c r="C253">
        <v>0.36180000000000001</v>
      </c>
      <c r="D253">
        <v>2.52E-2</v>
      </c>
      <c r="E253">
        <v>1916021</v>
      </c>
      <c r="F253">
        <v>575286</v>
      </c>
      <c r="G253" t="s">
        <v>1638</v>
      </c>
      <c r="H253">
        <v>5290000</v>
      </c>
      <c r="I253">
        <f>Cleaned_Data[[#This Row],[Volume (24h) USD]]/Cleaned_Data[[#This Row],[Circulating_Supply($)]]</f>
        <v>0.10874971644612476</v>
      </c>
      <c r="J253" s="2">
        <f>RANK(Cleaned_Data[[#This Row],[Market Cap]],Cleaned_Data[Market Cap],0)</f>
        <v>252</v>
      </c>
      <c r="K253" t="str">
        <f t="shared" si="3"/>
        <v>0-0.5</v>
      </c>
    </row>
    <row r="254" spans="1:11" x14ac:dyDescent="0.3">
      <c r="A254" t="s">
        <v>1639</v>
      </c>
      <c r="B254" t="s">
        <v>1640</v>
      </c>
      <c r="C254">
        <v>1.9E-3</v>
      </c>
      <c r="D254">
        <v>3.2099999999999997E-2</v>
      </c>
      <c r="E254">
        <v>1906503</v>
      </c>
      <c r="F254">
        <v>2807129</v>
      </c>
      <c r="G254" t="s">
        <v>691</v>
      </c>
      <c r="H254">
        <v>1000000000</v>
      </c>
      <c r="I254">
        <f>Cleaned_Data[[#This Row],[Volume (24h) USD]]/Cleaned_Data[[#This Row],[Circulating_Supply($)]]</f>
        <v>2.8071289999999998E-3</v>
      </c>
      <c r="J254" s="2">
        <f>RANK(Cleaned_Data[[#This Row],[Market Cap]],Cleaned_Data[Market Cap],0)</f>
        <v>253</v>
      </c>
      <c r="K254" t="str">
        <f t="shared" si="3"/>
        <v>0-0.5</v>
      </c>
    </row>
    <row r="255" spans="1:11" x14ac:dyDescent="0.3">
      <c r="A255" t="s">
        <v>1645</v>
      </c>
      <c r="B255" t="s">
        <v>1646</v>
      </c>
      <c r="C255">
        <v>9.7000000000000003E-3</v>
      </c>
      <c r="D255">
        <v>1.4E-3</v>
      </c>
      <c r="E255">
        <v>1906100</v>
      </c>
      <c r="F255">
        <v>3639</v>
      </c>
      <c r="G255" t="s">
        <v>1651</v>
      </c>
      <c r="H255">
        <v>195630000</v>
      </c>
      <c r="I255">
        <f>Cleaned_Data[[#This Row],[Volume (24h) USD]]/Cleaned_Data[[#This Row],[Circulating_Supply($)]]</f>
        <v>1.8601441496702959E-5</v>
      </c>
      <c r="J255" s="2">
        <f>RANK(Cleaned_Data[[#This Row],[Market Cap]],Cleaned_Data[Market Cap],0)</f>
        <v>254</v>
      </c>
      <c r="K255" t="str">
        <f t="shared" si="3"/>
        <v>0-0.5</v>
      </c>
    </row>
    <row r="256" spans="1:11" x14ac:dyDescent="0.3">
      <c r="A256" t="s">
        <v>1652</v>
      </c>
      <c r="B256" t="s">
        <v>1653</v>
      </c>
      <c r="C256">
        <v>1.9E-3</v>
      </c>
      <c r="D256">
        <v>2.5999999999999999E-3</v>
      </c>
      <c r="E256">
        <v>1903590</v>
      </c>
      <c r="F256">
        <v>231003</v>
      </c>
      <c r="G256" t="s">
        <v>1657</v>
      </c>
      <c r="H256">
        <v>996730000</v>
      </c>
      <c r="I256">
        <f>Cleaned_Data[[#This Row],[Volume (24h) USD]]/Cleaned_Data[[#This Row],[Circulating_Supply($)]]</f>
        <v>2.3176085800567857E-4</v>
      </c>
      <c r="J256" s="2">
        <f>RANK(Cleaned_Data[[#This Row],[Market Cap]],Cleaned_Data[Market Cap],0)</f>
        <v>255</v>
      </c>
      <c r="K256" t="str">
        <f t="shared" si="3"/>
        <v>0-0.5</v>
      </c>
    </row>
    <row r="257" spans="1:11" x14ac:dyDescent="0.3">
      <c r="A257" t="s">
        <v>1658</v>
      </c>
      <c r="B257" t="s">
        <v>1659</v>
      </c>
      <c r="C257">
        <v>8.0000000000000004E-4</v>
      </c>
      <c r="D257">
        <v>6.4000000000000003E-3</v>
      </c>
      <c r="E257">
        <v>1898990</v>
      </c>
      <c r="F257">
        <v>2154532</v>
      </c>
      <c r="G257" t="s">
        <v>1434</v>
      </c>
      <c r="H257">
        <v>2280000000</v>
      </c>
      <c r="I257">
        <f>Cleaned_Data[[#This Row],[Volume (24h) USD]]/Cleaned_Data[[#This Row],[Circulating_Supply($)]]</f>
        <v>9.4497017543859654E-4</v>
      </c>
      <c r="J257" s="2">
        <f>RANK(Cleaned_Data[[#This Row],[Market Cap]],Cleaned_Data[Market Cap],0)</f>
        <v>256</v>
      </c>
      <c r="K257" t="str">
        <f t="shared" si="3"/>
        <v>0-0.5</v>
      </c>
    </row>
    <row r="258" spans="1:11" x14ac:dyDescent="0.3">
      <c r="A258" t="s">
        <v>1664</v>
      </c>
      <c r="B258" t="s">
        <v>1665</v>
      </c>
      <c r="C258">
        <v>1E-4</v>
      </c>
      <c r="D258">
        <v>4.1000000000000003E-3</v>
      </c>
      <c r="E258">
        <v>1898444</v>
      </c>
      <c r="F258">
        <v>291579</v>
      </c>
      <c r="G258" t="s">
        <v>1669</v>
      </c>
      <c r="H258">
        <v>14480000000</v>
      </c>
      <c r="I258">
        <f>Cleaned_Data[[#This Row],[Volume (24h) USD]]/Cleaned_Data[[#This Row],[Circulating_Supply($)]]</f>
        <v>2.0136671270718232E-5</v>
      </c>
      <c r="J258" s="2">
        <f>RANK(Cleaned_Data[[#This Row],[Market Cap]],Cleaned_Data[Market Cap],0)</f>
        <v>257</v>
      </c>
      <c r="K258" t="str">
        <f t="shared" ref="K258:K295" si="4">IF(C258&lt;=0.5,"0-0.5",
IF(C258&lt;=1,"0.5-1",
IF(C258&lt;=2,"1-2",
IF(C258&lt;=10,"2-10",
IF(C258&lt;=100,"10-100",
IF(C258&lt;=10000,"100-10000",
"10000+"))))))</f>
        <v>0-0.5</v>
      </c>
    </row>
    <row r="259" spans="1:11" x14ac:dyDescent="0.3">
      <c r="A259" t="s">
        <v>1670</v>
      </c>
      <c r="B259" t="s">
        <v>1671</v>
      </c>
      <c r="C259">
        <v>1E-4</v>
      </c>
      <c r="D259">
        <v>1.9E-3</v>
      </c>
      <c r="E259">
        <v>1898443</v>
      </c>
      <c r="F259">
        <v>248162</v>
      </c>
      <c r="G259" t="s">
        <v>1675</v>
      </c>
      <c r="H259">
        <v>17500000000</v>
      </c>
      <c r="I259">
        <f>Cleaned_Data[[#This Row],[Volume (24h) USD]]/Cleaned_Data[[#This Row],[Circulating_Supply($)]]</f>
        <v>1.4180685714285714E-5</v>
      </c>
      <c r="J259" s="2">
        <f>RANK(Cleaned_Data[[#This Row],[Market Cap]],Cleaned_Data[Market Cap],0)</f>
        <v>258</v>
      </c>
      <c r="K259" t="str">
        <f t="shared" si="4"/>
        <v>0-0.5</v>
      </c>
    </row>
    <row r="260" spans="1:11" x14ac:dyDescent="0.3">
      <c r="A260" t="s">
        <v>1676</v>
      </c>
      <c r="B260" t="s">
        <v>1676</v>
      </c>
      <c r="C260">
        <v>1.9E-3</v>
      </c>
      <c r="D260">
        <v>2.0500000000000001E-2</v>
      </c>
      <c r="E260">
        <v>1890247</v>
      </c>
      <c r="F260">
        <v>812622</v>
      </c>
      <c r="G260" t="s">
        <v>1681</v>
      </c>
      <c r="H260">
        <v>975670000</v>
      </c>
      <c r="I260">
        <f>Cleaned_Data[[#This Row],[Volume (24h) USD]]/Cleaned_Data[[#This Row],[Circulating_Supply($)]]</f>
        <v>8.3288611928213432E-4</v>
      </c>
      <c r="J260" s="2">
        <f>RANK(Cleaned_Data[[#This Row],[Market Cap]],Cleaned_Data[Market Cap],0)</f>
        <v>259</v>
      </c>
      <c r="K260" t="str">
        <f t="shared" si="4"/>
        <v>0-0.5</v>
      </c>
    </row>
    <row r="261" spans="1:11" x14ac:dyDescent="0.3">
      <c r="A261" t="s">
        <v>1682</v>
      </c>
      <c r="B261" t="s">
        <v>1683</v>
      </c>
      <c r="C261">
        <v>0.3775</v>
      </c>
      <c r="D261">
        <v>2.9999999999999997E-4</v>
      </c>
      <c r="E261">
        <v>1887590</v>
      </c>
      <c r="F261">
        <v>72591</v>
      </c>
      <c r="G261" t="s">
        <v>1687</v>
      </c>
      <c r="H261">
        <v>5000000</v>
      </c>
      <c r="I261">
        <f>Cleaned_Data[[#This Row],[Volume (24h) USD]]/Cleaned_Data[[#This Row],[Circulating_Supply($)]]</f>
        <v>1.45182E-2</v>
      </c>
      <c r="J261" s="2">
        <f>RANK(Cleaned_Data[[#This Row],[Market Cap]],Cleaned_Data[Market Cap],0)</f>
        <v>260</v>
      </c>
      <c r="K261" t="str">
        <f t="shared" si="4"/>
        <v>0-0.5</v>
      </c>
    </row>
    <row r="262" spans="1:11" x14ac:dyDescent="0.3">
      <c r="A262" t="s">
        <v>1688</v>
      </c>
      <c r="B262" t="s">
        <v>1689</v>
      </c>
      <c r="C262">
        <v>6.1000000000000004E-3</v>
      </c>
      <c r="D262">
        <v>6.1999999999999998E-3</v>
      </c>
      <c r="E262">
        <v>1886530</v>
      </c>
      <c r="F262">
        <v>441421</v>
      </c>
      <c r="G262" t="s">
        <v>1693</v>
      </c>
      <c r="H262">
        <v>309150000</v>
      </c>
      <c r="I262">
        <f>Cleaned_Data[[#This Row],[Volume (24h) USD]]/Cleaned_Data[[#This Row],[Circulating_Supply($)]]</f>
        <v>1.4278537926572861E-3</v>
      </c>
      <c r="J262" s="2">
        <f>RANK(Cleaned_Data[[#This Row],[Market Cap]],Cleaned_Data[Market Cap],0)</f>
        <v>261</v>
      </c>
      <c r="K262" t="str">
        <f t="shared" si="4"/>
        <v>0-0.5</v>
      </c>
    </row>
    <row r="263" spans="1:11" x14ac:dyDescent="0.3">
      <c r="A263" t="s">
        <v>1694</v>
      </c>
      <c r="B263" t="s">
        <v>1695</v>
      </c>
      <c r="C263">
        <v>6.3600000000000004E-2</v>
      </c>
      <c r="D263">
        <v>1E-3</v>
      </c>
      <c r="E263">
        <v>1885561</v>
      </c>
      <c r="F263">
        <v>94886</v>
      </c>
      <c r="G263" t="s">
        <v>1699</v>
      </c>
      <c r="H263">
        <v>29640000</v>
      </c>
      <c r="I263">
        <f>Cleaned_Data[[#This Row],[Volume (24h) USD]]/Cleaned_Data[[#This Row],[Circulating_Supply($)]]</f>
        <v>3.2012820512820513E-3</v>
      </c>
      <c r="J263" s="2">
        <f>RANK(Cleaned_Data[[#This Row],[Market Cap]],Cleaned_Data[Market Cap],0)</f>
        <v>262</v>
      </c>
      <c r="K263" t="str">
        <f t="shared" si="4"/>
        <v>0-0.5</v>
      </c>
    </row>
    <row r="264" spans="1:11" x14ac:dyDescent="0.3">
      <c r="A264" t="s">
        <v>1700</v>
      </c>
      <c r="B264" t="s">
        <v>1701</v>
      </c>
      <c r="C264">
        <v>2.5099999999999998</v>
      </c>
      <c r="D264">
        <v>2.8999999999999998E-3</v>
      </c>
      <c r="E264">
        <v>1877793</v>
      </c>
      <c r="F264">
        <v>36</v>
      </c>
      <c r="G264" t="s">
        <v>1705</v>
      </c>
      <c r="H264">
        <v>745990</v>
      </c>
      <c r="I264">
        <f>Cleaned_Data[[#This Row],[Volume (24h) USD]]/Cleaned_Data[[#This Row],[Circulating_Supply($)]]</f>
        <v>4.8258019544497915E-5</v>
      </c>
      <c r="J264" s="2">
        <f>RANK(Cleaned_Data[[#This Row],[Market Cap]],Cleaned_Data[Market Cap],0)</f>
        <v>263</v>
      </c>
      <c r="K264" t="str">
        <f t="shared" si="4"/>
        <v>2-10</v>
      </c>
    </row>
    <row r="265" spans="1:11" x14ac:dyDescent="0.3">
      <c r="A265" t="s">
        <v>1706</v>
      </c>
      <c r="B265" t="s">
        <v>1707</v>
      </c>
      <c r="C265">
        <v>0.02</v>
      </c>
      <c r="D265">
        <v>3.8E-3</v>
      </c>
      <c r="E265">
        <v>1871049</v>
      </c>
      <c r="F265">
        <v>1208</v>
      </c>
      <c r="G265" t="s">
        <v>1711</v>
      </c>
      <c r="H265">
        <v>93690000</v>
      </c>
      <c r="I265">
        <f>Cleaned_Data[[#This Row],[Volume (24h) USD]]/Cleaned_Data[[#This Row],[Circulating_Supply($)]]</f>
        <v>1.2893585227879177E-5</v>
      </c>
      <c r="J265" s="2">
        <f>RANK(Cleaned_Data[[#This Row],[Market Cap]],Cleaned_Data[Market Cap],0)</f>
        <v>264</v>
      </c>
      <c r="K265" t="str">
        <f t="shared" si="4"/>
        <v>0-0.5</v>
      </c>
    </row>
    <row r="266" spans="1:11" x14ac:dyDescent="0.3">
      <c r="A266" t="s">
        <v>1712</v>
      </c>
      <c r="B266" t="s">
        <v>1713</v>
      </c>
      <c r="C266">
        <v>1.9E-3</v>
      </c>
      <c r="D266">
        <v>5.0000000000000001E-4</v>
      </c>
      <c r="E266">
        <v>1867627</v>
      </c>
      <c r="F266">
        <v>47480</v>
      </c>
      <c r="G266" t="s">
        <v>1717</v>
      </c>
      <c r="H266">
        <v>994960000</v>
      </c>
      <c r="I266">
        <f>Cleaned_Data[[#This Row],[Volume (24h) USD]]/Cleaned_Data[[#This Row],[Circulating_Supply($)]]</f>
        <v>4.7720511377341802E-5</v>
      </c>
      <c r="J266" s="2">
        <f>RANK(Cleaned_Data[[#This Row],[Market Cap]],Cleaned_Data[Market Cap],0)</f>
        <v>265</v>
      </c>
      <c r="K266" t="str">
        <f t="shared" si="4"/>
        <v>0-0.5</v>
      </c>
    </row>
    <row r="267" spans="1:11" x14ac:dyDescent="0.3">
      <c r="A267" t="s">
        <v>1718</v>
      </c>
      <c r="B267" t="s">
        <v>1719</v>
      </c>
      <c r="C267">
        <v>2.3E-3</v>
      </c>
      <c r="D267">
        <v>9.1999999999999998E-3</v>
      </c>
      <c r="E267">
        <v>1863475</v>
      </c>
      <c r="F267">
        <v>323410</v>
      </c>
      <c r="G267" t="s">
        <v>1723</v>
      </c>
      <c r="H267">
        <v>798360000</v>
      </c>
      <c r="I267">
        <f>Cleaned_Data[[#This Row],[Volume (24h) USD]]/Cleaned_Data[[#This Row],[Circulating_Supply($)]]</f>
        <v>4.0509294052808257E-4</v>
      </c>
      <c r="J267" s="2">
        <f>RANK(Cleaned_Data[[#This Row],[Market Cap]],Cleaned_Data[Market Cap],0)</f>
        <v>266</v>
      </c>
      <c r="K267" t="str">
        <f t="shared" si="4"/>
        <v>0-0.5</v>
      </c>
    </row>
    <row r="268" spans="1:11" x14ac:dyDescent="0.3">
      <c r="A268" t="s">
        <v>1724</v>
      </c>
      <c r="B268" t="s">
        <v>1725</v>
      </c>
      <c r="C268">
        <v>1.5299999999999999E-2</v>
      </c>
      <c r="D268">
        <v>1.41E-2</v>
      </c>
      <c r="E268">
        <v>1532820</v>
      </c>
      <c r="F268">
        <v>106300</v>
      </c>
      <c r="G268" t="s">
        <v>559</v>
      </c>
      <c r="H268">
        <v>100000000</v>
      </c>
      <c r="I268">
        <f>Cleaned_Data[[#This Row],[Volume (24h) USD]]/Cleaned_Data[[#This Row],[Circulating_Supply($)]]</f>
        <v>1.0629999999999999E-3</v>
      </c>
      <c r="J268" s="2">
        <f>RANK(Cleaned_Data[[#This Row],[Market Cap]],Cleaned_Data[Market Cap],0)</f>
        <v>267</v>
      </c>
      <c r="K268" t="str">
        <f t="shared" si="4"/>
        <v>0-0.5</v>
      </c>
    </row>
    <row r="269" spans="1:11" x14ac:dyDescent="0.3">
      <c r="A269" t="s">
        <v>1729</v>
      </c>
      <c r="B269" t="s">
        <v>1730</v>
      </c>
      <c r="C269">
        <v>478.82</v>
      </c>
      <c r="D269">
        <v>0</v>
      </c>
      <c r="E269">
        <v>1532243</v>
      </c>
      <c r="F269">
        <v>48</v>
      </c>
      <c r="G269" t="s">
        <v>1734</v>
      </c>
      <c r="H269">
        <v>3190</v>
      </c>
      <c r="I269">
        <f>Cleaned_Data[[#This Row],[Volume (24h) USD]]/Cleaned_Data[[#This Row],[Circulating_Supply($)]]</f>
        <v>1.5047021943573668E-2</v>
      </c>
      <c r="J269" s="2">
        <f>RANK(Cleaned_Data[[#This Row],[Market Cap]],Cleaned_Data[Market Cap],0)</f>
        <v>268</v>
      </c>
      <c r="K269" t="str">
        <f t="shared" si="4"/>
        <v>100-10000</v>
      </c>
    </row>
    <row r="270" spans="1:11" x14ac:dyDescent="0.3">
      <c r="A270" t="s">
        <v>1735</v>
      </c>
      <c r="B270" t="s">
        <v>1736</v>
      </c>
      <c r="C270">
        <v>1.7399999999999999E-2</v>
      </c>
      <c r="D270">
        <v>0.28399999999999997</v>
      </c>
      <c r="E270">
        <v>1513741</v>
      </c>
      <c r="F270">
        <v>92</v>
      </c>
      <c r="G270" t="s">
        <v>1741</v>
      </c>
      <c r="H270">
        <v>86910000</v>
      </c>
      <c r="I270">
        <f>Cleaned_Data[[#This Row],[Volume (24h) USD]]/Cleaned_Data[[#This Row],[Circulating_Supply($)]]</f>
        <v>1.0585663329881486E-6</v>
      </c>
      <c r="J270" s="2">
        <f>RANK(Cleaned_Data[[#This Row],[Market Cap]],Cleaned_Data[Market Cap],0)</f>
        <v>269</v>
      </c>
      <c r="K270" t="str">
        <f t="shared" si="4"/>
        <v>0-0.5</v>
      </c>
    </row>
    <row r="271" spans="1:11" x14ac:dyDescent="0.3">
      <c r="A271" t="s">
        <v>1742</v>
      </c>
      <c r="B271" t="s">
        <v>1743</v>
      </c>
      <c r="C271">
        <v>0.14399999999999999</v>
      </c>
      <c r="D271">
        <v>6.1000000000000004E-3</v>
      </c>
      <c r="E271">
        <v>1512510</v>
      </c>
      <c r="F271">
        <v>277199</v>
      </c>
      <c r="G271" t="s">
        <v>1747</v>
      </c>
      <c r="H271">
        <v>10490000</v>
      </c>
      <c r="I271">
        <f>Cleaned_Data[[#This Row],[Volume (24h) USD]]/Cleaned_Data[[#This Row],[Circulating_Supply($)]]</f>
        <v>2.6425071496663489E-2</v>
      </c>
      <c r="J271" s="2">
        <f>RANK(Cleaned_Data[[#This Row],[Market Cap]],Cleaned_Data[Market Cap],0)</f>
        <v>270</v>
      </c>
      <c r="K271" t="str">
        <f t="shared" si="4"/>
        <v>0-0.5</v>
      </c>
    </row>
    <row r="272" spans="1:11" x14ac:dyDescent="0.3">
      <c r="A272" t="s">
        <v>1748</v>
      </c>
      <c r="B272" t="s">
        <v>1749</v>
      </c>
      <c r="C272">
        <v>2.0999999999999999E-3</v>
      </c>
      <c r="D272">
        <v>2.0000000000000001E-4</v>
      </c>
      <c r="E272">
        <v>1510003</v>
      </c>
      <c r="F272">
        <v>59560</v>
      </c>
      <c r="G272" t="s">
        <v>1753</v>
      </c>
      <c r="H272">
        <v>733640000</v>
      </c>
      <c r="I272">
        <f>Cleaned_Data[[#This Row],[Volume (24h) USD]]/Cleaned_Data[[#This Row],[Circulating_Supply($)]]</f>
        <v>8.1184232048416114E-5</v>
      </c>
      <c r="J272" s="2">
        <f>RANK(Cleaned_Data[[#This Row],[Market Cap]],Cleaned_Data[Market Cap],0)</f>
        <v>271</v>
      </c>
      <c r="K272" t="str">
        <f t="shared" si="4"/>
        <v>0-0.5</v>
      </c>
    </row>
    <row r="273" spans="1:11" x14ac:dyDescent="0.3">
      <c r="A273" t="s">
        <v>1754</v>
      </c>
      <c r="B273" t="s">
        <v>1755</v>
      </c>
      <c r="C273">
        <v>458.9</v>
      </c>
      <c r="D273">
        <v>0</v>
      </c>
      <c r="E273">
        <v>1509662</v>
      </c>
      <c r="F273">
        <v>1899106</v>
      </c>
      <c r="G273" t="s">
        <v>1759</v>
      </c>
      <c r="H273">
        <v>3280</v>
      </c>
      <c r="I273">
        <f>Cleaned_Data[[#This Row],[Volume (24h) USD]]/Cleaned_Data[[#This Row],[Circulating_Supply($)]]</f>
        <v>578.99573170731708</v>
      </c>
      <c r="J273" s="2">
        <f>RANK(Cleaned_Data[[#This Row],[Market Cap]],Cleaned_Data[Market Cap],0)</f>
        <v>272</v>
      </c>
      <c r="K273" t="str">
        <f t="shared" si="4"/>
        <v>100-10000</v>
      </c>
    </row>
    <row r="274" spans="1:11" x14ac:dyDescent="0.3">
      <c r="A274" t="s">
        <v>1764</v>
      </c>
      <c r="B274" t="s">
        <v>1765</v>
      </c>
      <c r="C274">
        <v>1.5E-3</v>
      </c>
      <c r="D274">
        <v>3.61E-2</v>
      </c>
      <c r="E274">
        <v>1504520</v>
      </c>
      <c r="F274">
        <v>361388</v>
      </c>
      <c r="G274" t="s">
        <v>1770</v>
      </c>
      <c r="H274">
        <v>999770000</v>
      </c>
      <c r="I274">
        <f>Cleaned_Data[[#This Row],[Volume (24h) USD]]/Cleaned_Data[[#This Row],[Circulating_Supply($)]]</f>
        <v>3.6147113836182323E-4</v>
      </c>
      <c r="J274" s="2">
        <f>RANK(Cleaned_Data[[#This Row],[Market Cap]],Cleaned_Data[Market Cap],0)</f>
        <v>273</v>
      </c>
      <c r="K274" t="str">
        <f t="shared" si="4"/>
        <v>0-0.5</v>
      </c>
    </row>
    <row r="275" spans="1:11" x14ac:dyDescent="0.3">
      <c r="A275" t="s">
        <v>1771</v>
      </c>
      <c r="B275" t="s">
        <v>1772</v>
      </c>
      <c r="C275">
        <v>109.7</v>
      </c>
      <c r="D275">
        <v>1E-4</v>
      </c>
      <c r="E275">
        <v>1499039</v>
      </c>
      <c r="F275">
        <v>2089185</v>
      </c>
      <c r="G275" t="s">
        <v>1776</v>
      </c>
      <c r="H275">
        <v>13660</v>
      </c>
      <c r="I275">
        <f>Cleaned_Data[[#This Row],[Volume (24h) USD]]/Cleaned_Data[[#This Row],[Circulating_Supply($)]]</f>
        <v>152.9418008784773</v>
      </c>
      <c r="J275" s="2">
        <f>RANK(Cleaned_Data[[#This Row],[Market Cap]],Cleaned_Data[Market Cap],0)</f>
        <v>274</v>
      </c>
      <c r="K275" t="str">
        <f t="shared" si="4"/>
        <v>100-10000</v>
      </c>
    </row>
    <row r="276" spans="1:11" x14ac:dyDescent="0.3">
      <c r="A276" t="s">
        <v>1777</v>
      </c>
      <c r="B276" t="s">
        <v>1778</v>
      </c>
      <c r="C276">
        <v>4.0000000000000002E-4</v>
      </c>
      <c r="D276">
        <v>8.9999999999999998E-4</v>
      </c>
      <c r="E276">
        <v>1495395</v>
      </c>
      <c r="F276">
        <v>95798</v>
      </c>
      <c r="G276" t="s">
        <v>1782</v>
      </c>
      <c r="H276">
        <v>3560000000</v>
      </c>
      <c r="I276">
        <f>Cleaned_Data[[#This Row],[Volume (24h) USD]]/Cleaned_Data[[#This Row],[Circulating_Supply($)]]</f>
        <v>2.6909550561797754E-5</v>
      </c>
      <c r="J276" s="2">
        <f>RANK(Cleaned_Data[[#This Row],[Market Cap]],Cleaned_Data[Market Cap],0)</f>
        <v>275</v>
      </c>
      <c r="K276" t="str">
        <f t="shared" si="4"/>
        <v>0-0.5</v>
      </c>
    </row>
    <row r="277" spans="1:11" x14ac:dyDescent="0.3">
      <c r="A277" t="s">
        <v>1783</v>
      </c>
      <c r="B277" t="s">
        <v>1784</v>
      </c>
      <c r="C277">
        <v>2E-3</v>
      </c>
      <c r="D277">
        <v>1.1999999999999999E-3</v>
      </c>
      <c r="E277">
        <v>1493648</v>
      </c>
      <c r="F277">
        <v>116394</v>
      </c>
      <c r="G277" t="s">
        <v>1788</v>
      </c>
      <c r="H277">
        <v>731580000</v>
      </c>
      <c r="I277">
        <f>Cleaned_Data[[#This Row],[Volume (24h) USD]]/Cleaned_Data[[#This Row],[Circulating_Supply($)]]</f>
        <v>1.5909948331009597E-4</v>
      </c>
      <c r="J277" s="2">
        <f>RANK(Cleaned_Data[[#This Row],[Market Cap]],Cleaned_Data[Market Cap],0)</f>
        <v>276</v>
      </c>
      <c r="K277" t="str">
        <f t="shared" si="4"/>
        <v>0-0.5</v>
      </c>
    </row>
    <row r="278" spans="1:11" x14ac:dyDescent="0.3">
      <c r="A278" t="s">
        <v>1794</v>
      </c>
      <c r="B278" t="s">
        <v>1795</v>
      </c>
      <c r="C278">
        <v>2.2499999999999999E-2</v>
      </c>
      <c r="D278">
        <v>3.3E-3</v>
      </c>
      <c r="E278">
        <v>1486724</v>
      </c>
      <c r="F278">
        <v>289348</v>
      </c>
      <c r="G278" t="s">
        <v>1799</v>
      </c>
      <c r="H278">
        <v>65970000</v>
      </c>
      <c r="I278">
        <f>Cleaned_Data[[#This Row],[Volume (24h) USD]]/Cleaned_Data[[#This Row],[Circulating_Supply($)]]</f>
        <v>4.3860542670911022E-3</v>
      </c>
      <c r="J278" s="2">
        <f>RANK(Cleaned_Data[[#This Row],[Market Cap]],Cleaned_Data[Market Cap],0)</f>
        <v>277</v>
      </c>
      <c r="K278" t="str">
        <f t="shared" si="4"/>
        <v>0-0.5</v>
      </c>
    </row>
    <row r="279" spans="1:11" x14ac:dyDescent="0.3">
      <c r="A279" t="s">
        <v>1800</v>
      </c>
      <c r="B279" t="s">
        <v>1801</v>
      </c>
      <c r="C279">
        <v>3.8999999999999998E-3</v>
      </c>
      <c r="D279">
        <v>2.9999999999999997E-4</v>
      </c>
      <c r="E279">
        <v>1478116</v>
      </c>
      <c r="F279">
        <v>56269</v>
      </c>
      <c r="G279" t="s">
        <v>1805</v>
      </c>
      <c r="H279">
        <v>382950000</v>
      </c>
      <c r="I279">
        <f>Cleaned_Data[[#This Row],[Volume (24h) USD]]/Cleaned_Data[[#This Row],[Circulating_Supply($)]]</f>
        <v>1.4693563128345737E-4</v>
      </c>
      <c r="J279" s="2">
        <f>RANK(Cleaned_Data[[#This Row],[Market Cap]],Cleaned_Data[Market Cap],0)</f>
        <v>278</v>
      </c>
      <c r="K279" t="str">
        <f t="shared" si="4"/>
        <v>0-0.5</v>
      </c>
    </row>
    <row r="280" spans="1:11" x14ac:dyDescent="0.3">
      <c r="A280" t="s">
        <v>1806</v>
      </c>
      <c r="B280" t="s">
        <v>1807</v>
      </c>
      <c r="C280">
        <v>266.62</v>
      </c>
      <c r="D280">
        <v>2.0000000000000001E-4</v>
      </c>
      <c r="E280">
        <v>1473598</v>
      </c>
      <c r="F280">
        <v>7192953</v>
      </c>
      <c r="G280" t="s">
        <v>1811</v>
      </c>
      <c r="H280">
        <v>5520</v>
      </c>
      <c r="I280">
        <f>Cleaned_Data[[#This Row],[Volume (24h) USD]]/Cleaned_Data[[#This Row],[Circulating_Supply($)]]</f>
        <v>1303.0711956521739</v>
      </c>
      <c r="J280" s="2">
        <f>RANK(Cleaned_Data[[#This Row],[Market Cap]],Cleaned_Data[Market Cap],0)</f>
        <v>279</v>
      </c>
      <c r="K280" t="str">
        <f t="shared" si="4"/>
        <v>100-10000</v>
      </c>
    </row>
    <row r="281" spans="1:11" x14ac:dyDescent="0.3">
      <c r="A281" t="s">
        <v>1812</v>
      </c>
      <c r="B281" t="s">
        <v>1813</v>
      </c>
      <c r="C281">
        <v>1.1999999999999999E-3</v>
      </c>
      <c r="D281">
        <v>8.0000000000000004E-4</v>
      </c>
      <c r="E281">
        <v>1214638</v>
      </c>
      <c r="F281">
        <v>236902</v>
      </c>
      <c r="G281" t="s">
        <v>1817</v>
      </c>
      <c r="H281">
        <v>999680000</v>
      </c>
      <c r="I281">
        <f>Cleaned_Data[[#This Row],[Volume (24h) USD]]/Cleaned_Data[[#This Row],[Circulating_Supply($)]]</f>
        <v>2.369778329065301E-4</v>
      </c>
      <c r="J281" s="2">
        <f>RANK(Cleaned_Data[[#This Row],[Market Cap]],Cleaned_Data[Market Cap],0)</f>
        <v>280</v>
      </c>
      <c r="K281" t="str">
        <f t="shared" si="4"/>
        <v>0-0.5</v>
      </c>
    </row>
    <row r="282" spans="1:11" x14ac:dyDescent="0.3">
      <c r="A282" t="s">
        <v>1818</v>
      </c>
      <c r="B282" t="s">
        <v>1819</v>
      </c>
      <c r="C282">
        <v>1.21</v>
      </c>
      <c r="D282">
        <v>2.98E-2</v>
      </c>
      <c r="E282">
        <v>1212089</v>
      </c>
      <c r="F282">
        <v>182315</v>
      </c>
      <c r="G282" t="s">
        <v>1824</v>
      </c>
      <c r="H282">
        <v>1000000</v>
      </c>
      <c r="I282">
        <f>Cleaned_Data[[#This Row],[Volume (24h) USD]]/Cleaned_Data[[#This Row],[Circulating_Supply($)]]</f>
        <v>0.182315</v>
      </c>
      <c r="J282" s="2">
        <f>RANK(Cleaned_Data[[#This Row],[Market Cap]],Cleaned_Data[Market Cap],0)</f>
        <v>281</v>
      </c>
      <c r="K282" t="str">
        <f t="shared" si="4"/>
        <v>1-2</v>
      </c>
    </row>
    <row r="283" spans="1:11" x14ac:dyDescent="0.3">
      <c r="A283" t="s">
        <v>1825</v>
      </c>
      <c r="B283" t="s">
        <v>1826</v>
      </c>
      <c r="C283">
        <v>1E-4</v>
      </c>
      <c r="D283">
        <v>3.5999999999999999E-3</v>
      </c>
      <c r="E283">
        <v>1207343</v>
      </c>
      <c r="F283">
        <v>143372</v>
      </c>
      <c r="G283" t="s">
        <v>1830</v>
      </c>
      <c r="H283">
        <v>17420000000</v>
      </c>
      <c r="I283">
        <f>Cleaned_Data[[#This Row],[Volume (24h) USD]]/Cleaned_Data[[#This Row],[Circulating_Supply($)]]</f>
        <v>8.2303099885189432E-6</v>
      </c>
      <c r="J283" s="2">
        <f>RANK(Cleaned_Data[[#This Row],[Market Cap]],Cleaned_Data[Market Cap],0)</f>
        <v>282</v>
      </c>
      <c r="K283" t="str">
        <f t="shared" si="4"/>
        <v>0-0.5</v>
      </c>
    </row>
    <row r="284" spans="1:11" x14ac:dyDescent="0.3">
      <c r="A284" t="s">
        <v>1831</v>
      </c>
      <c r="B284" t="s">
        <v>1832</v>
      </c>
      <c r="C284">
        <v>6.0199999999999997E-2</v>
      </c>
      <c r="D284">
        <v>2.3900000000000001E-2</v>
      </c>
      <c r="E284">
        <v>1203839</v>
      </c>
      <c r="F284">
        <v>1055504</v>
      </c>
      <c r="G284" t="s">
        <v>1837</v>
      </c>
      <c r="H284">
        <v>20000000</v>
      </c>
      <c r="I284">
        <f>Cleaned_Data[[#This Row],[Volume (24h) USD]]/Cleaned_Data[[#This Row],[Circulating_Supply($)]]</f>
        <v>5.2775200000000001E-2</v>
      </c>
      <c r="J284" s="2">
        <f>RANK(Cleaned_Data[[#This Row],[Market Cap]],Cleaned_Data[Market Cap],0)</f>
        <v>283</v>
      </c>
      <c r="K284" t="str">
        <f t="shared" si="4"/>
        <v>0-0.5</v>
      </c>
    </row>
    <row r="285" spans="1:11" x14ac:dyDescent="0.3">
      <c r="A285" t="s">
        <v>1838</v>
      </c>
      <c r="B285" t="s">
        <v>1838</v>
      </c>
      <c r="C285">
        <v>1.1999999999999999E-3</v>
      </c>
      <c r="D285">
        <v>5.1000000000000004E-3</v>
      </c>
      <c r="E285">
        <v>1203331</v>
      </c>
      <c r="F285">
        <v>809492</v>
      </c>
      <c r="G285" t="s">
        <v>691</v>
      </c>
      <c r="H285">
        <v>1000000000</v>
      </c>
      <c r="I285">
        <f>Cleaned_Data[[#This Row],[Volume (24h) USD]]/Cleaned_Data[[#This Row],[Circulating_Supply($)]]</f>
        <v>8.0949199999999998E-4</v>
      </c>
      <c r="J285" s="2">
        <f>RANK(Cleaned_Data[[#This Row],[Market Cap]],Cleaned_Data[Market Cap],0)</f>
        <v>284</v>
      </c>
      <c r="K285" t="str">
        <f t="shared" si="4"/>
        <v>0-0.5</v>
      </c>
    </row>
    <row r="286" spans="1:11" x14ac:dyDescent="0.3">
      <c r="A286" t="s">
        <v>1842</v>
      </c>
      <c r="B286" t="s">
        <v>1843</v>
      </c>
      <c r="C286">
        <v>5.0000000000000001E-4</v>
      </c>
      <c r="D286">
        <v>2.2000000000000001E-3</v>
      </c>
      <c r="E286">
        <v>1203193</v>
      </c>
      <c r="F286">
        <v>63501</v>
      </c>
      <c r="G286" t="s">
        <v>985</v>
      </c>
      <c r="H286">
        <v>2500000000</v>
      </c>
      <c r="I286">
        <f>Cleaned_Data[[#This Row],[Volume (24h) USD]]/Cleaned_Data[[#This Row],[Circulating_Supply($)]]</f>
        <v>2.5400400000000002E-5</v>
      </c>
      <c r="J286" s="2">
        <f>RANK(Cleaned_Data[[#This Row],[Market Cap]],Cleaned_Data[Market Cap],0)</f>
        <v>285</v>
      </c>
      <c r="K286" t="str">
        <f t="shared" si="4"/>
        <v>0-0.5</v>
      </c>
    </row>
    <row r="287" spans="1:11" x14ac:dyDescent="0.3">
      <c r="A287" t="s">
        <v>1847</v>
      </c>
      <c r="B287" t="s">
        <v>1848</v>
      </c>
      <c r="C287">
        <v>1.1999999999999999E-3</v>
      </c>
      <c r="D287">
        <v>2.0999999999999999E-3</v>
      </c>
      <c r="E287">
        <v>1200691</v>
      </c>
      <c r="F287">
        <v>56307</v>
      </c>
      <c r="G287" t="s">
        <v>691</v>
      </c>
      <c r="H287">
        <v>1000000000</v>
      </c>
      <c r="I287">
        <f>Cleaned_Data[[#This Row],[Volume (24h) USD]]/Cleaned_Data[[#This Row],[Circulating_Supply($)]]</f>
        <v>5.6307000000000001E-5</v>
      </c>
      <c r="J287" s="2">
        <f>RANK(Cleaned_Data[[#This Row],[Market Cap]],Cleaned_Data[Market Cap],0)</f>
        <v>286</v>
      </c>
      <c r="K287" t="str">
        <f t="shared" si="4"/>
        <v>0-0.5</v>
      </c>
    </row>
    <row r="288" spans="1:11" x14ac:dyDescent="0.3">
      <c r="A288" t="s">
        <v>1852</v>
      </c>
      <c r="B288" t="s">
        <v>1853</v>
      </c>
      <c r="C288">
        <v>164.46</v>
      </c>
      <c r="D288">
        <v>5.0000000000000001E-4</v>
      </c>
      <c r="E288">
        <v>1199377</v>
      </c>
      <c r="F288">
        <v>1674639</v>
      </c>
      <c r="G288" t="s">
        <v>1857</v>
      </c>
      <c r="H288">
        <v>7290</v>
      </c>
      <c r="I288">
        <f>Cleaned_Data[[#This Row],[Volume (24h) USD]]/Cleaned_Data[[#This Row],[Circulating_Supply($)]]</f>
        <v>229.71728395061729</v>
      </c>
      <c r="J288" s="2">
        <f>RANK(Cleaned_Data[[#This Row],[Market Cap]],Cleaned_Data[Market Cap],0)</f>
        <v>287</v>
      </c>
      <c r="K288" t="str">
        <f t="shared" si="4"/>
        <v>100-10000</v>
      </c>
    </row>
    <row r="289" spans="1:11" x14ac:dyDescent="0.3">
      <c r="A289" t="s">
        <v>1858</v>
      </c>
      <c r="B289" t="s">
        <v>1859</v>
      </c>
      <c r="C289">
        <v>6.7000000000000002E-3</v>
      </c>
      <c r="D289">
        <v>1.46E-2</v>
      </c>
      <c r="E289">
        <v>1197525</v>
      </c>
      <c r="F289">
        <v>44783</v>
      </c>
      <c r="G289" t="s">
        <v>1864</v>
      </c>
      <c r="H289">
        <v>179000000</v>
      </c>
      <c r="I289">
        <f>Cleaned_Data[[#This Row],[Volume (24h) USD]]/Cleaned_Data[[#This Row],[Circulating_Supply($)]]</f>
        <v>2.5018435754189944E-4</v>
      </c>
      <c r="J289" s="2">
        <f>RANK(Cleaned_Data[[#This Row],[Market Cap]],Cleaned_Data[Market Cap],0)</f>
        <v>288</v>
      </c>
      <c r="K289" t="str">
        <f t="shared" si="4"/>
        <v>0-0.5</v>
      </c>
    </row>
    <row r="290" spans="1:11" x14ac:dyDescent="0.3">
      <c r="A290" t="s">
        <v>1865</v>
      </c>
      <c r="B290" t="s">
        <v>1866</v>
      </c>
      <c r="C290">
        <v>1.6999999999999999E-3</v>
      </c>
      <c r="D290">
        <v>8.6E-3</v>
      </c>
      <c r="E290">
        <v>1196596</v>
      </c>
      <c r="F290">
        <v>3716</v>
      </c>
      <c r="G290" t="s">
        <v>1871</v>
      </c>
      <c r="H290">
        <v>712760000</v>
      </c>
      <c r="I290">
        <f>Cleaned_Data[[#This Row],[Volume (24h) USD]]/Cleaned_Data[[#This Row],[Circulating_Supply($)]]</f>
        <v>5.2135361131376617E-6</v>
      </c>
      <c r="J290" s="2">
        <f>RANK(Cleaned_Data[[#This Row],[Market Cap]],Cleaned_Data[Market Cap],0)</f>
        <v>289</v>
      </c>
      <c r="K290" t="str">
        <f t="shared" si="4"/>
        <v>0-0.5</v>
      </c>
    </row>
    <row r="291" spans="1:11" x14ac:dyDescent="0.3">
      <c r="A291" t="s">
        <v>1872</v>
      </c>
      <c r="B291" t="s">
        <v>1873</v>
      </c>
      <c r="C291">
        <v>38.83</v>
      </c>
      <c r="D291">
        <v>2.9999999999999997E-4</v>
      </c>
      <c r="E291">
        <v>1193229</v>
      </c>
      <c r="F291">
        <v>252564</v>
      </c>
      <c r="G291" t="s">
        <v>1877</v>
      </c>
      <c r="H291">
        <v>30720</v>
      </c>
      <c r="I291">
        <f>Cleaned_Data[[#This Row],[Volume (24h) USD]]/Cleaned_Data[[#This Row],[Circulating_Supply($)]]</f>
        <v>8.2214843749999993</v>
      </c>
      <c r="J291" s="2">
        <f>RANK(Cleaned_Data[[#This Row],[Market Cap]],Cleaned_Data[Market Cap],0)</f>
        <v>290</v>
      </c>
      <c r="K291" t="str">
        <f t="shared" si="4"/>
        <v>10-100</v>
      </c>
    </row>
    <row r="292" spans="1:11" x14ac:dyDescent="0.3">
      <c r="A292" t="s">
        <v>1878</v>
      </c>
      <c r="B292" t="s">
        <v>1879</v>
      </c>
      <c r="C292">
        <v>2.0000000000000001E-4</v>
      </c>
      <c r="D292">
        <v>1E-3</v>
      </c>
      <c r="E292">
        <v>1187200</v>
      </c>
      <c r="F292">
        <v>18924</v>
      </c>
      <c r="G292" t="s">
        <v>1883</v>
      </c>
      <c r="H292">
        <v>5420000000</v>
      </c>
      <c r="I292">
        <f>Cleaned_Data[[#This Row],[Volume (24h) USD]]/Cleaned_Data[[#This Row],[Circulating_Supply($)]]</f>
        <v>3.4915129151291512E-6</v>
      </c>
      <c r="J292" s="2">
        <f>RANK(Cleaned_Data[[#This Row],[Market Cap]],Cleaned_Data[Market Cap],0)</f>
        <v>291</v>
      </c>
      <c r="K292" t="str">
        <f t="shared" si="4"/>
        <v>0-0.5</v>
      </c>
    </row>
    <row r="293" spans="1:11" x14ac:dyDescent="0.3">
      <c r="A293" t="s">
        <v>1884</v>
      </c>
      <c r="B293" t="s">
        <v>1885</v>
      </c>
      <c r="C293">
        <v>1.2999999999999999E-2</v>
      </c>
      <c r="D293">
        <v>8.9999999999999998E-4</v>
      </c>
      <c r="E293">
        <v>1185819</v>
      </c>
      <c r="F293">
        <v>1864957</v>
      </c>
      <c r="G293" t="s">
        <v>1889</v>
      </c>
      <c r="H293">
        <v>91220000</v>
      </c>
      <c r="I293">
        <f>Cleaned_Data[[#This Row],[Volume (24h) USD]]/Cleaned_Data[[#This Row],[Circulating_Supply($)]]</f>
        <v>2.0444606445954836E-2</v>
      </c>
      <c r="J293" s="2">
        <f>RANK(Cleaned_Data[[#This Row],[Market Cap]],Cleaned_Data[Market Cap],0)</f>
        <v>292</v>
      </c>
      <c r="K293" t="str">
        <f t="shared" si="4"/>
        <v>0-0.5</v>
      </c>
    </row>
    <row r="294" spans="1:11" x14ac:dyDescent="0.3">
      <c r="A294" t="s">
        <v>1890</v>
      </c>
      <c r="B294" t="s">
        <v>1891</v>
      </c>
      <c r="C294">
        <v>4.1999999999999997E-3</v>
      </c>
      <c r="D294">
        <v>1E-3</v>
      </c>
      <c r="E294">
        <v>1184980</v>
      </c>
      <c r="F294">
        <v>20173</v>
      </c>
      <c r="G294" t="s">
        <v>1895</v>
      </c>
      <c r="H294">
        <v>284000000</v>
      </c>
      <c r="I294">
        <f>Cleaned_Data[[#This Row],[Volume (24h) USD]]/Cleaned_Data[[#This Row],[Circulating_Supply($)]]</f>
        <v>7.1031690140845071E-5</v>
      </c>
      <c r="J294" s="2">
        <f>RANK(Cleaned_Data[[#This Row],[Market Cap]],Cleaned_Data[Market Cap],0)</f>
        <v>293</v>
      </c>
      <c r="K294" t="str">
        <f t="shared" si="4"/>
        <v>0-0.5</v>
      </c>
    </row>
    <row r="295" spans="1:11" x14ac:dyDescent="0.3">
      <c r="A295" t="s">
        <v>1896</v>
      </c>
      <c r="B295" t="s">
        <v>1897</v>
      </c>
      <c r="C295">
        <v>1.9199999999999998E-2</v>
      </c>
      <c r="D295">
        <v>6.8999999999999999E-3</v>
      </c>
      <c r="E295">
        <v>1180240</v>
      </c>
      <c r="F295">
        <v>84833</v>
      </c>
      <c r="G295" t="s">
        <v>1901</v>
      </c>
      <c r="H295">
        <v>61470000</v>
      </c>
      <c r="I295">
        <f>Cleaned_Data[[#This Row],[Volume (24h) USD]]/Cleaned_Data[[#This Row],[Circulating_Supply($)]]</f>
        <v>1.3800715796323409E-3</v>
      </c>
      <c r="J295" s="2">
        <f>RANK(Cleaned_Data[[#This Row],[Market Cap]],Cleaned_Data[Market Cap],0)</f>
        <v>294</v>
      </c>
      <c r="K295" t="str">
        <f t="shared" si="4"/>
        <v>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0FFAA-3CCE-4F2E-8119-8298756A96CD}">
  <dimension ref="A3:AF228"/>
  <sheetViews>
    <sheetView topLeftCell="H1" zoomScale="47" zoomScaleNormal="381" workbookViewId="0">
      <selection activeCell="U41" sqref="U41"/>
    </sheetView>
  </sheetViews>
  <sheetFormatPr defaultRowHeight="14.4" x14ac:dyDescent="0.3"/>
  <cols>
    <col min="1" max="1" width="20.44140625" bestFit="1" customWidth="1"/>
    <col min="2" max="2" width="15.44140625" bestFit="1" customWidth="1"/>
    <col min="3" max="3" width="30.33203125" bestFit="1" customWidth="1"/>
    <col min="15" max="15" width="27.44140625" bestFit="1" customWidth="1"/>
    <col min="16" max="16" width="26.109375" bestFit="1" customWidth="1"/>
    <col min="21" max="22" width="38.21875" bestFit="1" customWidth="1"/>
    <col min="24" max="24" width="11.33203125" customWidth="1"/>
    <col min="25" max="26" width="14.88671875" bestFit="1" customWidth="1"/>
    <col min="31" max="31" width="41.6640625" bestFit="1" customWidth="1"/>
    <col min="32" max="32" width="25.6640625" bestFit="1" customWidth="1"/>
    <col min="33" max="33" width="8.88671875" customWidth="1"/>
  </cols>
  <sheetData>
    <row r="3" spans="1:32" x14ac:dyDescent="0.3">
      <c r="A3" s="3" t="s">
        <v>0</v>
      </c>
      <c r="B3" t="s">
        <v>18284</v>
      </c>
    </row>
    <row r="4" spans="1:32" x14ac:dyDescent="0.3">
      <c r="A4" s="4" t="s">
        <v>128</v>
      </c>
      <c r="B4">
        <v>0.49830000000000002</v>
      </c>
    </row>
    <row r="5" spans="1:32" x14ac:dyDescent="0.3">
      <c r="A5" s="4" t="s">
        <v>850</v>
      </c>
      <c r="B5">
        <v>0.43240000000000001</v>
      </c>
      <c r="X5" t="s">
        <v>18292</v>
      </c>
      <c r="Z5">
        <f>GETPIVOTDATA("Market Cap",$AE$6)</f>
        <v>67218286578</v>
      </c>
    </row>
    <row r="6" spans="1:32" x14ac:dyDescent="0.3">
      <c r="A6" s="4" t="s">
        <v>107</v>
      </c>
      <c r="B6">
        <v>0.39</v>
      </c>
      <c r="AE6" s="3" t="s">
        <v>0</v>
      </c>
      <c r="AF6" t="s">
        <v>18290</v>
      </c>
    </row>
    <row r="7" spans="1:32" x14ac:dyDescent="0.3">
      <c r="A7" s="4" t="s">
        <v>1682</v>
      </c>
      <c r="B7">
        <v>0.3775</v>
      </c>
      <c r="X7" t="str">
        <f>AE7</f>
        <v>TRON</v>
      </c>
      <c r="Y7">
        <f>AF7</f>
        <v>27209546349</v>
      </c>
      <c r="AE7" s="4" t="s">
        <v>59</v>
      </c>
      <c r="AF7">
        <v>27209546349</v>
      </c>
    </row>
    <row r="8" spans="1:32" x14ac:dyDescent="0.3">
      <c r="A8" s="4" t="s">
        <v>175</v>
      </c>
      <c r="B8">
        <v>0.37259999999999999</v>
      </c>
      <c r="X8" t="str">
        <f t="shared" ref="X8:X12" si="0">AE8</f>
        <v>Dogecoin</v>
      </c>
      <c r="Y8">
        <f t="shared" ref="Y8:Y11" si="1">AF8</f>
        <v>18030844694</v>
      </c>
      <c r="AE8" s="4" t="s">
        <v>66</v>
      </c>
      <c r="AF8">
        <v>18030844694</v>
      </c>
    </row>
    <row r="9" spans="1:32" x14ac:dyDescent="0.3">
      <c r="A9" s="4" t="s">
        <v>1632</v>
      </c>
      <c r="B9">
        <v>0.36180000000000001</v>
      </c>
      <c r="X9" t="str">
        <f t="shared" si="0"/>
        <v>Cardano</v>
      </c>
      <c r="Y9">
        <f t="shared" si="1"/>
        <v>10707656662</v>
      </c>
      <c r="AE9" s="4" t="s">
        <v>73</v>
      </c>
      <c r="AF9">
        <v>10707656662</v>
      </c>
    </row>
    <row r="10" spans="1:32" x14ac:dyDescent="0.3">
      <c r="A10" s="4" t="s">
        <v>374</v>
      </c>
      <c r="B10">
        <v>0.35220000000000001</v>
      </c>
      <c r="X10" t="str">
        <f t="shared" si="0"/>
        <v>Rain</v>
      </c>
      <c r="Y10">
        <f t="shared" si="1"/>
        <v>3233457315</v>
      </c>
      <c r="AE10" s="4" t="s">
        <v>209</v>
      </c>
      <c r="AF10">
        <v>3233457315</v>
      </c>
    </row>
    <row r="11" spans="1:32" x14ac:dyDescent="0.3">
      <c r="A11" s="4" t="s">
        <v>402</v>
      </c>
      <c r="B11">
        <v>0.34799999999999998</v>
      </c>
      <c r="X11" t="str">
        <f t="shared" si="0"/>
        <v>Beldex</v>
      </c>
      <c r="Y11">
        <f t="shared" si="1"/>
        <v>589997944</v>
      </c>
      <c r="AE11" s="4" t="s">
        <v>240</v>
      </c>
      <c r="AF11">
        <v>589997944</v>
      </c>
    </row>
    <row r="12" spans="1:32" x14ac:dyDescent="0.3">
      <c r="A12" s="4" t="s">
        <v>553</v>
      </c>
      <c r="B12">
        <v>0.34449999999999997</v>
      </c>
      <c r="X12" t="str">
        <f t="shared" si="0"/>
        <v>c8ntinuum</v>
      </c>
      <c r="Y12">
        <f>AF12</f>
        <v>460810289</v>
      </c>
      <c r="AE12" s="4" t="s">
        <v>267</v>
      </c>
      <c r="AF12">
        <v>460810289</v>
      </c>
    </row>
    <row r="13" spans="1:32" x14ac:dyDescent="0.3">
      <c r="A13" s="4" t="s">
        <v>1336</v>
      </c>
      <c r="B13">
        <v>0.30969999999999998</v>
      </c>
      <c r="X13" t="s">
        <v>18291</v>
      </c>
      <c r="Y13">
        <f>Z5-SUM(Y7:Y12)</f>
        <v>6985973325</v>
      </c>
      <c r="AE13" s="4" t="s">
        <v>107</v>
      </c>
      <c r="AF13">
        <v>357626461</v>
      </c>
    </row>
    <row r="14" spans="1:32" x14ac:dyDescent="0.3">
      <c r="A14" s="4" t="s">
        <v>18283</v>
      </c>
      <c r="B14">
        <v>3.7869999999999995</v>
      </c>
      <c r="AE14" s="4" t="s">
        <v>114</v>
      </c>
      <c r="AF14">
        <v>355213012</v>
      </c>
    </row>
    <row r="15" spans="1:32" x14ac:dyDescent="0.3">
      <c r="AE15" s="4" t="s">
        <v>121</v>
      </c>
      <c r="AF15">
        <v>353461784</v>
      </c>
    </row>
    <row r="16" spans="1:32" x14ac:dyDescent="0.3">
      <c r="AE16" s="4" t="s">
        <v>128</v>
      </c>
      <c r="AF16">
        <v>348544163</v>
      </c>
    </row>
    <row r="17" spans="1:32" x14ac:dyDescent="0.3">
      <c r="AE17" s="4" t="s">
        <v>134</v>
      </c>
      <c r="AF17">
        <v>338276502</v>
      </c>
    </row>
    <row r="18" spans="1:32" x14ac:dyDescent="0.3">
      <c r="AE18" s="4" t="s">
        <v>141</v>
      </c>
      <c r="AF18">
        <v>337158930</v>
      </c>
    </row>
    <row r="19" spans="1:32" x14ac:dyDescent="0.3">
      <c r="AE19" s="4" t="s">
        <v>147</v>
      </c>
      <c r="AF19">
        <v>336412048</v>
      </c>
    </row>
    <row r="20" spans="1:32" x14ac:dyDescent="0.3">
      <c r="AE20" s="4" t="s">
        <v>154</v>
      </c>
      <c r="AF20">
        <v>333414314</v>
      </c>
    </row>
    <row r="21" spans="1:32" x14ac:dyDescent="0.3">
      <c r="A21" s="3" t="s">
        <v>0</v>
      </c>
      <c r="B21" t="s">
        <v>18285</v>
      </c>
      <c r="AE21" s="4" t="s">
        <v>161</v>
      </c>
      <c r="AF21">
        <v>327345719</v>
      </c>
    </row>
    <row r="22" spans="1:32" x14ac:dyDescent="0.3">
      <c r="A22" s="4" t="s">
        <v>1399</v>
      </c>
      <c r="B22">
        <v>6.5299999999999997E-2</v>
      </c>
      <c r="AE22" s="4" t="s">
        <v>168</v>
      </c>
      <c r="AF22">
        <v>326057965</v>
      </c>
    </row>
    <row r="23" spans="1:32" x14ac:dyDescent="0.3">
      <c r="A23" s="4" t="s">
        <v>546</v>
      </c>
      <c r="B23">
        <v>5.0299999999999997E-2</v>
      </c>
      <c r="AE23" s="4" t="s">
        <v>175</v>
      </c>
      <c r="AF23">
        <v>325625580</v>
      </c>
    </row>
    <row r="24" spans="1:32" x14ac:dyDescent="0.3">
      <c r="A24" s="4" t="s">
        <v>1607</v>
      </c>
      <c r="B24">
        <v>0.1202</v>
      </c>
      <c r="AE24" s="4" t="s">
        <v>287</v>
      </c>
      <c r="AF24">
        <v>224178936</v>
      </c>
    </row>
    <row r="25" spans="1:32" x14ac:dyDescent="0.3">
      <c r="A25" s="4" t="s">
        <v>1595</v>
      </c>
      <c r="B25">
        <v>0.1196</v>
      </c>
      <c r="AE25" s="4" t="s">
        <v>308</v>
      </c>
      <c r="AF25">
        <v>72224200</v>
      </c>
    </row>
    <row r="26" spans="1:32" x14ac:dyDescent="0.3">
      <c r="A26" s="4" t="s">
        <v>1735</v>
      </c>
      <c r="B26">
        <v>0.28399999999999997</v>
      </c>
      <c r="AE26" s="4" t="s">
        <v>320</v>
      </c>
      <c r="AF26">
        <v>70850527</v>
      </c>
    </row>
    <row r="27" spans="1:32" x14ac:dyDescent="0.3">
      <c r="A27" s="4" t="s">
        <v>652</v>
      </c>
      <c r="B27">
        <v>6.8400000000000002E-2</v>
      </c>
      <c r="AE27" s="4" t="s">
        <v>327</v>
      </c>
      <c r="AF27">
        <v>70579202</v>
      </c>
    </row>
    <row r="28" spans="1:32" x14ac:dyDescent="0.3">
      <c r="A28" s="4" t="s">
        <v>1237</v>
      </c>
      <c r="B28">
        <v>9.1300000000000006E-2</v>
      </c>
      <c r="AE28" s="4" t="s">
        <v>353</v>
      </c>
      <c r="AF28">
        <v>69799746</v>
      </c>
    </row>
    <row r="29" spans="1:32" x14ac:dyDescent="0.3">
      <c r="A29" s="4" t="s">
        <v>209</v>
      </c>
      <c r="B29">
        <v>8.2500000000000004E-2</v>
      </c>
      <c r="AE29" s="4" t="s">
        <v>360</v>
      </c>
      <c r="AF29">
        <v>69227990</v>
      </c>
    </row>
    <row r="30" spans="1:32" x14ac:dyDescent="0.3">
      <c r="A30" s="4" t="s">
        <v>1500</v>
      </c>
      <c r="B30">
        <v>5.0900000000000001E-2</v>
      </c>
      <c r="AE30" s="4" t="s">
        <v>367</v>
      </c>
      <c r="AF30">
        <v>69207940</v>
      </c>
    </row>
    <row r="31" spans="1:32" x14ac:dyDescent="0.3">
      <c r="A31" s="4" t="s">
        <v>1336</v>
      </c>
      <c r="B31">
        <v>7.0699999999999999E-2</v>
      </c>
      <c r="AE31" s="4" t="s">
        <v>374</v>
      </c>
      <c r="AF31">
        <v>68690236</v>
      </c>
    </row>
    <row r="32" spans="1:32" x14ac:dyDescent="0.3">
      <c r="A32" s="4" t="s">
        <v>18283</v>
      </c>
      <c r="B32">
        <v>1.0032000000000001</v>
      </c>
      <c r="AE32" s="4" t="s">
        <v>388</v>
      </c>
      <c r="AF32">
        <v>68467389</v>
      </c>
    </row>
    <row r="33" spans="1:32" x14ac:dyDescent="0.3">
      <c r="AE33" s="4" t="s">
        <v>395</v>
      </c>
      <c r="AF33">
        <v>68300453</v>
      </c>
    </row>
    <row r="34" spans="1:32" x14ac:dyDescent="0.3">
      <c r="AE34" s="4" t="s">
        <v>402</v>
      </c>
      <c r="AF34">
        <v>68294996</v>
      </c>
    </row>
    <row r="35" spans="1:32" x14ac:dyDescent="0.3">
      <c r="AE35" s="4" t="s">
        <v>409</v>
      </c>
      <c r="AF35">
        <v>49246411</v>
      </c>
    </row>
    <row r="36" spans="1:32" x14ac:dyDescent="0.3">
      <c r="Q36" t="s">
        <v>18293</v>
      </c>
      <c r="AE36" s="4" t="s">
        <v>414</v>
      </c>
      <c r="AF36">
        <v>49149473</v>
      </c>
    </row>
    <row r="37" spans="1:32" x14ac:dyDescent="0.3">
      <c r="AE37" s="4" t="s">
        <v>420</v>
      </c>
      <c r="AF37">
        <v>48760107</v>
      </c>
    </row>
    <row r="38" spans="1:32" x14ac:dyDescent="0.3">
      <c r="Q38" t="s">
        <v>18294</v>
      </c>
      <c r="U38" t="s">
        <v>18290</v>
      </c>
      <c r="AE38" s="4" t="s">
        <v>427</v>
      </c>
      <c r="AF38">
        <v>48384025</v>
      </c>
    </row>
    <row r="39" spans="1:32" x14ac:dyDescent="0.3">
      <c r="U39">
        <v>67218286578</v>
      </c>
      <c r="AE39" s="4" t="s">
        <v>433</v>
      </c>
      <c r="AF39">
        <v>48225874</v>
      </c>
    </row>
    <row r="40" spans="1:32" x14ac:dyDescent="0.3">
      <c r="A40" s="3" t="s">
        <v>18286</v>
      </c>
      <c r="B40" t="s">
        <v>18289</v>
      </c>
      <c r="C40" t="s">
        <v>18288</v>
      </c>
      <c r="Q40" t="s">
        <v>18295</v>
      </c>
      <c r="U40" t="s">
        <v>18287</v>
      </c>
      <c r="AE40" s="4" t="s">
        <v>439</v>
      </c>
      <c r="AF40">
        <v>48159008</v>
      </c>
    </row>
    <row r="41" spans="1:32" x14ac:dyDescent="0.3">
      <c r="A41" s="4" t="s">
        <v>175</v>
      </c>
      <c r="B41">
        <v>0.37259999999999999</v>
      </c>
      <c r="C41">
        <v>6.5399602933940565E-2</v>
      </c>
      <c r="U41">
        <v>13.388399999999995</v>
      </c>
      <c r="AE41" s="4" t="s">
        <v>450</v>
      </c>
      <c r="AF41">
        <v>47961172</v>
      </c>
    </row>
    <row r="42" spans="1:32" x14ac:dyDescent="0.3">
      <c r="A42" s="4" t="s">
        <v>1173</v>
      </c>
      <c r="B42">
        <v>0.13519999999999999</v>
      </c>
      <c r="C42">
        <v>0.21273210084033614</v>
      </c>
      <c r="Q42" t="s">
        <v>18296</v>
      </c>
      <c r="U42" t="s">
        <v>18299</v>
      </c>
      <c r="AE42" s="4" t="s">
        <v>456</v>
      </c>
      <c r="AF42">
        <v>47906844</v>
      </c>
    </row>
    <row r="43" spans="1:32" x14ac:dyDescent="0.3">
      <c r="A43" s="4" t="s">
        <v>850</v>
      </c>
      <c r="B43">
        <v>0.43240000000000001</v>
      </c>
      <c r="C43">
        <v>0.12787330357142856</v>
      </c>
      <c r="U43">
        <v>2875583223240000</v>
      </c>
      <c r="AE43" s="4" t="s">
        <v>463</v>
      </c>
      <c r="AF43">
        <v>47864197</v>
      </c>
    </row>
    <row r="44" spans="1:32" x14ac:dyDescent="0.3">
      <c r="A44" s="4" t="s">
        <v>128</v>
      </c>
      <c r="B44">
        <v>0.49830000000000002</v>
      </c>
      <c r="C44">
        <v>7.9890189601921763E-2</v>
      </c>
      <c r="Q44" t="s">
        <v>18297</v>
      </c>
      <c r="U44" t="str">
        <f>A4</f>
        <v>ether.fi</v>
      </c>
      <c r="AE44" s="4" t="s">
        <v>469</v>
      </c>
      <c r="AF44">
        <v>47531204</v>
      </c>
    </row>
    <row r="45" spans="1:32" x14ac:dyDescent="0.3">
      <c r="A45" s="4" t="s">
        <v>782</v>
      </c>
      <c r="B45">
        <v>0.21460000000000001</v>
      </c>
      <c r="C45">
        <v>0.11401440716911765</v>
      </c>
      <c r="AE45" s="4" t="s">
        <v>485</v>
      </c>
      <c r="AF45">
        <v>47349783</v>
      </c>
    </row>
    <row r="46" spans="1:32" x14ac:dyDescent="0.3">
      <c r="A46" s="4" t="s">
        <v>161</v>
      </c>
      <c r="B46">
        <v>0.13569999999999999</v>
      </c>
      <c r="C46">
        <v>6.0106486721991703E-2</v>
      </c>
      <c r="Q46" t="s">
        <v>18298</v>
      </c>
      <c r="U46">
        <f>B4</f>
        <v>0.49830000000000002</v>
      </c>
      <c r="AE46" s="4" t="s">
        <v>498</v>
      </c>
      <c r="AF46">
        <v>36217034</v>
      </c>
    </row>
    <row r="47" spans="1:32" x14ac:dyDescent="0.3">
      <c r="A47" s="4" t="s">
        <v>1632</v>
      </c>
      <c r="B47">
        <v>0.36180000000000001</v>
      </c>
      <c r="C47">
        <v>0.10874971644612476</v>
      </c>
      <c r="AE47" s="4" t="s">
        <v>504</v>
      </c>
      <c r="AF47">
        <v>36139221</v>
      </c>
    </row>
    <row r="48" spans="1:32" x14ac:dyDescent="0.3">
      <c r="A48" s="4" t="s">
        <v>553</v>
      </c>
      <c r="B48">
        <v>0.34449999999999997</v>
      </c>
      <c r="C48">
        <v>6.9248370000000004E-2</v>
      </c>
      <c r="AE48" s="4" t="s">
        <v>515</v>
      </c>
      <c r="AF48">
        <v>35451336</v>
      </c>
    </row>
    <row r="49" spans="1:32" x14ac:dyDescent="0.3">
      <c r="A49" s="4" t="s">
        <v>723</v>
      </c>
      <c r="B49">
        <v>8.5000000000000006E-2</v>
      </c>
      <c r="C49">
        <v>7.2221705942395603E-2</v>
      </c>
      <c r="AE49" s="4" t="s">
        <v>528</v>
      </c>
      <c r="AF49">
        <v>35070748</v>
      </c>
    </row>
    <row r="50" spans="1:32" x14ac:dyDescent="0.3">
      <c r="A50" s="4" t="s">
        <v>374</v>
      </c>
      <c r="B50">
        <v>0.35220000000000001</v>
      </c>
      <c r="C50">
        <v>0.18052318461538461</v>
      </c>
      <c r="AE50" s="4" t="s">
        <v>534</v>
      </c>
      <c r="AF50">
        <v>35013502</v>
      </c>
    </row>
    <row r="51" spans="1:32" x14ac:dyDescent="0.3">
      <c r="A51" s="4" t="s">
        <v>18283</v>
      </c>
      <c r="B51">
        <v>2.9323000000000001</v>
      </c>
      <c r="C51">
        <v>1.0907590678426413</v>
      </c>
      <c r="AE51" s="4" t="s">
        <v>540</v>
      </c>
      <c r="AF51">
        <v>34862745</v>
      </c>
    </row>
    <row r="52" spans="1:32" x14ac:dyDescent="0.3">
      <c r="O52" s="3" t="s">
        <v>0</v>
      </c>
      <c r="P52" t="s">
        <v>18287</v>
      </c>
      <c r="AE52" s="4" t="s">
        <v>546</v>
      </c>
      <c r="AF52">
        <v>34860793</v>
      </c>
    </row>
    <row r="53" spans="1:32" x14ac:dyDescent="0.3">
      <c r="O53" s="4" t="s">
        <v>128</v>
      </c>
      <c r="P53">
        <v>0.49830000000000002</v>
      </c>
      <c r="AE53" s="4" t="s">
        <v>553</v>
      </c>
      <c r="AF53">
        <v>34456917</v>
      </c>
    </row>
    <row r="54" spans="1:32" x14ac:dyDescent="0.3">
      <c r="O54" s="5" t="s">
        <v>129</v>
      </c>
      <c r="P54">
        <v>0.49830000000000002</v>
      </c>
      <c r="AE54" s="4" t="s">
        <v>567</v>
      </c>
      <c r="AF54">
        <v>34266646</v>
      </c>
    </row>
    <row r="55" spans="1:32" x14ac:dyDescent="0.3">
      <c r="O55" s="4" t="s">
        <v>850</v>
      </c>
      <c r="P55">
        <v>0.43240000000000001</v>
      </c>
      <c r="AE55" s="4" t="s">
        <v>573</v>
      </c>
      <c r="AF55">
        <v>34240657</v>
      </c>
    </row>
    <row r="56" spans="1:32" x14ac:dyDescent="0.3">
      <c r="O56" s="5" t="s">
        <v>851</v>
      </c>
      <c r="P56">
        <v>0.43240000000000001</v>
      </c>
      <c r="AE56" s="4" t="s">
        <v>580</v>
      </c>
      <c r="AF56">
        <v>34159032</v>
      </c>
    </row>
    <row r="57" spans="1:32" x14ac:dyDescent="0.3">
      <c r="O57" s="4" t="s">
        <v>107</v>
      </c>
      <c r="P57">
        <v>0.39</v>
      </c>
      <c r="AE57" s="4" t="s">
        <v>593</v>
      </c>
      <c r="AF57">
        <v>26497748</v>
      </c>
    </row>
    <row r="58" spans="1:32" x14ac:dyDescent="0.3">
      <c r="O58" s="5" t="s">
        <v>108</v>
      </c>
      <c r="P58">
        <v>0.39</v>
      </c>
      <c r="AE58" s="4" t="s">
        <v>600</v>
      </c>
      <c r="AF58">
        <v>26446153</v>
      </c>
    </row>
    <row r="59" spans="1:32" x14ac:dyDescent="0.3">
      <c r="O59" s="4" t="s">
        <v>1682</v>
      </c>
      <c r="P59">
        <v>0.3775</v>
      </c>
      <c r="AE59" s="4" t="s">
        <v>607</v>
      </c>
      <c r="AF59">
        <v>26293151</v>
      </c>
    </row>
    <row r="60" spans="1:32" x14ac:dyDescent="0.3">
      <c r="O60" s="5" t="s">
        <v>1683</v>
      </c>
      <c r="P60">
        <v>0.3775</v>
      </c>
      <c r="AE60" s="4" t="s">
        <v>613</v>
      </c>
      <c r="AF60">
        <v>26067193</v>
      </c>
    </row>
    <row r="61" spans="1:32" x14ac:dyDescent="0.3">
      <c r="O61" s="4" t="s">
        <v>175</v>
      </c>
      <c r="P61">
        <v>0.37259999999999999</v>
      </c>
      <c r="AE61" s="4" t="s">
        <v>619</v>
      </c>
      <c r="AF61">
        <v>26047100</v>
      </c>
    </row>
    <row r="62" spans="1:32" x14ac:dyDescent="0.3">
      <c r="O62" s="5" t="s">
        <v>176</v>
      </c>
      <c r="P62">
        <v>0.37259999999999999</v>
      </c>
      <c r="AE62" s="4" t="s">
        <v>626</v>
      </c>
      <c r="AF62">
        <v>25819756</v>
      </c>
    </row>
    <row r="63" spans="1:32" x14ac:dyDescent="0.3">
      <c r="O63" s="4" t="s">
        <v>1632</v>
      </c>
      <c r="P63">
        <v>0.36180000000000001</v>
      </c>
      <c r="AE63" s="4" t="s">
        <v>632</v>
      </c>
      <c r="AF63">
        <v>25772788</v>
      </c>
    </row>
    <row r="64" spans="1:32" x14ac:dyDescent="0.3">
      <c r="O64" s="5" t="s">
        <v>1633</v>
      </c>
      <c r="P64">
        <v>0.36180000000000001</v>
      </c>
      <c r="AE64" s="4" t="s">
        <v>638</v>
      </c>
      <c r="AF64">
        <v>25666043</v>
      </c>
    </row>
    <row r="65" spans="15:32" x14ac:dyDescent="0.3">
      <c r="O65" s="4" t="s">
        <v>374</v>
      </c>
      <c r="P65">
        <v>0.35220000000000001</v>
      </c>
      <c r="AE65" s="4" t="s">
        <v>652</v>
      </c>
      <c r="AF65">
        <v>25521804</v>
      </c>
    </row>
    <row r="66" spans="15:32" x14ac:dyDescent="0.3">
      <c r="O66" s="5" t="s">
        <v>375</v>
      </c>
      <c r="P66">
        <v>0.35220000000000001</v>
      </c>
      <c r="AE66" s="4" t="s">
        <v>659</v>
      </c>
      <c r="AF66">
        <v>25347833</v>
      </c>
    </row>
    <row r="67" spans="15:32" x14ac:dyDescent="0.3">
      <c r="O67" s="4" t="s">
        <v>402</v>
      </c>
      <c r="P67">
        <v>0.34799999999999998</v>
      </c>
      <c r="AE67" s="4" t="s">
        <v>666</v>
      </c>
      <c r="AF67">
        <v>25336130</v>
      </c>
    </row>
    <row r="68" spans="15:32" x14ac:dyDescent="0.3">
      <c r="O68" s="5" t="s">
        <v>403</v>
      </c>
      <c r="P68">
        <v>0.34799999999999998</v>
      </c>
      <c r="AE68" s="4" t="s">
        <v>673</v>
      </c>
      <c r="AF68">
        <v>25239683</v>
      </c>
    </row>
    <row r="69" spans="15:32" x14ac:dyDescent="0.3">
      <c r="O69" s="4" t="s">
        <v>553</v>
      </c>
      <c r="P69">
        <v>0.34449999999999997</v>
      </c>
      <c r="AE69" s="4" t="s">
        <v>679</v>
      </c>
      <c r="AF69">
        <v>25222483</v>
      </c>
    </row>
    <row r="70" spans="15:32" x14ac:dyDescent="0.3">
      <c r="O70" s="5" t="s">
        <v>554</v>
      </c>
      <c r="P70">
        <v>0.34449999999999997</v>
      </c>
      <c r="AE70" s="4" t="s">
        <v>686</v>
      </c>
      <c r="AF70">
        <v>25150748</v>
      </c>
    </row>
    <row r="71" spans="15:32" x14ac:dyDescent="0.3">
      <c r="O71" s="4" t="s">
        <v>1336</v>
      </c>
      <c r="P71">
        <v>0.30969999999999998</v>
      </c>
      <c r="AE71" s="4" t="s">
        <v>705</v>
      </c>
      <c r="AF71">
        <v>19495017</v>
      </c>
    </row>
    <row r="72" spans="15:32" x14ac:dyDescent="0.3">
      <c r="O72" s="5" t="s">
        <v>1337</v>
      </c>
      <c r="P72">
        <v>0.30969999999999998</v>
      </c>
      <c r="AE72" s="4" t="s">
        <v>1</v>
      </c>
      <c r="AF72">
        <v>19421683</v>
      </c>
    </row>
    <row r="73" spans="15:32" x14ac:dyDescent="0.3">
      <c r="O73" s="4" t="s">
        <v>18283</v>
      </c>
      <c r="P73">
        <v>3.7869999999999995</v>
      </c>
      <c r="AE73" s="4" t="s">
        <v>717</v>
      </c>
      <c r="AF73">
        <v>19171542</v>
      </c>
    </row>
    <row r="74" spans="15:32" x14ac:dyDescent="0.3">
      <c r="AE74" s="4" t="s">
        <v>723</v>
      </c>
      <c r="AF74">
        <v>19166206</v>
      </c>
    </row>
    <row r="75" spans="15:32" x14ac:dyDescent="0.3">
      <c r="AE75" s="4" t="s">
        <v>730</v>
      </c>
      <c r="AF75">
        <v>19147053</v>
      </c>
    </row>
    <row r="76" spans="15:32" x14ac:dyDescent="0.3">
      <c r="AE76" s="4" t="s">
        <v>737</v>
      </c>
      <c r="AF76">
        <v>18974393</v>
      </c>
    </row>
    <row r="77" spans="15:32" x14ac:dyDescent="0.3">
      <c r="AE77" s="4" t="s">
        <v>750</v>
      </c>
      <c r="AF77">
        <v>18958115</v>
      </c>
    </row>
    <row r="78" spans="15:32" x14ac:dyDescent="0.3">
      <c r="AE78" s="4" t="s">
        <v>744</v>
      </c>
      <c r="AF78">
        <v>18924952</v>
      </c>
    </row>
    <row r="79" spans="15:32" x14ac:dyDescent="0.3">
      <c r="AE79" s="4" t="s">
        <v>757</v>
      </c>
      <c r="AF79">
        <v>18909722</v>
      </c>
    </row>
    <row r="80" spans="15:32" x14ac:dyDescent="0.3">
      <c r="AE80" s="4" t="s">
        <v>764</v>
      </c>
      <c r="AF80">
        <v>18864638</v>
      </c>
    </row>
    <row r="81" spans="31:32" x14ac:dyDescent="0.3">
      <c r="AE81" s="4" t="s">
        <v>769</v>
      </c>
      <c r="AF81">
        <v>18790723</v>
      </c>
    </row>
    <row r="82" spans="31:32" x14ac:dyDescent="0.3">
      <c r="AE82" s="4" t="s">
        <v>775</v>
      </c>
      <c r="AF82">
        <v>18758453</v>
      </c>
    </row>
    <row r="83" spans="31:32" x14ac:dyDescent="0.3">
      <c r="AE83" s="4" t="s">
        <v>782</v>
      </c>
      <c r="AF83">
        <v>18688424</v>
      </c>
    </row>
    <row r="84" spans="31:32" x14ac:dyDescent="0.3">
      <c r="AE84" s="4" t="s">
        <v>789</v>
      </c>
      <c r="AF84">
        <v>15087867</v>
      </c>
    </row>
    <row r="85" spans="31:32" x14ac:dyDescent="0.3">
      <c r="AE85" s="4" t="s">
        <v>794</v>
      </c>
      <c r="AF85">
        <v>15086387</v>
      </c>
    </row>
    <row r="86" spans="31:32" x14ac:dyDescent="0.3">
      <c r="AE86" s="4" t="s">
        <v>801</v>
      </c>
      <c r="AF86">
        <v>14845661</v>
      </c>
    </row>
    <row r="87" spans="31:32" x14ac:dyDescent="0.3">
      <c r="AE87" s="4" t="s">
        <v>807</v>
      </c>
      <c r="AF87">
        <v>14761996</v>
      </c>
    </row>
    <row r="88" spans="31:32" x14ac:dyDescent="0.3">
      <c r="AE88" s="4" t="s">
        <v>818</v>
      </c>
      <c r="AF88">
        <v>14622256</v>
      </c>
    </row>
    <row r="89" spans="31:32" x14ac:dyDescent="0.3">
      <c r="AE89" s="4" t="s">
        <v>830</v>
      </c>
      <c r="AF89">
        <v>14588992</v>
      </c>
    </row>
    <row r="90" spans="31:32" x14ac:dyDescent="0.3">
      <c r="AE90" s="4" t="s">
        <v>837</v>
      </c>
      <c r="AF90">
        <v>14574626</v>
      </c>
    </row>
    <row r="91" spans="31:32" x14ac:dyDescent="0.3">
      <c r="AE91" s="4" t="s">
        <v>843</v>
      </c>
      <c r="AF91">
        <v>14557174</v>
      </c>
    </row>
    <row r="92" spans="31:32" x14ac:dyDescent="0.3">
      <c r="AE92" s="4" t="s">
        <v>850</v>
      </c>
      <c r="AF92">
        <v>14530482</v>
      </c>
    </row>
    <row r="93" spans="31:32" x14ac:dyDescent="0.3">
      <c r="AE93" s="4" t="s">
        <v>857</v>
      </c>
      <c r="AF93">
        <v>14492346</v>
      </c>
    </row>
    <row r="94" spans="31:32" x14ac:dyDescent="0.3">
      <c r="AE94" s="4" t="s">
        <v>870</v>
      </c>
      <c r="AF94">
        <v>14386535</v>
      </c>
    </row>
    <row r="95" spans="31:32" x14ac:dyDescent="0.3">
      <c r="AE95" s="4" t="s">
        <v>876</v>
      </c>
      <c r="AF95">
        <v>14294110</v>
      </c>
    </row>
    <row r="96" spans="31:32" x14ac:dyDescent="0.3">
      <c r="AE96" s="4" t="s">
        <v>883</v>
      </c>
      <c r="AF96">
        <v>11771749</v>
      </c>
    </row>
    <row r="97" spans="31:32" x14ac:dyDescent="0.3">
      <c r="AE97" s="4" t="s">
        <v>890</v>
      </c>
      <c r="AF97">
        <v>11738691</v>
      </c>
    </row>
    <row r="98" spans="31:32" x14ac:dyDescent="0.3">
      <c r="AE98" s="4" t="s">
        <v>894</v>
      </c>
      <c r="AF98">
        <v>11722839</v>
      </c>
    </row>
    <row r="99" spans="31:32" x14ac:dyDescent="0.3">
      <c r="AE99" s="4" t="s">
        <v>906</v>
      </c>
      <c r="AF99">
        <v>11632684</v>
      </c>
    </row>
    <row r="100" spans="31:32" x14ac:dyDescent="0.3">
      <c r="AE100" s="4" t="s">
        <v>913</v>
      </c>
      <c r="AF100">
        <v>11629158</v>
      </c>
    </row>
    <row r="101" spans="31:32" x14ac:dyDescent="0.3">
      <c r="AE101" s="4" t="s">
        <v>920</v>
      </c>
      <c r="AF101">
        <v>11628176</v>
      </c>
    </row>
    <row r="102" spans="31:32" x14ac:dyDescent="0.3">
      <c r="AE102" s="4" t="s">
        <v>927</v>
      </c>
      <c r="AF102">
        <v>11617190</v>
      </c>
    </row>
    <row r="103" spans="31:32" x14ac:dyDescent="0.3">
      <c r="AE103" s="4" t="s">
        <v>934</v>
      </c>
      <c r="AF103">
        <v>11587050</v>
      </c>
    </row>
    <row r="104" spans="31:32" x14ac:dyDescent="0.3">
      <c r="AE104" s="4" t="s">
        <v>940</v>
      </c>
      <c r="AF104">
        <v>11558741</v>
      </c>
    </row>
    <row r="105" spans="31:32" x14ac:dyDescent="0.3">
      <c r="AE105" s="4" t="s">
        <v>947</v>
      </c>
      <c r="AF105">
        <v>11543691</v>
      </c>
    </row>
    <row r="106" spans="31:32" x14ac:dyDescent="0.3">
      <c r="AE106" s="4" t="s">
        <v>954</v>
      </c>
      <c r="AF106">
        <v>11509614</v>
      </c>
    </row>
    <row r="107" spans="31:32" x14ac:dyDescent="0.3">
      <c r="AE107" s="4" t="s">
        <v>961</v>
      </c>
      <c r="AF107">
        <v>11467536</v>
      </c>
    </row>
    <row r="108" spans="31:32" x14ac:dyDescent="0.3">
      <c r="AE108" s="4" t="s">
        <v>967</v>
      </c>
      <c r="AF108">
        <v>11452944</v>
      </c>
    </row>
    <row r="109" spans="31:32" x14ac:dyDescent="0.3">
      <c r="AE109" s="4" t="s">
        <v>974</v>
      </c>
      <c r="AF109">
        <v>11452103</v>
      </c>
    </row>
    <row r="110" spans="31:32" x14ac:dyDescent="0.3">
      <c r="AE110" s="4" t="s">
        <v>979</v>
      </c>
      <c r="AF110">
        <v>9081675</v>
      </c>
    </row>
    <row r="111" spans="31:32" x14ac:dyDescent="0.3">
      <c r="AE111" s="4" t="s">
        <v>986</v>
      </c>
      <c r="AF111">
        <v>9071376</v>
      </c>
    </row>
    <row r="112" spans="31:32" x14ac:dyDescent="0.3">
      <c r="AE112" s="4" t="s">
        <v>992</v>
      </c>
      <c r="AF112">
        <v>9070231</v>
      </c>
    </row>
    <row r="113" spans="31:32" x14ac:dyDescent="0.3">
      <c r="AE113" s="4" t="s">
        <v>998</v>
      </c>
      <c r="AF113">
        <v>9065884</v>
      </c>
    </row>
    <row r="114" spans="31:32" x14ac:dyDescent="0.3">
      <c r="AE114" s="4" t="s">
        <v>1005</v>
      </c>
      <c r="AF114">
        <v>9018895</v>
      </c>
    </row>
    <row r="115" spans="31:32" x14ac:dyDescent="0.3">
      <c r="AE115" s="4" t="s">
        <v>1011</v>
      </c>
      <c r="AF115">
        <v>8979774</v>
      </c>
    </row>
    <row r="116" spans="31:32" x14ac:dyDescent="0.3">
      <c r="AE116" s="4" t="s">
        <v>1016</v>
      </c>
      <c r="AF116">
        <v>8910580</v>
      </c>
    </row>
    <row r="117" spans="31:32" x14ac:dyDescent="0.3">
      <c r="AE117" s="4" t="s">
        <v>1022</v>
      </c>
      <c r="AF117">
        <v>8885426</v>
      </c>
    </row>
    <row r="118" spans="31:32" x14ac:dyDescent="0.3">
      <c r="AE118" s="4" t="s">
        <v>1029</v>
      </c>
      <c r="AF118">
        <v>8868806</v>
      </c>
    </row>
    <row r="119" spans="31:32" x14ac:dyDescent="0.3">
      <c r="AE119" s="4" t="s">
        <v>1036</v>
      </c>
      <c r="AF119">
        <v>8867706</v>
      </c>
    </row>
    <row r="120" spans="31:32" x14ac:dyDescent="0.3">
      <c r="AE120" s="4" t="s">
        <v>1042</v>
      </c>
      <c r="AF120">
        <v>8864473</v>
      </c>
    </row>
    <row r="121" spans="31:32" x14ac:dyDescent="0.3">
      <c r="AE121" s="4" t="s">
        <v>1067</v>
      </c>
      <c r="AF121">
        <v>8830451</v>
      </c>
    </row>
    <row r="122" spans="31:32" x14ac:dyDescent="0.3">
      <c r="AE122" s="4" t="s">
        <v>1074</v>
      </c>
      <c r="AF122">
        <v>7579128</v>
      </c>
    </row>
    <row r="123" spans="31:32" x14ac:dyDescent="0.3">
      <c r="AE123" s="4" t="s">
        <v>1086</v>
      </c>
      <c r="AF123">
        <v>7564471</v>
      </c>
    </row>
    <row r="124" spans="31:32" x14ac:dyDescent="0.3">
      <c r="AE124" s="4" t="s">
        <v>1093</v>
      </c>
      <c r="AF124">
        <v>7557592</v>
      </c>
    </row>
    <row r="125" spans="31:32" x14ac:dyDescent="0.3">
      <c r="AE125" s="4" t="s">
        <v>1099</v>
      </c>
      <c r="AF125">
        <v>7541212</v>
      </c>
    </row>
    <row r="126" spans="31:32" x14ac:dyDescent="0.3">
      <c r="AE126" s="4" t="s">
        <v>1105</v>
      </c>
      <c r="AF126">
        <v>7504653</v>
      </c>
    </row>
    <row r="127" spans="31:32" x14ac:dyDescent="0.3">
      <c r="AE127" s="4" t="s">
        <v>1112</v>
      </c>
      <c r="AF127">
        <v>7489577</v>
      </c>
    </row>
    <row r="128" spans="31:32" x14ac:dyDescent="0.3">
      <c r="AE128" s="4" t="s">
        <v>1131</v>
      </c>
      <c r="AF128">
        <v>7427666</v>
      </c>
    </row>
    <row r="129" spans="31:32" x14ac:dyDescent="0.3">
      <c r="AE129" s="4" t="s">
        <v>1137</v>
      </c>
      <c r="AF129">
        <v>7425666</v>
      </c>
    </row>
    <row r="130" spans="31:32" x14ac:dyDescent="0.3">
      <c r="AE130" s="4" t="s">
        <v>1144</v>
      </c>
      <c r="AF130">
        <v>7397037</v>
      </c>
    </row>
    <row r="131" spans="31:32" x14ac:dyDescent="0.3">
      <c r="AE131" s="4" t="s">
        <v>1150</v>
      </c>
      <c r="AF131">
        <v>7387847</v>
      </c>
    </row>
    <row r="132" spans="31:32" x14ac:dyDescent="0.3">
      <c r="AE132" s="4" t="s">
        <v>1161</v>
      </c>
      <c r="AF132">
        <v>7340882</v>
      </c>
    </row>
    <row r="133" spans="31:32" x14ac:dyDescent="0.3">
      <c r="AE133" s="4" t="s">
        <v>1168</v>
      </c>
      <c r="AF133">
        <v>5652688</v>
      </c>
    </row>
    <row r="134" spans="31:32" x14ac:dyDescent="0.3">
      <c r="AE134" s="4" t="s">
        <v>1173</v>
      </c>
      <c r="AF134">
        <v>5635263</v>
      </c>
    </row>
    <row r="135" spans="31:32" x14ac:dyDescent="0.3">
      <c r="AE135" s="4" t="s">
        <v>1179</v>
      </c>
      <c r="AF135">
        <v>5630041</v>
      </c>
    </row>
    <row r="136" spans="31:32" x14ac:dyDescent="0.3">
      <c r="AE136" s="4" t="s">
        <v>1197</v>
      </c>
      <c r="AF136">
        <v>5545415</v>
      </c>
    </row>
    <row r="137" spans="31:32" x14ac:dyDescent="0.3">
      <c r="AE137" s="4" t="s">
        <v>1203</v>
      </c>
      <c r="AF137">
        <v>5530471</v>
      </c>
    </row>
    <row r="138" spans="31:32" x14ac:dyDescent="0.3">
      <c r="AE138" s="4" t="s">
        <v>1210</v>
      </c>
      <c r="AF138">
        <v>5504946</v>
      </c>
    </row>
    <row r="139" spans="31:32" x14ac:dyDescent="0.3">
      <c r="AE139" s="4" t="s">
        <v>1217</v>
      </c>
      <c r="AF139">
        <v>5443081</v>
      </c>
    </row>
    <row r="140" spans="31:32" x14ac:dyDescent="0.3">
      <c r="AE140" s="4" t="s">
        <v>1223</v>
      </c>
      <c r="AF140">
        <v>5431176</v>
      </c>
    </row>
    <row r="141" spans="31:32" x14ac:dyDescent="0.3">
      <c r="AE141" s="4" t="s">
        <v>1230</v>
      </c>
      <c r="AF141">
        <v>5423460</v>
      </c>
    </row>
    <row r="142" spans="31:32" x14ac:dyDescent="0.3">
      <c r="AE142" s="4" t="s">
        <v>1237</v>
      </c>
      <c r="AF142">
        <v>5410167</v>
      </c>
    </row>
    <row r="143" spans="31:32" x14ac:dyDescent="0.3">
      <c r="AE143" s="4" t="s">
        <v>1244</v>
      </c>
      <c r="AF143">
        <v>5410118</v>
      </c>
    </row>
    <row r="144" spans="31:32" x14ac:dyDescent="0.3">
      <c r="AE144" s="4" t="s">
        <v>1250</v>
      </c>
      <c r="AF144">
        <v>5409721</v>
      </c>
    </row>
    <row r="145" spans="31:32" x14ac:dyDescent="0.3">
      <c r="AE145" s="4" t="s">
        <v>1267</v>
      </c>
      <c r="AF145">
        <v>4507337</v>
      </c>
    </row>
    <row r="146" spans="31:32" x14ac:dyDescent="0.3">
      <c r="AE146" s="4" t="s">
        <v>1274</v>
      </c>
      <c r="AF146">
        <v>4485067</v>
      </c>
    </row>
    <row r="147" spans="31:32" x14ac:dyDescent="0.3">
      <c r="AE147" s="4" t="s">
        <v>1281</v>
      </c>
      <c r="AF147">
        <v>4456203</v>
      </c>
    </row>
    <row r="148" spans="31:32" x14ac:dyDescent="0.3">
      <c r="AE148" s="4" t="s">
        <v>1292</v>
      </c>
      <c r="AF148">
        <v>4428499</v>
      </c>
    </row>
    <row r="149" spans="31:32" x14ac:dyDescent="0.3">
      <c r="AE149" s="4" t="s">
        <v>1299</v>
      </c>
      <c r="AF149">
        <v>4427974</v>
      </c>
    </row>
    <row r="150" spans="31:32" x14ac:dyDescent="0.3">
      <c r="AE150" s="4" t="s">
        <v>1304</v>
      </c>
      <c r="AF150">
        <v>4412157</v>
      </c>
    </row>
    <row r="151" spans="31:32" x14ac:dyDescent="0.3">
      <c r="AE151" s="4" t="s">
        <v>1317</v>
      </c>
      <c r="AF151">
        <v>4398592</v>
      </c>
    </row>
    <row r="152" spans="31:32" x14ac:dyDescent="0.3">
      <c r="AE152" s="4" t="s">
        <v>1324</v>
      </c>
      <c r="AF152">
        <v>4393014</v>
      </c>
    </row>
    <row r="153" spans="31:32" x14ac:dyDescent="0.3">
      <c r="AE153" s="4" t="s">
        <v>1330</v>
      </c>
      <c r="AF153">
        <v>4362661</v>
      </c>
    </row>
    <row r="154" spans="31:32" x14ac:dyDescent="0.3">
      <c r="AE154" s="4" t="s">
        <v>1336</v>
      </c>
      <c r="AF154">
        <v>4362214</v>
      </c>
    </row>
    <row r="155" spans="31:32" x14ac:dyDescent="0.3">
      <c r="AE155" s="4" t="s">
        <v>1347</v>
      </c>
      <c r="AF155">
        <v>4349368</v>
      </c>
    </row>
    <row r="156" spans="31:32" x14ac:dyDescent="0.3">
      <c r="AE156" s="4" t="s">
        <v>1353</v>
      </c>
      <c r="AF156">
        <v>3577810</v>
      </c>
    </row>
    <row r="157" spans="31:32" x14ac:dyDescent="0.3">
      <c r="AE157" s="4" t="s">
        <v>1360</v>
      </c>
      <c r="AF157">
        <v>3569993</v>
      </c>
    </row>
    <row r="158" spans="31:32" x14ac:dyDescent="0.3">
      <c r="AE158" s="4" t="s">
        <v>1367</v>
      </c>
      <c r="AF158">
        <v>3555113</v>
      </c>
    </row>
    <row r="159" spans="31:32" x14ac:dyDescent="0.3">
      <c r="AE159" s="4" t="s">
        <v>1373</v>
      </c>
      <c r="AF159">
        <v>3541772</v>
      </c>
    </row>
    <row r="160" spans="31:32" x14ac:dyDescent="0.3">
      <c r="AE160" s="4" t="s">
        <v>1386</v>
      </c>
      <c r="AF160">
        <v>3533740</v>
      </c>
    </row>
    <row r="161" spans="31:32" x14ac:dyDescent="0.3">
      <c r="AE161" s="4" t="s">
        <v>1392</v>
      </c>
      <c r="AF161">
        <v>3530698</v>
      </c>
    </row>
    <row r="162" spans="31:32" x14ac:dyDescent="0.3">
      <c r="AE162" s="4" t="s">
        <v>1399</v>
      </c>
      <c r="AF162">
        <v>3524608</v>
      </c>
    </row>
    <row r="163" spans="31:32" x14ac:dyDescent="0.3">
      <c r="AE163" s="4" t="s">
        <v>1412</v>
      </c>
      <c r="AF163">
        <v>3522600</v>
      </c>
    </row>
    <row r="164" spans="31:32" x14ac:dyDescent="0.3">
      <c r="AE164" s="4" t="s">
        <v>1424</v>
      </c>
      <c r="AF164">
        <v>3501198</v>
      </c>
    </row>
    <row r="165" spans="31:32" x14ac:dyDescent="0.3">
      <c r="AE165" s="4" t="s">
        <v>1430</v>
      </c>
      <c r="AF165">
        <v>3498195</v>
      </c>
    </row>
    <row r="166" spans="31:32" x14ac:dyDescent="0.3">
      <c r="AE166" s="4" t="s">
        <v>1435</v>
      </c>
      <c r="AF166">
        <v>3496330</v>
      </c>
    </row>
    <row r="167" spans="31:32" x14ac:dyDescent="0.3">
      <c r="AE167" s="4" t="s">
        <v>1442</v>
      </c>
      <c r="AF167">
        <v>3464345</v>
      </c>
    </row>
    <row r="168" spans="31:32" x14ac:dyDescent="0.3">
      <c r="AE168" s="4" t="s">
        <v>1448</v>
      </c>
      <c r="AF168">
        <v>2953641</v>
      </c>
    </row>
    <row r="169" spans="31:32" x14ac:dyDescent="0.3">
      <c r="AE169" s="4" t="s">
        <v>1454</v>
      </c>
      <c r="AF169">
        <v>2950560</v>
      </c>
    </row>
    <row r="170" spans="31:32" x14ac:dyDescent="0.3">
      <c r="AE170" s="4" t="s">
        <v>1460</v>
      </c>
      <c r="AF170">
        <v>2927713</v>
      </c>
    </row>
    <row r="171" spans="31:32" x14ac:dyDescent="0.3">
      <c r="AE171" s="4" t="s">
        <v>1466</v>
      </c>
      <c r="AF171">
        <v>2906921</v>
      </c>
    </row>
    <row r="172" spans="31:32" x14ac:dyDescent="0.3">
      <c r="AE172" s="4" t="s">
        <v>1476</v>
      </c>
      <c r="AF172">
        <v>2872237</v>
      </c>
    </row>
    <row r="173" spans="31:32" x14ac:dyDescent="0.3">
      <c r="AE173" s="4" t="s">
        <v>1482</v>
      </c>
      <c r="AF173">
        <v>2867773</v>
      </c>
    </row>
    <row r="174" spans="31:32" x14ac:dyDescent="0.3">
      <c r="AE174" s="4" t="s">
        <v>1489</v>
      </c>
      <c r="AF174">
        <v>2861085</v>
      </c>
    </row>
    <row r="175" spans="31:32" x14ac:dyDescent="0.3">
      <c r="AE175" s="4" t="s">
        <v>1494</v>
      </c>
      <c r="AF175">
        <v>2860904</v>
      </c>
    </row>
    <row r="176" spans="31:32" x14ac:dyDescent="0.3">
      <c r="AE176" s="4" t="s">
        <v>1500</v>
      </c>
      <c r="AF176">
        <v>2847862</v>
      </c>
    </row>
    <row r="177" spans="31:32" x14ac:dyDescent="0.3">
      <c r="AE177" s="4" t="s">
        <v>1507</v>
      </c>
      <c r="AF177">
        <v>2823353</v>
      </c>
    </row>
    <row r="178" spans="31:32" x14ac:dyDescent="0.3">
      <c r="AE178" s="4" t="s">
        <v>1514</v>
      </c>
      <c r="AF178">
        <v>2822893</v>
      </c>
    </row>
    <row r="179" spans="31:32" x14ac:dyDescent="0.3">
      <c r="AE179" s="4" t="s">
        <v>1527</v>
      </c>
      <c r="AF179">
        <v>2811990</v>
      </c>
    </row>
    <row r="180" spans="31:32" x14ac:dyDescent="0.3">
      <c r="AE180" s="4" t="s">
        <v>1533</v>
      </c>
      <c r="AF180">
        <v>2809828</v>
      </c>
    </row>
    <row r="181" spans="31:32" x14ac:dyDescent="0.3">
      <c r="AE181" s="4" t="s">
        <v>1540</v>
      </c>
      <c r="AF181">
        <v>2324210</v>
      </c>
    </row>
    <row r="182" spans="31:32" x14ac:dyDescent="0.3">
      <c r="AE182" s="4" t="s">
        <v>1546</v>
      </c>
      <c r="AF182">
        <v>2313767</v>
      </c>
    </row>
    <row r="183" spans="31:32" x14ac:dyDescent="0.3">
      <c r="AE183" s="4" t="s">
        <v>1564</v>
      </c>
      <c r="AF183">
        <v>2303123</v>
      </c>
    </row>
    <row r="184" spans="31:32" x14ac:dyDescent="0.3">
      <c r="AE184" s="4" t="s">
        <v>1570</v>
      </c>
      <c r="AF184">
        <v>2296879</v>
      </c>
    </row>
    <row r="185" spans="31:32" x14ac:dyDescent="0.3">
      <c r="AE185" s="4" t="s">
        <v>1583</v>
      </c>
      <c r="AF185">
        <v>2293709</v>
      </c>
    </row>
    <row r="186" spans="31:32" x14ac:dyDescent="0.3">
      <c r="AE186" s="4" t="s">
        <v>1607</v>
      </c>
      <c r="AF186">
        <v>2293523</v>
      </c>
    </row>
    <row r="187" spans="31:32" x14ac:dyDescent="0.3">
      <c r="AE187" s="4" t="s">
        <v>1589</v>
      </c>
      <c r="AF187">
        <v>2292740</v>
      </c>
    </row>
    <row r="188" spans="31:32" x14ac:dyDescent="0.3">
      <c r="AE188" s="4" t="s">
        <v>1595</v>
      </c>
      <c r="AF188">
        <v>2292124</v>
      </c>
    </row>
    <row r="189" spans="31:32" x14ac:dyDescent="0.3">
      <c r="AE189" s="4" t="s">
        <v>1601</v>
      </c>
      <c r="AF189">
        <v>2290142</v>
      </c>
    </row>
    <row r="190" spans="31:32" x14ac:dyDescent="0.3">
      <c r="AE190" s="4" t="s">
        <v>1614</v>
      </c>
      <c r="AF190">
        <v>2286484</v>
      </c>
    </row>
    <row r="191" spans="31:32" x14ac:dyDescent="0.3">
      <c r="AE191" s="4" t="s">
        <v>1620</v>
      </c>
      <c r="AF191">
        <v>2285938</v>
      </c>
    </row>
    <row r="192" spans="31:32" x14ac:dyDescent="0.3">
      <c r="AE192" s="4" t="s">
        <v>1625</v>
      </c>
      <c r="AF192">
        <v>2278887</v>
      </c>
    </row>
    <row r="193" spans="31:32" x14ac:dyDescent="0.3">
      <c r="AE193" s="4" t="s">
        <v>1632</v>
      </c>
      <c r="AF193">
        <v>1916021</v>
      </c>
    </row>
    <row r="194" spans="31:32" x14ac:dyDescent="0.3">
      <c r="AE194" s="4" t="s">
        <v>1639</v>
      </c>
      <c r="AF194">
        <v>1906503</v>
      </c>
    </row>
    <row r="195" spans="31:32" x14ac:dyDescent="0.3">
      <c r="AE195" s="4" t="s">
        <v>1645</v>
      </c>
      <c r="AF195">
        <v>1906100</v>
      </c>
    </row>
    <row r="196" spans="31:32" x14ac:dyDescent="0.3">
      <c r="AE196" s="4" t="s">
        <v>1652</v>
      </c>
      <c r="AF196">
        <v>1903590</v>
      </c>
    </row>
    <row r="197" spans="31:32" x14ac:dyDescent="0.3">
      <c r="AE197" s="4" t="s">
        <v>1658</v>
      </c>
      <c r="AF197">
        <v>1898990</v>
      </c>
    </row>
    <row r="198" spans="31:32" x14ac:dyDescent="0.3">
      <c r="AE198" s="4" t="s">
        <v>1664</v>
      </c>
      <c r="AF198">
        <v>1898444</v>
      </c>
    </row>
    <row r="199" spans="31:32" x14ac:dyDescent="0.3">
      <c r="AE199" s="4" t="s">
        <v>1670</v>
      </c>
      <c r="AF199">
        <v>1898443</v>
      </c>
    </row>
    <row r="200" spans="31:32" x14ac:dyDescent="0.3">
      <c r="AE200" s="4" t="s">
        <v>1676</v>
      </c>
      <c r="AF200">
        <v>1890247</v>
      </c>
    </row>
    <row r="201" spans="31:32" x14ac:dyDescent="0.3">
      <c r="AE201" s="4" t="s">
        <v>1682</v>
      </c>
      <c r="AF201">
        <v>1887590</v>
      </c>
    </row>
    <row r="202" spans="31:32" x14ac:dyDescent="0.3">
      <c r="AE202" s="4" t="s">
        <v>1688</v>
      </c>
      <c r="AF202">
        <v>1886530</v>
      </c>
    </row>
    <row r="203" spans="31:32" x14ac:dyDescent="0.3">
      <c r="AE203" s="4" t="s">
        <v>1694</v>
      </c>
      <c r="AF203">
        <v>1885561</v>
      </c>
    </row>
    <row r="204" spans="31:32" x14ac:dyDescent="0.3">
      <c r="AE204" s="4" t="s">
        <v>1706</v>
      </c>
      <c r="AF204">
        <v>1871049</v>
      </c>
    </row>
    <row r="205" spans="31:32" x14ac:dyDescent="0.3">
      <c r="AE205" s="4" t="s">
        <v>1712</v>
      </c>
      <c r="AF205">
        <v>1867627</v>
      </c>
    </row>
    <row r="206" spans="31:32" x14ac:dyDescent="0.3">
      <c r="AE206" s="4" t="s">
        <v>1718</v>
      </c>
      <c r="AF206">
        <v>1863475</v>
      </c>
    </row>
    <row r="207" spans="31:32" x14ac:dyDescent="0.3">
      <c r="AE207" s="4" t="s">
        <v>1724</v>
      </c>
      <c r="AF207">
        <v>1532820</v>
      </c>
    </row>
    <row r="208" spans="31:32" x14ac:dyDescent="0.3">
      <c r="AE208" s="4" t="s">
        <v>1735</v>
      </c>
      <c r="AF208">
        <v>1513741</v>
      </c>
    </row>
    <row r="209" spans="31:32" x14ac:dyDescent="0.3">
      <c r="AE209" s="4" t="s">
        <v>1742</v>
      </c>
      <c r="AF209">
        <v>1512510</v>
      </c>
    </row>
    <row r="210" spans="31:32" x14ac:dyDescent="0.3">
      <c r="AE210" s="4" t="s">
        <v>1748</v>
      </c>
      <c r="AF210">
        <v>1510003</v>
      </c>
    </row>
    <row r="211" spans="31:32" x14ac:dyDescent="0.3">
      <c r="AE211" s="4" t="s">
        <v>1764</v>
      </c>
      <c r="AF211">
        <v>1504520</v>
      </c>
    </row>
    <row r="212" spans="31:32" x14ac:dyDescent="0.3">
      <c r="AE212" s="4" t="s">
        <v>1777</v>
      </c>
      <c r="AF212">
        <v>1495395</v>
      </c>
    </row>
    <row r="213" spans="31:32" x14ac:dyDescent="0.3">
      <c r="AE213" s="4" t="s">
        <v>1783</v>
      </c>
      <c r="AF213">
        <v>1493648</v>
      </c>
    </row>
    <row r="214" spans="31:32" x14ac:dyDescent="0.3">
      <c r="AE214" s="4" t="s">
        <v>1794</v>
      </c>
      <c r="AF214">
        <v>1486724</v>
      </c>
    </row>
    <row r="215" spans="31:32" x14ac:dyDescent="0.3">
      <c r="AE215" s="4" t="s">
        <v>1800</v>
      </c>
      <c r="AF215">
        <v>1478116</v>
      </c>
    </row>
    <row r="216" spans="31:32" x14ac:dyDescent="0.3">
      <c r="AE216" s="4" t="s">
        <v>1812</v>
      </c>
      <c r="AF216">
        <v>1214638</v>
      </c>
    </row>
    <row r="217" spans="31:32" x14ac:dyDescent="0.3">
      <c r="AE217" s="4" t="s">
        <v>1825</v>
      </c>
      <c r="AF217">
        <v>1207343</v>
      </c>
    </row>
    <row r="218" spans="31:32" x14ac:dyDescent="0.3">
      <c r="AE218" s="4" t="s">
        <v>1831</v>
      </c>
      <c r="AF218">
        <v>1203839</v>
      </c>
    </row>
    <row r="219" spans="31:32" x14ac:dyDescent="0.3">
      <c r="AE219" s="4" t="s">
        <v>1838</v>
      </c>
      <c r="AF219">
        <v>1203331</v>
      </c>
    </row>
    <row r="220" spans="31:32" x14ac:dyDescent="0.3">
      <c r="AE220" s="4" t="s">
        <v>1842</v>
      </c>
      <c r="AF220">
        <v>1203193</v>
      </c>
    </row>
    <row r="221" spans="31:32" x14ac:dyDescent="0.3">
      <c r="AE221" s="4" t="s">
        <v>1847</v>
      </c>
      <c r="AF221">
        <v>1200691</v>
      </c>
    </row>
    <row r="222" spans="31:32" x14ac:dyDescent="0.3">
      <c r="AE222" s="4" t="s">
        <v>1858</v>
      </c>
      <c r="AF222">
        <v>1197525</v>
      </c>
    </row>
    <row r="223" spans="31:32" x14ac:dyDescent="0.3">
      <c r="AE223" s="4" t="s">
        <v>1865</v>
      </c>
      <c r="AF223">
        <v>1196596</v>
      </c>
    </row>
    <row r="224" spans="31:32" x14ac:dyDescent="0.3">
      <c r="AE224" s="4" t="s">
        <v>1878</v>
      </c>
      <c r="AF224">
        <v>1187200</v>
      </c>
    </row>
    <row r="225" spans="31:32" x14ac:dyDescent="0.3">
      <c r="AE225" s="4" t="s">
        <v>1884</v>
      </c>
      <c r="AF225">
        <v>1185819</v>
      </c>
    </row>
    <row r="226" spans="31:32" x14ac:dyDescent="0.3">
      <c r="AE226" s="4" t="s">
        <v>1890</v>
      </c>
      <c r="AF226">
        <v>1184980</v>
      </c>
    </row>
    <row r="227" spans="31:32" x14ac:dyDescent="0.3">
      <c r="AE227" s="4" t="s">
        <v>1896</v>
      </c>
      <c r="AF227">
        <v>1180240</v>
      </c>
    </row>
    <row r="228" spans="31:32" x14ac:dyDescent="0.3">
      <c r="AE228" s="4" t="s">
        <v>18283</v>
      </c>
      <c r="AF228">
        <v>67218286578</v>
      </c>
    </row>
  </sheetData>
  <conditionalFormatting sqref="O53:O72">
    <cfRule type="colorScale" priority="1">
      <colorScale>
        <cfvo type="min"/>
        <cfvo type="percentile" val="50"/>
        <cfvo type="max"/>
        <color rgb="FF5A8AC6"/>
        <color rgb="FFFCFCFF"/>
        <color rgb="FFF8696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8B305-B2AB-496A-B1FD-D52EB690AD76}">
  <dimension ref="C3:AE117"/>
  <sheetViews>
    <sheetView tabSelected="1" topLeftCell="A19" zoomScale="30" workbookViewId="0">
      <selection activeCell="AL62" sqref="AL62"/>
    </sheetView>
  </sheetViews>
  <sheetFormatPr defaultRowHeight="14.4" x14ac:dyDescent="0.3"/>
  <cols>
    <col min="15" max="15" width="8.88671875" customWidth="1"/>
    <col min="16" max="16" width="1.109375" customWidth="1"/>
    <col min="17" max="17" width="35.44140625" bestFit="1" customWidth="1"/>
    <col min="18" max="18" width="34.88671875" bestFit="1" customWidth="1"/>
    <col min="20" max="20" width="8.77734375" customWidth="1"/>
    <col min="21" max="21" width="5" customWidth="1"/>
    <col min="22" max="22" width="19.33203125" customWidth="1"/>
    <col min="23" max="23" width="19.77734375" customWidth="1"/>
  </cols>
  <sheetData>
    <row r="3" spans="3:31" x14ac:dyDescent="0.3">
      <c r="C3" s="6"/>
      <c r="D3" s="6"/>
      <c r="E3" s="6"/>
      <c r="F3" s="6"/>
      <c r="G3" s="6"/>
      <c r="H3" s="6"/>
      <c r="I3" s="6"/>
      <c r="J3" s="6"/>
      <c r="K3" s="6"/>
      <c r="L3" s="6"/>
      <c r="M3" s="6"/>
      <c r="N3" s="6"/>
      <c r="O3" s="6"/>
      <c r="P3" s="6"/>
      <c r="Q3" s="6"/>
      <c r="R3" s="6"/>
      <c r="S3" s="6"/>
      <c r="T3" s="6"/>
      <c r="U3" s="6"/>
      <c r="V3" s="6"/>
      <c r="W3" s="6"/>
      <c r="X3" s="6"/>
      <c r="Y3" s="6"/>
      <c r="Z3" s="6"/>
      <c r="AA3" s="6"/>
      <c r="AB3" s="6"/>
      <c r="AC3" s="6"/>
      <c r="AD3" s="6"/>
      <c r="AE3" s="6"/>
    </row>
    <row r="4" spans="3:31" x14ac:dyDescent="0.3">
      <c r="C4" s="6"/>
      <c r="D4" s="6"/>
      <c r="E4" s="6"/>
      <c r="F4" s="6"/>
      <c r="G4" s="6"/>
      <c r="H4" s="6"/>
      <c r="I4" s="6"/>
      <c r="J4" s="6"/>
      <c r="K4" s="6"/>
      <c r="L4" s="6"/>
      <c r="M4" s="6"/>
      <c r="N4" s="6"/>
      <c r="O4" s="6"/>
      <c r="P4" s="6"/>
      <c r="Q4" s="6"/>
      <c r="R4" s="6"/>
      <c r="S4" s="6"/>
      <c r="T4" s="6"/>
      <c r="U4" s="6"/>
      <c r="V4" s="6"/>
      <c r="W4" s="6"/>
      <c r="X4" s="6"/>
      <c r="Y4" s="6"/>
      <c r="Z4" s="6"/>
      <c r="AA4" s="6"/>
      <c r="AB4" s="6"/>
      <c r="AC4" s="6"/>
      <c r="AD4" s="6"/>
      <c r="AE4" s="6"/>
    </row>
    <row r="5" spans="3:31" x14ac:dyDescent="0.3">
      <c r="C5" s="6"/>
      <c r="D5" s="6"/>
      <c r="E5" s="6"/>
      <c r="F5" s="6"/>
      <c r="G5" s="6"/>
      <c r="H5" s="6"/>
      <c r="I5" s="6"/>
      <c r="J5" s="6"/>
      <c r="K5" s="6"/>
      <c r="L5" s="6"/>
      <c r="M5" s="6"/>
      <c r="N5" s="6"/>
      <c r="O5" s="6"/>
      <c r="P5" s="6"/>
      <c r="Q5" s="6"/>
      <c r="R5" s="6"/>
      <c r="S5" s="6"/>
      <c r="T5" s="6"/>
      <c r="U5" s="6"/>
      <c r="V5" s="6"/>
      <c r="W5" s="6"/>
      <c r="X5" s="6"/>
      <c r="Y5" s="6"/>
      <c r="Z5" s="6"/>
      <c r="AA5" s="6"/>
      <c r="AB5" s="6"/>
      <c r="AC5" s="6"/>
      <c r="AD5" s="6"/>
      <c r="AE5" s="6"/>
    </row>
    <row r="6" spans="3:31" x14ac:dyDescent="0.3">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3:31" x14ac:dyDescent="0.3">
      <c r="C7" s="6"/>
      <c r="D7" s="6"/>
      <c r="E7" s="6"/>
      <c r="F7" s="6"/>
      <c r="G7" s="6"/>
      <c r="H7" s="6"/>
      <c r="I7" s="6"/>
      <c r="J7" s="6"/>
      <c r="K7" s="6"/>
      <c r="L7" s="6"/>
      <c r="M7" s="6"/>
      <c r="N7" s="6"/>
      <c r="O7" s="6"/>
      <c r="P7" s="6"/>
      <c r="Q7" s="6"/>
      <c r="R7" s="6"/>
      <c r="S7" s="6"/>
      <c r="T7" s="6"/>
      <c r="U7" s="6"/>
      <c r="V7" s="6"/>
      <c r="W7" s="6"/>
      <c r="X7" s="6"/>
      <c r="Y7" s="6"/>
      <c r="Z7" s="6"/>
      <c r="AA7" s="6"/>
      <c r="AB7" s="6"/>
      <c r="AC7" s="6"/>
      <c r="AD7" s="6"/>
      <c r="AE7" s="6"/>
    </row>
    <row r="8" spans="3:31" x14ac:dyDescent="0.3">
      <c r="C8" s="6"/>
      <c r="D8" s="6"/>
      <c r="E8" s="6"/>
      <c r="F8" s="6"/>
      <c r="G8" s="6"/>
      <c r="H8" s="6"/>
      <c r="I8" s="6"/>
      <c r="J8" s="6"/>
      <c r="K8" s="6"/>
      <c r="L8" s="6"/>
      <c r="M8" s="6"/>
      <c r="N8" s="6"/>
      <c r="O8" s="6"/>
      <c r="P8" s="6"/>
      <c r="Q8" s="6"/>
      <c r="R8" s="6"/>
      <c r="S8" s="6"/>
      <c r="T8" s="6"/>
      <c r="U8" s="6"/>
      <c r="V8" s="6"/>
      <c r="W8" s="6"/>
      <c r="X8" s="6"/>
      <c r="Y8" s="6"/>
      <c r="Z8" s="6"/>
      <c r="AA8" s="6"/>
      <c r="AB8" s="6"/>
      <c r="AC8" s="6"/>
      <c r="AD8" s="6"/>
      <c r="AE8" s="6"/>
    </row>
    <row r="9" spans="3:31" x14ac:dyDescent="0.3">
      <c r="C9" s="6"/>
      <c r="D9" s="6"/>
      <c r="E9" s="6"/>
      <c r="F9" s="6"/>
      <c r="G9" s="6"/>
      <c r="H9" s="6"/>
      <c r="I9" s="6"/>
      <c r="J9" s="6"/>
      <c r="K9" s="6"/>
      <c r="L9" s="6"/>
      <c r="M9" s="6"/>
      <c r="N9" s="6"/>
      <c r="O9" s="6"/>
      <c r="P9" s="6"/>
      <c r="Q9" s="6"/>
      <c r="R9" s="6"/>
      <c r="S9" s="6"/>
      <c r="T9" s="6"/>
      <c r="U9" s="6"/>
      <c r="V9" s="6"/>
      <c r="W9" s="6"/>
      <c r="X9" s="6"/>
      <c r="Y9" s="6"/>
      <c r="Z9" s="6"/>
      <c r="AA9" s="6"/>
      <c r="AB9" s="6"/>
      <c r="AC9" s="6"/>
      <c r="AD9" s="6"/>
      <c r="AE9" s="6"/>
    </row>
    <row r="10" spans="3:31" x14ac:dyDescent="0.3">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3:31" x14ac:dyDescent="0.3">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3:31" x14ac:dyDescent="0.3">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3:31" x14ac:dyDescent="0.3">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3:31" x14ac:dyDescent="0.3">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spans="3:31" x14ac:dyDescent="0.3">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spans="3:31" x14ac:dyDescent="0.3">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spans="3:31" x14ac:dyDescent="0.3">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3:31" x14ac:dyDescent="0.3">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3:31" x14ac:dyDescent="0.3">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3:31" x14ac:dyDescent="0.3">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3:31" x14ac:dyDescent="0.3">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3:31" x14ac:dyDescent="0.3">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3:31" x14ac:dyDescent="0.3">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3:31" x14ac:dyDescent="0.3">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3:31" x14ac:dyDescent="0.3">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3:31" x14ac:dyDescent="0.3">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3:31" x14ac:dyDescent="0.3">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3:31" x14ac:dyDescent="0.3">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3:31" x14ac:dyDescent="0.3">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3:31" x14ac:dyDescent="0.3">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3:31" x14ac:dyDescent="0.3">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3:31" x14ac:dyDescent="0.3">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3:31" x14ac:dyDescent="0.3">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3:31" x14ac:dyDescent="0.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3:31" x14ac:dyDescent="0.3">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3:31" x14ac:dyDescent="0.3">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3:31" x14ac:dyDescent="0.3">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3:31" x14ac:dyDescent="0.3">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3:31" x14ac:dyDescent="0.3">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3:31" x14ac:dyDescent="0.3">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3:31" x14ac:dyDescent="0.3">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3:31" x14ac:dyDescent="0.3">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3:31" x14ac:dyDescent="0.3">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spans="3:31" x14ac:dyDescent="0.3">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spans="3:31" x14ac:dyDescent="0.3">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spans="3:31" x14ac:dyDescent="0.3">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spans="3:31" x14ac:dyDescent="0.3">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3:31" x14ac:dyDescent="0.3">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spans="3:31" x14ac:dyDescent="0.3">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spans="3:31" x14ac:dyDescent="0.3">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spans="3:31" x14ac:dyDescent="0.3">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spans="3:31" x14ac:dyDescent="0.3">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spans="3:31" x14ac:dyDescent="0.3">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spans="3:31" x14ac:dyDescent="0.3">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spans="3:31" x14ac:dyDescent="0.3">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spans="3:31" x14ac:dyDescent="0.3">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spans="3:31" x14ac:dyDescent="0.3">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spans="3:31" x14ac:dyDescent="0.3">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spans="3:31" x14ac:dyDescent="0.3">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spans="3:31" x14ac:dyDescent="0.3">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spans="3:31" x14ac:dyDescent="0.3">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spans="3:31" x14ac:dyDescent="0.3">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spans="3:31" x14ac:dyDescent="0.3">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spans="3:31" x14ac:dyDescent="0.3">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spans="3:31" x14ac:dyDescent="0.3">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spans="3:31" x14ac:dyDescent="0.3">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spans="3:31" x14ac:dyDescent="0.3">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spans="3:31" x14ac:dyDescent="0.3">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spans="3:31" x14ac:dyDescent="0.3">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spans="3:31" x14ac:dyDescent="0.3">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spans="3:31" x14ac:dyDescent="0.3">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3:31" x14ac:dyDescent="0.3">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spans="3:31" x14ac:dyDescent="0.3">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spans="3:31" x14ac:dyDescent="0.3">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spans="3:31" x14ac:dyDescent="0.3">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spans="3:31" x14ac:dyDescent="0.3">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spans="3:31" x14ac:dyDescent="0.3">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spans="3:31" x14ac:dyDescent="0.3">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spans="3:31" x14ac:dyDescent="0.3">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spans="3:31" x14ac:dyDescent="0.3">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spans="3:31" x14ac:dyDescent="0.3">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spans="3:31" x14ac:dyDescent="0.3">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spans="3:31" x14ac:dyDescent="0.3">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3:31" x14ac:dyDescent="0.3">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row r="85" spans="3:31" ht="18" x14ac:dyDescent="0.35">
      <c r="C85" s="6"/>
      <c r="D85" s="6"/>
      <c r="E85" s="6"/>
      <c r="F85" s="6"/>
      <c r="G85" s="6"/>
      <c r="H85" s="6"/>
      <c r="I85" s="6"/>
      <c r="J85" s="6"/>
      <c r="K85" s="6"/>
      <c r="L85" s="6"/>
      <c r="M85" s="6"/>
      <c r="N85" s="6"/>
      <c r="O85" s="6"/>
      <c r="P85" s="6"/>
      <c r="Q85" s="7" t="s">
        <v>0</v>
      </c>
      <c r="R85" s="8" t="s">
        <v>18287</v>
      </c>
      <c r="S85" s="6"/>
      <c r="T85" s="6"/>
      <c r="U85" s="6"/>
      <c r="V85" s="6"/>
      <c r="W85" s="6"/>
      <c r="X85" s="6"/>
      <c r="Y85" s="6"/>
      <c r="Z85" s="6"/>
      <c r="AA85" s="6"/>
      <c r="AB85" s="6"/>
      <c r="AC85" s="6"/>
      <c r="AD85" s="6"/>
      <c r="AE85" s="6"/>
    </row>
    <row r="86" spans="3:31" ht="18" x14ac:dyDescent="0.35">
      <c r="C86" s="6"/>
      <c r="D86" s="6"/>
      <c r="E86" s="6"/>
      <c r="F86" s="6"/>
      <c r="G86" s="6"/>
      <c r="H86" s="6"/>
      <c r="I86" s="6"/>
      <c r="J86" s="6"/>
      <c r="K86" s="6"/>
      <c r="L86" s="6"/>
      <c r="M86" s="6"/>
      <c r="N86" s="6"/>
      <c r="O86" s="6"/>
      <c r="P86" s="6"/>
      <c r="Q86" s="9" t="s">
        <v>128</v>
      </c>
      <c r="R86" s="8">
        <v>0.49830000000000002</v>
      </c>
      <c r="S86" s="6"/>
      <c r="T86" s="6"/>
      <c r="U86" s="6"/>
      <c r="V86" s="6"/>
      <c r="W86" s="6"/>
      <c r="X86" s="6"/>
      <c r="Y86" s="6"/>
      <c r="Z86" s="6"/>
      <c r="AA86" s="6"/>
      <c r="AB86" s="6"/>
      <c r="AC86" s="6"/>
      <c r="AD86" s="6"/>
      <c r="AE86" s="6"/>
    </row>
    <row r="87" spans="3:31" ht="18" x14ac:dyDescent="0.35">
      <c r="C87" s="6"/>
      <c r="D87" s="6"/>
      <c r="E87" s="6"/>
      <c r="F87" s="6"/>
      <c r="G87" s="6"/>
      <c r="H87" s="6"/>
      <c r="I87" s="6"/>
      <c r="J87" s="6"/>
      <c r="K87" s="6"/>
      <c r="L87" s="6"/>
      <c r="M87" s="6"/>
      <c r="N87" s="6"/>
      <c r="O87" s="6"/>
      <c r="P87" s="6"/>
      <c r="Q87" s="10" t="s">
        <v>129</v>
      </c>
      <c r="R87" s="8">
        <v>0.49830000000000002</v>
      </c>
      <c r="S87" s="6"/>
      <c r="T87" s="6"/>
      <c r="U87" s="6"/>
      <c r="V87" s="6"/>
      <c r="W87" s="6"/>
      <c r="X87" s="6"/>
      <c r="Y87" s="6"/>
      <c r="Z87" s="6"/>
      <c r="AA87" s="6"/>
      <c r="AB87" s="6"/>
      <c r="AC87" s="6"/>
      <c r="AD87" s="6"/>
      <c r="AE87" s="6"/>
    </row>
    <row r="88" spans="3:31" ht="18" x14ac:dyDescent="0.35">
      <c r="C88" s="6"/>
      <c r="D88" s="6"/>
      <c r="E88" s="6"/>
      <c r="F88" s="6"/>
      <c r="G88" s="6"/>
      <c r="H88" s="6"/>
      <c r="I88" s="6"/>
      <c r="J88" s="6"/>
      <c r="K88" s="6"/>
      <c r="L88" s="6"/>
      <c r="M88" s="6"/>
      <c r="N88" s="6"/>
      <c r="O88" s="6"/>
      <c r="P88" s="6"/>
      <c r="Q88" s="9" t="s">
        <v>850</v>
      </c>
      <c r="R88" s="8">
        <v>0.43240000000000001</v>
      </c>
      <c r="S88" s="6"/>
      <c r="T88" s="6"/>
      <c r="U88" s="6"/>
      <c r="V88" s="6"/>
      <c r="W88" s="6"/>
      <c r="X88" s="6"/>
      <c r="Y88" s="6"/>
      <c r="Z88" s="6"/>
      <c r="AA88" s="6"/>
      <c r="AB88" s="6"/>
      <c r="AC88" s="6"/>
      <c r="AD88" s="6"/>
      <c r="AE88" s="6"/>
    </row>
    <row r="89" spans="3:31" ht="18" x14ac:dyDescent="0.35">
      <c r="C89" s="6"/>
      <c r="D89" s="6"/>
      <c r="E89" s="6"/>
      <c r="F89" s="6"/>
      <c r="G89" s="6"/>
      <c r="H89" s="6"/>
      <c r="I89" s="6"/>
      <c r="J89" s="6"/>
      <c r="K89" s="6"/>
      <c r="L89" s="6"/>
      <c r="M89" s="6"/>
      <c r="N89" s="6"/>
      <c r="O89" s="6"/>
      <c r="P89" s="6"/>
      <c r="Q89" s="10" t="s">
        <v>851</v>
      </c>
      <c r="R89" s="8">
        <v>0.43240000000000001</v>
      </c>
      <c r="S89" s="6"/>
      <c r="T89" s="6"/>
      <c r="U89" s="6"/>
      <c r="V89" s="6"/>
      <c r="W89" s="6"/>
      <c r="X89" s="6"/>
      <c r="Y89" s="6"/>
      <c r="Z89" s="6"/>
      <c r="AA89" s="6"/>
      <c r="AB89" s="6"/>
      <c r="AC89" s="6"/>
      <c r="AD89" s="6"/>
      <c r="AE89" s="6"/>
    </row>
    <row r="90" spans="3:31" ht="18" x14ac:dyDescent="0.35">
      <c r="C90" s="6"/>
      <c r="D90" s="6"/>
      <c r="E90" s="6"/>
      <c r="F90" s="6"/>
      <c r="G90" s="6"/>
      <c r="H90" s="6"/>
      <c r="I90" s="6"/>
      <c r="J90" s="6"/>
      <c r="K90" s="6"/>
      <c r="L90" s="6"/>
      <c r="M90" s="6"/>
      <c r="N90" s="6"/>
      <c r="O90" s="6"/>
      <c r="P90" s="6"/>
      <c r="Q90" s="9" t="s">
        <v>107</v>
      </c>
      <c r="R90" s="8">
        <v>0.39</v>
      </c>
      <c r="S90" s="6"/>
      <c r="T90" s="6"/>
      <c r="U90" s="6"/>
      <c r="V90" s="6"/>
      <c r="W90" s="6"/>
      <c r="X90" s="6"/>
      <c r="Y90" s="6"/>
      <c r="Z90" s="6"/>
      <c r="AA90" s="6"/>
      <c r="AB90" s="6"/>
      <c r="AC90" s="6"/>
      <c r="AD90" s="6"/>
      <c r="AE90" s="6"/>
    </row>
    <row r="91" spans="3:31" ht="18" x14ac:dyDescent="0.35">
      <c r="C91" s="6"/>
      <c r="D91" s="6"/>
      <c r="E91" s="6"/>
      <c r="F91" s="6"/>
      <c r="G91" s="6"/>
      <c r="H91" s="6"/>
      <c r="I91" s="6"/>
      <c r="J91" s="6"/>
      <c r="K91" s="6"/>
      <c r="L91" s="6"/>
      <c r="M91" s="6"/>
      <c r="N91" s="6"/>
      <c r="O91" s="6"/>
      <c r="P91" s="6"/>
      <c r="Q91" s="10" t="s">
        <v>108</v>
      </c>
      <c r="R91" s="8">
        <v>0.39</v>
      </c>
      <c r="S91" s="6"/>
      <c r="T91" s="6"/>
      <c r="U91" s="6"/>
      <c r="V91" s="6"/>
      <c r="W91" s="6"/>
      <c r="X91" s="6"/>
      <c r="Y91" s="6"/>
      <c r="Z91" s="6"/>
      <c r="AA91" s="6"/>
      <c r="AB91" s="6"/>
      <c r="AC91" s="6"/>
      <c r="AD91" s="6"/>
      <c r="AE91" s="6"/>
    </row>
    <row r="92" spans="3:31" ht="18" x14ac:dyDescent="0.35">
      <c r="C92" s="6"/>
      <c r="D92" s="6"/>
      <c r="E92" s="6"/>
      <c r="F92" s="6"/>
      <c r="G92" s="6"/>
      <c r="H92" s="6"/>
      <c r="I92" s="6"/>
      <c r="J92" s="6"/>
      <c r="K92" s="6"/>
      <c r="L92" s="6"/>
      <c r="M92" s="6"/>
      <c r="N92" s="6"/>
      <c r="O92" s="6"/>
      <c r="P92" s="6"/>
      <c r="Q92" s="9" t="s">
        <v>1682</v>
      </c>
      <c r="R92" s="8">
        <v>0.3775</v>
      </c>
      <c r="S92" s="6"/>
      <c r="T92" s="6"/>
      <c r="U92" s="6"/>
      <c r="V92" s="6"/>
      <c r="W92" s="6"/>
      <c r="X92" s="6"/>
      <c r="Y92" s="6"/>
      <c r="Z92" s="6"/>
      <c r="AA92" s="6"/>
      <c r="AB92" s="6"/>
      <c r="AC92" s="6"/>
      <c r="AD92" s="6"/>
      <c r="AE92" s="6"/>
    </row>
    <row r="93" spans="3:31" ht="18" x14ac:dyDescent="0.35">
      <c r="C93" s="6"/>
      <c r="D93" s="6"/>
      <c r="E93" s="6"/>
      <c r="F93" s="6"/>
      <c r="G93" s="6"/>
      <c r="H93" s="6"/>
      <c r="I93" s="6"/>
      <c r="J93" s="6"/>
      <c r="K93" s="6"/>
      <c r="L93" s="6"/>
      <c r="M93" s="6"/>
      <c r="N93" s="6"/>
      <c r="O93" s="6"/>
      <c r="P93" s="6"/>
      <c r="Q93" s="10" t="s">
        <v>1683</v>
      </c>
      <c r="R93" s="8">
        <v>0.3775</v>
      </c>
      <c r="S93" s="6"/>
      <c r="T93" s="6"/>
      <c r="U93" s="6"/>
      <c r="V93" s="6"/>
      <c r="W93" s="6"/>
      <c r="X93" s="6"/>
      <c r="Y93" s="6"/>
      <c r="Z93" s="6"/>
      <c r="AA93" s="6"/>
      <c r="AB93" s="6"/>
      <c r="AC93" s="6"/>
      <c r="AD93" s="6"/>
      <c r="AE93" s="6"/>
    </row>
    <row r="94" spans="3:31" ht="18" x14ac:dyDescent="0.35">
      <c r="C94" s="6"/>
      <c r="D94" s="6"/>
      <c r="E94" s="6"/>
      <c r="F94" s="6"/>
      <c r="G94" s="6"/>
      <c r="H94" s="6"/>
      <c r="I94" s="6"/>
      <c r="J94" s="6"/>
      <c r="K94" s="6"/>
      <c r="L94" s="6"/>
      <c r="M94" s="6"/>
      <c r="N94" s="6"/>
      <c r="O94" s="6"/>
      <c r="P94" s="6"/>
      <c r="Q94" s="9" t="s">
        <v>175</v>
      </c>
      <c r="R94" s="8">
        <v>0.37259999999999999</v>
      </c>
      <c r="S94" s="6"/>
      <c r="T94" s="6"/>
      <c r="U94" s="6"/>
      <c r="V94" s="6"/>
      <c r="W94" s="6"/>
      <c r="X94" s="6"/>
      <c r="Y94" s="6"/>
      <c r="Z94" s="6"/>
      <c r="AA94" s="6"/>
      <c r="AB94" s="6"/>
      <c r="AC94" s="6"/>
      <c r="AD94" s="6"/>
      <c r="AE94" s="6"/>
    </row>
    <row r="95" spans="3:31" ht="18" x14ac:dyDescent="0.35">
      <c r="C95" s="6"/>
      <c r="D95" s="6"/>
      <c r="E95" s="6"/>
      <c r="F95" s="6"/>
      <c r="G95" s="6"/>
      <c r="H95" s="6"/>
      <c r="I95" s="6"/>
      <c r="J95" s="6"/>
      <c r="K95" s="6"/>
      <c r="L95" s="6"/>
      <c r="M95" s="6"/>
      <c r="N95" s="6"/>
      <c r="O95" s="6"/>
      <c r="P95" s="6"/>
      <c r="Q95" s="10" t="s">
        <v>176</v>
      </c>
      <c r="R95" s="8">
        <v>0.37259999999999999</v>
      </c>
      <c r="S95" s="6"/>
      <c r="T95" s="6"/>
      <c r="U95" s="6"/>
      <c r="V95" s="6"/>
      <c r="W95" s="6"/>
      <c r="X95" s="6"/>
      <c r="Y95" s="6"/>
      <c r="Z95" s="6"/>
      <c r="AA95" s="6"/>
      <c r="AB95" s="6"/>
      <c r="AC95" s="6"/>
      <c r="AD95" s="6"/>
      <c r="AE95" s="6"/>
    </row>
    <row r="96" spans="3:31" ht="18" x14ac:dyDescent="0.35">
      <c r="C96" s="6"/>
      <c r="D96" s="6"/>
      <c r="E96" s="6"/>
      <c r="F96" s="6"/>
      <c r="G96" s="6"/>
      <c r="H96" s="6"/>
      <c r="I96" s="6"/>
      <c r="J96" s="6"/>
      <c r="K96" s="6"/>
      <c r="L96" s="6"/>
      <c r="M96" s="6"/>
      <c r="N96" s="6"/>
      <c r="O96" s="6"/>
      <c r="P96" s="6"/>
      <c r="Q96" s="9" t="s">
        <v>1632</v>
      </c>
      <c r="R96" s="8">
        <v>0.36180000000000001</v>
      </c>
      <c r="S96" s="6"/>
      <c r="T96" s="6"/>
      <c r="U96" s="6"/>
      <c r="V96" s="6"/>
      <c r="W96" s="6"/>
      <c r="X96" s="6"/>
      <c r="Y96" s="6"/>
      <c r="Z96" s="6"/>
      <c r="AA96" s="6"/>
      <c r="AB96" s="6"/>
      <c r="AC96" s="6"/>
      <c r="AD96" s="6"/>
      <c r="AE96" s="6"/>
    </row>
    <row r="97" spans="3:31" ht="18" x14ac:dyDescent="0.35">
      <c r="C97" s="6"/>
      <c r="D97" s="6"/>
      <c r="E97" s="6"/>
      <c r="F97" s="6"/>
      <c r="G97" s="6"/>
      <c r="H97" s="6"/>
      <c r="I97" s="6"/>
      <c r="J97" s="6"/>
      <c r="K97" s="6"/>
      <c r="L97" s="6"/>
      <c r="M97" s="6"/>
      <c r="N97" s="6"/>
      <c r="O97" s="6"/>
      <c r="P97" s="6"/>
      <c r="Q97" s="10" t="s">
        <v>1633</v>
      </c>
      <c r="R97" s="8">
        <v>0.36180000000000001</v>
      </c>
      <c r="S97" s="6"/>
      <c r="T97" s="6"/>
      <c r="U97" s="6"/>
      <c r="V97" s="6"/>
      <c r="W97" s="6"/>
      <c r="X97" s="6"/>
      <c r="Y97" s="6"/>
      <c r="Z97" s="6"/>
      <c r="AA97" s="6"/>
      <c r="AB97" s="6"/>
      <c r="AC97" s="6"/>
      <c r="AD97" s="6"/>
      <c r="AE97" s="6"/>
    </row>
    <row r="98" spans="3:31" ht="18" x14ac:dyDescent="0.35">
      <c r="C98" s="6"/>
      <c r="D98" s="6"/>
      <c r="E98" s="6"/>
      <c r="F98" s="6"/>
      <c r="G98" s="6"/>
      <c r="H98" s="6"/>
      <c r="I98" s="6"/>
      <c r="J98" s="6"/>
      <c r="K98" s="6"/>
      <c r="L98" s="6"/>
      <c r="M98" s="6"/>
      <c r="N98" s="6"/>
      <c r="O98" s="6"/>
      <c r="P98" s="6"/>
      <c r="Q98" s="9" t="s">
        <v>374</v>
      </c>
      <c r="R98" s="8">
        <v>0.35220000000000001</v>
      </c>
      <c r="S98" s="6"/>
      <c r="T98" s="6"/>
      <c r="U98" s="6"/>
      <c r="V98" s="6"/>
      <c r="W98" s="6"/>
      <c r="X98" s="6"/>
      <c r="Y98" s="6"/>
      <c r="Z98" s="6"/>
      <c r="AA98" s="6"/>
      <c r="AB98" s="6"/>
      <c r="AC98" s="6"/>
      <c r="AD98" s="6"/>
      <c r="AE98" s="6"/>
    </row>
    <row r="99" spans="3:31" ht="18" x14ac:dyDescent="0.35">
      <c r="C99" s="6"/>
      <c r="D99" s="6"/>
      <c r="E99" s="6"/>
      <c r="F99" s="6"/>
      <c r="G99" s="6"/>
      <c r="H99" s="6"/>
      <c r="I99" s="6"/>
      <c r="J99" s="6"/>
      <c r="K99" s="6"/>
      <c r="L99" s="6"/>
      <c r="M99" s="6"/>
      <c r="N99" s="6"/>
      <c r="O99" s="6"/>
      <c r="P99" s="6"/>
      <c r="Q99" s="10" t="s">
        <v>375</v>
      </c>
      <c r="R99" s="8">
        <v>0.35220000000000001</v>
      </c>
      <c r="S99" s="6"/>
      <c r="T99" s="6"/>
      <c r="U99" s="6"/>
      <c r="V99" s="6"/>
      <c r="W99" s="6"/>
      <c r="X99" s="6"/>
      <c r="Y99" s="6"/>
      <c r="Z99" s="6"/>
      <c r="AA99" s="6"/>
      <c r="AB99" s="6"/>
      <c r="AC99" s="6"/>
      <c r="AD99" s="6"/>
      <c r="AE99" s="6"/>
    </row>
    <row r="100" spans="3:31" ht="18" x14ac:dyDescent="0.35">
      <c r="C100" s="6"/>
      <c r="D100" s="6"/>
      <c r="E100" s="6"/>
      <c r="F100" s="6"/>
      <c r="G100" s="6"/>
      <c r="H100" s="6"/>
      <c r="I100" s="6"/>
      <c r="J100" s="6"/>
      <c r="K100" s="6"/>
      <c r="L100" s="6"/>
      <c r="M100" s="6"/>
      <c r="N100" s="6"/>
      <c r="O100" s="6"/>
      <c r="P100" s="6"/>
      <c r="Q100" s="9" t="s">
        <v>402</v>
      </c>
      <c r="R100" s="8">
        <v>0.34799999999999998</v>
      </c>
      <c r="S100" s="6"/>
      <c r="T100" s="6"/>
      <c r="U100" s="6"/>
      <c r="V100" s="6"/>
      <c r="W100" s="6"/>
      <c r="X100" s="6"/>
      <c r="Y100" s="6"/>
      <c r="Z100" s="6"/>
      <c r="AA100" s="6"/>
      <c r="AB100" s="6"/>
      <c r="AC100" s="6"/>
      <c r="AD100" s="6"/>
      <c r="AE100" s="6"/>
    </row>
    <row r="101" spans="3:31" ht="18" x14ac:dyDescent="0.35">
      <c r="C101" s="6"/>
      <c r="D101" s="6"/>
      <c r="E101" s="6"/>
      <c r="F101" s="6"/>
      <c r="G101" s="6"/>
      <c r="H101" s="6"/>
      <c r="I101" s="6"/>
      <c r="J101" s="6"/>
      <c r="K101" s="6"/>
      <c r="L101" s="6"/>
      <c r="M101" s="6"/>
      <c r="N101" s="6"/>
      <c r="O101" s="6"/>
      <c r="P101" s="6"/>
      <c r="Q101" s="10" t="s">
        <v>403</v>
      </c>
      <c r="R101" s="8">
        <v>0.34799999999999998</v>
      </c>
      <c r="S101" s="6"/>
      <c r="T101" s="6"/>
      <c r="U101" s="6"/>
      <c r="V101" s="6"/>
      <c r="W101" s="6"/>
      <c r="X101" s="6"/>
      <c r="Y101" s="6"/>
      <c r="Z101" s="6"/>
      <c r="AA101" s="6"/>
      <c r="AB101" s="6"/>
      <c r="AC101" s="6"/>
      <c r="AD101" s="6"/>
      <c r="AE101" s="6"/>
    </row>
    <row r="102" spans="3:31" ht="18" x14ac:dyDescent="0.35">
      <c r="C102" s="6"/>
      <c r="D102" s="6"/>
      <c r="E102" s="6"/>
      <c r="F102" s="6"/>
      <c r="G102" s="6"/>
      <c r="H102" s="6"/>
      <c r="I102" s="6"/>
      <c r="J102" s="6"/>
      <c r="K102" s="6"/>
      <c r="L102" s="6"/>
      <c r="M102" s="6"/>
      <c r="N102" s="6"/>
      <c r="O102" s="6"/>
      <c r="P102" s="6"/>
      <c r="Q102" s="9" t="s">
        <v>553</v>
      </c>
      <c r="R102" s="8">
        <v>0.34449999999999997</v>
      </c>
      <c r="S102" s="6"/>
      <c r="T102" s="6"/>
      <c r="U102" s="6"/>
      <c r="V102" s="6"/>
      <c r="W102" s="6"/>
      <c r="X102" s="6"/>
      <c r="Y102" s="6"/>
      <c r="Z102" s="6"/>
      <c r="AA102" s="6"/>
      <c r="AB102" s="6"/>
      <c r="AC102" s="6"/>
      <c r="AD102" s="6"/>
      <c r="AE102" s="6"/>
    </row>
    <row r="103" spans="3:31" ht="18" x14ac:dyDescent="0.35">
      <c r="C103" s="6"/>
      <c r="D103" s="6"/>
      <c r="E103" s="6"/>
      <c r="F103" s="6"/>
      <c r="G103" s="6"/>
      <c r="H103" s="6"/>
      <c r="I103" s="6"/>
      <c r="J103" s="6"/>
      <c r="K103" s="6"/>
      <c r="L103" s="6"/>
      <c r="M103" s="6"/>
      <c r="N103" s="6"/>
      <c r="O103" s="6"/>
      <c r="P103" s="6"/>
      <c r="Q103" s="10" t="s">
        <v>554</v>
      </c>
      <c r="R103" s="8">
        <v>0.34449999999999997</v>
      </c>
      <c r="S103" s="6"/>
      <c r="T103" s="6"/>
      <c r="U103" s="6"/>
      <c r="V103" s="6"/>
      <c r="W103" s="6"/>
      <c r="X103" s="6"/>
      <c r="Y103" s="6"/>
      <c r="Z103" s="6"/>
      <c r="AA103" s="6"/>
      <c r="AB103" s="6"/>
      <c r="AC103" s="6"/>
      <c r="AD103" s="6"/>
      <c r="AE103" s="6"/>
    </row>
    <row r="104" spans="3:31" ht="18" x14ac:dyDescent="0.35">
      <c r="C104" s="6"/>
      <c r="D104" s="6"/>
      <c r="E104" s="6"/>
      <c r="F104" s="6"/>
      <c r="G104" s="6"/>
      <c r="H104" s="6"/>
      <c r="I104" s="6"/>
      <c r="J104" s="6"/>
      <c r="K104" s="6"/>
      <c r="L104" s="6"/>
      <c r="M104" s="6"/>
      <c r="N104" s="6"/>
      <c r="O104" s="6"/>
      <c r="P104" s="6"/>
      <c r="Q104" s="9" t="s">
        <v>1336</v>
      </c>
      <c r="R104" s="8">
        <v>0.30969999999999998</v>
      </c>
      <c r="S104" s="6"/>
      <c r="T104" s="6"/>
      <c r="U104" s="6"/>
      <c r="V104" s="6"/>
      <c r="W104" s="6"/>
      <c r="X104" s="6"/>
      <c r="Y104" s="6"/>
      <c r="Z104" s="6"/>
      <c r="AA104" s="6"/>
      <c r="AB104" s="6"/>
      <c r="AC104" s="6"/>
      <c r="AD104" s="6"/>
      <c r="AE104" s="6"/>
    </row>
    <row r="105" spans="3:31" ht="18" x14ac:dyDescent="0.35">
      <c r="C105" s="6"/>
      <c r="D105" s="6"/>
      <c r="E105" s="6"/>
      <c r="F105" s="6"/>
      <c r="G105" s="6"/>
      <c r="H105" s="6"/>
      <c r="I105" s="6"/>
      <c r="J105" s="6"/>
      <c r="K105" s="6"/>
      <c r="L105" s="6"/>
      <c r="M105" s="6"/>
      <c r="N105" s="6"/>
      <c r="O105" s="6"/>
      <c r="P105" s="6"/>
      <c r="Q105" s="10" t="s">
        <v>1337</v>
      </c>
      <c r="R105" s="8">
        <v>0.30969999999999998</v>
      </c>
      <c r="S105" s="6"/>
      <c r="T105" s="6"/>
      <c r="U105" s="6"/>
      <c r="V105" s="6"/>
      <c r="W105" s="6"/>
      <c r="X105" s="6"/>
      <c r="Y105" s="6"/>
      <c r="Z105" s="6"/>
      <c r="AA105" s="6"/>
      <c r="AB105" s="6"/>
      <c r="AC105" s="6"/>
      <c r="AD105" s="6"/>
      <c r="AE105" s="6"/>
    </row>
    <row r="106" spans="3:31" ht="18" x14ac:dyDescent="0.35">
      <c r="C106" s="6"/>
      <c r="D106" s="6"/>
      <c r="E106" s="6"/>
      <c r="F106" s="6"/>
      <c r="G106" s="6"/>
      <c r="H106" s="6"/>
      <c r="I106" s="6"/>
      <c r="J106" s="6"/>
      <c r="K106" s="6"/>
      <c r="L106" s="6"/>
      <c r="M106" s="6"/>
      <c r="N106" s="6"/>
      <c r="O106" s="6"/>
      <c r="P106" s="6"/>
      <c r="Q106" s="9" t="s">
        <v>18283</v>
      </c>
      <c r="R106" s="8">
        <v>3.7869999999999995</v>
      </c>
      <c r="S106" s="6"/>
      <c r="T106" s="6"/>
      <c r="U106" s="6"/>
      <c r="V106" s="6"/>
      <c r="W106" s="6"/>
      <c r="X106" s="6"/>
      <c r="Y106" s="6"/>
      <c r="Z106" s="6"/>
      <c r="AA106" s="6"/>
      <c r="AB106" s="6"/>
      <c r="AC106" s="6"/>
      <c r="AD106" s="6"/>
      <c r="AE106" s="6"/>
    </row>
    <row r="107" spans="3:31" x14ac:dyDescent="0.3">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row>
    <row r="108" spans="3:31" x14ac:dyDescent="0.3">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row>
    <row r="109" spans="3:31" x14ac:dyDescent="0.3">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row>
    <row r="110" spans="3:31" x14ac:dyDescent="0.3">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row>
    <row r="111" spans="3:31" x14ac:dyDescent="0.3">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row>
    <row r="112" spans="3:31" x14ac:dyDescent="0.3">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row>
    <row r="113" spans="3:31" x14ac:dyDescent="0.3">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row>
    <row r="114" spans="3:31" x14ac:dyDescent="0.3">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row>
    <row r="115" spans="3:31" x14ac:dyDescent="0.3">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row>
    <row r="116" spans="3:31" x14ac:dyDescent="0.3">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row>
    <row r="117" spans="3:31" x14ac:dyDescent="0.3">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row>
  </sheetData>
  <conditionalFormatting sqref="Q86:Q105">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1B576D-0ABB-4C87-99E7-F4A15E59E4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liyanafaisal90@gmail.com</cp:lastModifiedBy>
  <dcterms:created xsi:type="dcterms:W3CDTF">2026-01-31T16:53:47Z</dcterms:created>
  <dcterms:modified xsi:type="dcterms:W3CDTF">2026-05-09T15:17:48Z</dcterms:modified>
</cp:coreProperties>
</file>